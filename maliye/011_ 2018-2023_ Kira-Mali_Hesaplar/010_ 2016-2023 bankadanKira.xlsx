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yzhn\maliye\011_ 2018-2023_ Kira-Mali_Hesaplar\"/>
    </mc:Choice>
  </mc:AlternateContent>
  <xr:revisionPtr revIDLastSave="0" documentId="13_ncr:1_{22768FED-ED15-4338-BCC6-4FE18933B6DC}" xr6:coauthVersionLast="47" xr6:coauthVersionMax="47" xr10:uidLastSave="{00000000-0000-0000-0000-000000000000}"/>
  <bookViews>
    <workbookView xWindow="7545" yWindow="3225" windowWidth="19905" windowHeight="12270" xr2:uid="{7CD6DC27-3A51-466C-87F3-E3631C0927D1}"/>
  </bookViews>
  <sheets>
    <sheet name="Sayfa1" sheetId="1" r:id="rId1"/>
    <sheet name="2024 ceza" sheetId="4" r:id="rId2"/>
    <sheet name="Sayfa2" sheetId="2" r:id="rId3"/>
    <sheet name="ADRES KOD" sheetId="3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1" l="1"/>
  <c r="C140" i="1"/>
  <c r="D140" i="1"/>
  <c r="D142" i="1"/>
  <c r="E133" i="1"/>
  <c r="C133" i="1"/>
  <c r="E135" i="1"/>
  <c r="C135" i="1" s="1"/>
  <c r="F149" i="1"/>
  <c r="D40" i="4" l="1"/>
  <c r="D39" i="4"/>
  <c r="D32" i="4"/>
  <c r="F31" i="4"/>
  <c r="F30" i="4"/>
  <c r="F29" i="4"/>
  <c r="F28" i="4"/>
  <c r="F27" i="4"/>
  <c r="E23" i="4"/>
  <c r="E4" i="4" s="1"/>
  <c r="E6" i="4" s="1"/>
  <c r="D43" i="4" s="1"/>
  <c r="D20" i="4"/>
  <c r="D22" i="4" s="1"/>
  <c r="E22" i="4" s="1"/>
  <c r="E24" i="4" s="1"/>
  <c r="E18" i="4"/>
  <c r="E16" i="4"/>
  <c r="D16" i="4"/>
  <c r="C4" i="4" s="1"/>
  <c r="D4" i="4" s="1"/>
  <c r="D6" i="4" s="1"/>
  <c r="C35" i="4" s="1"/>
  <c r="C16" i="4"/>
  <c r="C13" i="4"/>
  <c r="F13" i="4" s="1"/>
  <c r="C12" i="4"/>
  <c r="E12" i="4" s="1"/>
  <c r="C11" i="4"/>
  <c r="E11" i="4" s="1"/>
  <c r="C10" i="4"/>
  <c r="E10" i="4" s="1"/>
  <c r="E9" i="4"/>
  <c r="D5" i="4"/>
  <c r="C128" i="1"/>
  <c r="D128" i="1" s="1"/>
  <c r="E134" i="1"/>
  <c r="E128" i="1" s="1"/>
  <c r="E130" i="1" s="1"/>
  <c r="D165" i="1" s="1"/>
  <c r="D162" i="1"/>
  <c r="D161" i="1"/>
  <c r="E145" i="1"/>
  <c r="D144" i="1"/>
  <c r="D154" i="1" l="1"/>
  <c r="D129" i="1" s="1"/>
  <c r="D36" i="4"/>
  <c r="D37" i="4" s="1"/>
  <c r="B41" i="4" s="1"/>
  <c r="D41" i="4" s="1"/>
  <c r="D42" i="4" s="1"/>
  <c r="D44" i="4" s="1"/>
  <c r="D130" i="1"/>
  <c r="C157" i="1" s="1"/>
  <c r="C134" i="1"/>
  <c r="E144" i="1"/>
  <c r="E146" i="1" s="1"/>
  <c r="D158" i="1"/>
  <c r="D159" i="1" s="1"/>
  <c r="D163" i="1" s="1"/>
  <c r="D164" i="1" s="1"/>
  <c r="D166" i="1" s="1"/>
  <c r="F29" i="2" l="1"/>
  <c r="F32" i="2"/>
  <c r="F34" i="2"/>
  <c r="D29" i="2"/>
  <c r="D32" i="2"/>
  <c r="D34" i="2"/>
  <c r="D13" i="2"/>
  <c r="D14" i="2" s="1"/>
  <c r="D15" i="2" s="1"/>
  <c r="B19" i="2" s="1"/>
  <c r="D93" i="1"/>
  <c r="E100" i="1"/>
  <c r="E95" i="1"/>
  <c r="C90" i="1"/>
  <c r="F90" i="1" s="1"/>
  <c r="D109" i="1"/>
  <c r="D82" i="1" s="1"/>
  <c r="F105" i="1"/>
  <c r="F106" i="1"/>
  <c r="F107" i="1"/>
  <c r="F108" i="1"/>
  <c r="F104" i="1"/>
  <c r="D117" i="1"/>
  <c r="D116" i="1"/>
  <c r="D23" i="2"/>
  <c r="G18" i="2"/>
  <c r="D43" i="2"/>
  <c r="D42" i="2"/>
  <c r="C35" i="2"/>
  <c r="D33" i="2"/>
  <c r="E33" i="2" s="1"/>
  <c r="D31" i="2"/>
  <c r="E31" i="2" s="1"/>
  <c r="D30" i="2"/>
  <c r="E30" i="2" s="1"/>
  <c r="D8" i="2"/>
  <c r="D18" i="2"/>
  <c r="D17" i="2"/>
  <c r="C10" i="2"/>
  <c r="D6" i="2"/>
  <c r="E6" i="2" s="1"/>
  <c r="D5" i="2"/>
  <c r="E5" i="2" s="1"/>
  <c r="D97" i="1"/>
  <c r="C87" i="1"/>
  <c r="E87" i="1" s="1"/>
  <c r="C88" i="1"/>
  <c r="E88" i="1" s="1"/>
  <c r="C89" i="1"/>
  <c r="E89" i="1" s="1"/>
  <c r="E86" i="1"/>
  <c r="E81" i="1" s="1"/>
  <c r="E83" i="1" s="1"/>
  <c r="C75" i="1"/>
  <c r="E61" i="1"/>
  <c r="D63" i="1"/>
  <c r="E65" i="1"/>
  <c r="D62" i="1"/>
  <c r="C61" i="1"/>
  <c r="C12" i="1"/>
  <c r="C7" i="1"/>
  <c r="C93" i="1" l="1"/>
  <c r="E93" i="1"/>
  <c r="E35" i="2"/>
  <c r="D46" i="2" s="1"/>
  <c r="E10" i="2"/>
  <c r="D35" i="2"/>
  <c r="D39" i="2" s="1"/>
  <c r="D40" i="2" s="1"/>
  <c r="B44" i="2" s="1"/>
  <c r="D44" i="2" s="1"/>
  <c r="D45" i="2" s="1"/>
  <c r="F35" i="2"/>
  <c r="D49" i="2" s="1"/>
  <c r="F10" i="2"/>
  <c r="D10" i="2"/>
  <c r="D19" i="2"/>
  <c r="D20" i="2" s="1"/>
  <c r="D22" i="2" s="1"/>
  <c r="D24" i="2" s="1"/>
  <c r="D99" i="1"/>
  <c r="E99" i="1" s="1"/>
  <c r="E101" i="1" s="1"/>
  <c r="D68" i="1"/>
  <c r="G35" i="2" l="1"/>
  <c r="D120" i="1"/>
  <c r="G10" i="2"/>
  <c r="D47" i="2"/>
  <c r="D50" i="2" s="1"/>
  <c r="C81" i="1" l="1"/>
  <c r="D81" i="1" s="1"/>
  <c r="D83" i="1" s="1"/>
  <c r="C112" i="1" s="1"/>
  <c r="D113" i="1" l="1"/>
  <c r="D114" i="1" s="1"/>
  <c r="B118" i="1" s="1"/>
  <c r="D118" i="1" s="1"/>
  <c r="D119" i="1" s="1"/>
  <c r="D121" i="1" s="1"/>
</calcChain>
</file>

<file path=xl/sharedStrings.xml><?xml version="1.0" encoding="utf-8"?>
<sst xmlns="http://schemas.openxmlformats.org/spreadsheetml/2006/main" count="336" uniqueCount="150">
  <si>
    <t>22/12/2016</t>
  </si>
  <si>
    <t>atilla balcı tc:36355602156 kira bedeli</t>
  </si>
  <si>
    <t>15800001175620161221161527669</t>
  </si>
  <si>
    <t>02/12/2020</t>
  </si>
  <si>
    <t>2020-2021 8 AYLIK KİRA BEDELİ*ALİ DEMİREL*H20048379539</t>
  </si>
  <si>
    <t>15801006692720201202133627646</t>
  </si>
  <si>
    <t>23/12/2020</t>
  </si>
  <si>
    <t>SALİH KAYMAK*0203*2020 İŞ YERİ KİRA BEDELİ*0000867</t>
  </si>
  <si>
    <t>15800038278920201223083646269</t>
  </si>
  <si>
    <t>07/09/2020</t>
  </si>
  <si>
    <t>MURAT ÇALIŞKAN TARIM ÜRÜNLERİ SANAYİ VE TİCARET Lİ*0010*INTERNET EFT KİRA ÖDEMESİ*0658229</t>
  </si>
  <si>
    <t>15800038278920200907162222021</t>
  </si>
  <si>
    <t>16/03/2020</t>
  </si>
  <si>
    <t>KİRA BEDELİ*SEFA KANİ NARLIGÖL*H20024163435</t>
  </si>
  <si>
    <t>15800038278920200316105336138</t>
  </si>
  <si>
    <t>31/12/2021</t>
  </si>
  <si>
    <t>ADEM DUMAN İŞYERİ KİRA BEDELİ*ADEM DUMAN*H2112354037074</t>
  </si>
  <si>
    <t>15801006692720211231102259151</t>
  </si>
  <si>
    <t>23/02/2022</t>
  </si>
  <si>
    <t>SALİH KAYMAK*0203*KABEİ MESCİD MAH . İŞ YERİ BİR YILLIK KİRA BEDELİ*0012132</t>
  </si>
  <si>
    <t>15800038278920220223105924652</t>
  </si>
  <si>
    <t>29/12/2021</t>
  </si>
  <si>
    <t>SALİH KAYMAK*0203*KABEİ MESCİD MAH . İŞ YERİ BİR YILLIK KİRA BEDELİ*0007312</t>
  </si>
  <si>
    <t>15800038278920211229102336263</t>
  </si>
  <si>
    <t>13/10/2022</t>
  </si>
  <si>
    <t>SEDEF TÜFEK*0010*ZİRAAT MOBİL EFT KİRA BEDELİ*0127808</t>
  </si>
  <si>
    <t>15800038278920221013110012863</t>
  </si>
  <si>
    <t>10/10/2022</t>
  </si>
  <si>
    <t>SEDEF TÜFEK*0015*KİRA BEDELİ*5977788</t>
  </si>
  <si>
    <t>15800038278920221010165139433</t>
  </si>
  <si>
    <t>2023 yılı işyeri kira bedeli*ALİ DEMİREL*H2211064280115</t>
  </si>
  <si>
    <t>15800126861620221130151804732</t>
  </si>
  <si>
    <t>30/11/2022</t>
  </si>
  <si>
    <t>26/12/2022</t>
  </si>
  <si>
    <t>SALİH KAYMAK*0203*KABEİ MESCİD MAH . İŞ YERİ BİR YILLIK KİRA BEDELİ*0038717</t>
  </si>
  <si>
    <t>15800038278920221226161517064</t>
  </si>
  <si>
    <t>20/04/2021</t>
  </si>
  <si>
    <t>ALI DEMİREL KİRA ÖDE BALCI ALİ UMUT</t>
  </si>
  <si>
    <t>29/11/2021</t>
  </si>
  <si>
    <t>2022 yılı işyeri kira bedeli*ALİ DEMİREL*H2111309864955</t>
  </si>
  <si>
    <t>28/12/2021</t>
  </si>
  <si>
    <t>2021 YILI İŞYERİ KİRA BEDELİ*EMRE AKTAŞ*H2112350174796</t>
  </si>
  <si>
    <t>15800126861620211228110747587</t>
  </si>
  <si>
    <t>2021 yılı iş yeri kirası*MESUT DELİDUMAN*H2112350438195</t>
  </si>
  <si>
    <t>15800126861620211228141845576</t>
  </si>
  <si>
    <t>03/02/2023</t>
  </si>
  <si>
    <t>MERDAL KİPEL*0010*2022 ve 2023 yillik kira bedeli*1108100640*FAST</t>
  </si>
  <si>
    <t>15800126861620230203191122477</t>
  </si>
  <si>
    <t>MERDAL KİPEL*0010*kira*1108100976*FAST</t>
  </si>
  <si>
    <t>15800126861620230203191321891</t>
  </si>
  <si>
    <t>13/03/2023</t>
  </si>
  <si>
    <t>15800126861620230313160437152</t>
  </si>
  <si>
    <t>METİN ÇELİK*0134*2023 kira bedeli*158245089779*FAST</t>
  </si>
  <si>
    <t>15800126861620230313160917155</t>
  </si>
  <si>
    <t>19/04/2023</t>
  </si>
  <si>
    <t>15800126861620230419152222589</t>
  </si>
  <si>
    <t>27/11/2023</t>
  </si>
  <si>
    <t>METİN ÇELİK*0134*kira bedeli *251998215699*FAST</t>
  </si>
  <si>
    <t>15800126861620231127091040437</t>
  </si>
  <si>
    <t>01/12/2023</t>
  </si>
  <si>
    <t>15800126861620231201150312067</t>
  </si>
  <si>
    <t>06/12/2023</t>
  </si>
  <si>
    <t>CİHAN ÇAM*0111*kira odenegi*1220889704*FAST</t>
  </si>
  <si>
    <t>15800126861620231206115950628</t>
  </si>
  <si>
    <t>kesinti</t>
  </si>
  <si>
    <t>kira bedeli</t>
  </si>
  <si>
    <t>ALİ DEMİREL 2024 YILI İŞYERİ KİRA 128.000 ÜZERİ TEFE-TÜFE FARKININ ÜZERİNDE YT*ALİ DEMİREL*H2312325674979</t>
  </si>
  <si>
    <t>MERDAL KİPEL 2022 -2023 KİRA ÖDEMESİ*0250452 UMUT BOYRAZ*0010*ZİRAAT MOBİL EFT</t>
  </si>
  <si>
    <t>METİN ÇELİK DURAN NEŞE*0046*2023 kira bedeli*9327999*FAST</t>
  </si>
  <si>
    <t>26/09/2023</t>
  </si>
  <si>
    <t>SAMED TURGUT*0067**1201472682*FAST</t>
  </si>
  <si>
    <t>15800126861620230926135524096</t>
  </si>
  <si>
    <t>12/04/2023</t>
  </si>
  <si>
    <t>EMRULLAH ÖZER*0015*merdal kipel dosyasi tahsilat*459095387*FAST</t>
  </si>
  <si>
    <t>15800126861620230412120454332</t>
  </si>
  <si>
    <t>kiraya verenin ali umut balcı olduğu</t>
  </si>
  <si>
    <t>ali umut balcınında gelirinin beyan değerinin altında olduğu için</t>
  </si>
  <si>
    <t>beyanname vermediği hususunda dilekçe verildi</t>
  </si>
  <si>
    <t xml:space="preserve">beyan sınırının altında olduğu için dilekçe verildi beyan edilmedi </t>
  </si>
  <si>
    <t>çalışkan</t>
  </si>
  <si>
    <t>tzg</t>
  </si>
  <si>
    <t>hmb</t>
  </si>
  <si>
    <t>vergi</t>
  </si>
  <si>
    <t>beyanname verildi</t>
  </si>
  <si>
    <t>beyan sınırı altında gelir dilekçesi verildi</t>
  </si>
  <si>
    <t>ayhan tüfek e verilen emanet para nenesi tarafından havale</t>
  </si>
  <si>
    <t>edilirken sehven kira bedeli yazılmış</t>
  </si>
  <si>
    <t>aub</t>
  </si>
  <si>
    <t>toplam beyan</t>
  </si>
  <si>
    <t>kesintili ödeme</t>
  </si>
  <si>
    <t>vergisi aub tarafından ödenecek</t>
  </si>
  <si>
    <t>brüt</t>
  </si>
  <si>
    <t>net</t>
  </si>
  <si>
    <t>merdal kipel</t>
  </si>
  <si>
    <t>bankadan</t>
  </si>
  <si>
    <t>icradan</t>
  </si>
  <si>
    <t>brüt kira</t>
  </si>
  <si>
    <t>net kira</t>
  </si>
  <si>
    <t>TOPLAMLAR</t>
  </si>
  <si>
    <t>a</t>
  </si>
  <si>
    <t>b</t>
  </si>
  <si>
    <t>e</t>
  </si>
  <si>
    <t>f</t>
  </si>
  <si>
    <t>götürü</t>
  </si>
  <si>
    <t>sny</t>
  </si>
  <si>
    <t>%20 vergi</t>
  </si>
  <si>
    <t>kendi</t>
  </si>
  <si>
    <t>elden</t>
  </si>
  <si>
    <t>g</t>
  </si>
  <si>
    <t xml:space="preserve">vergi </t>
  </si>
  <si>
    <t>ödenen</t>
  </si>
  <si>
    <t>iade</t>
  </si>
  <si>
    <t>cd</t>
  </si>
  <si>
    <t>iade toplamı</t>
  </si>
  <si>
    <t>vergiye tabii net gelir</t>
  </si>
  <si>
    <t>ödenen stopaj</t>
  </si>
  <si>
    <t>stopaj</t>
  </si>
  <si>
    <t>ödenmeyen</t>
  </si>
  <si>
    <t>merdalın ödemediği</t>
  </si>
  <si>
    <t>2023 ödenen vergi</t>
  </si>
  <si>
    <t>götürü istisna</t>
  </si>
  <si>
    <t>vergiye tabii</t>
  </si>
  <si>
    <t>ödenecek</t>
  </si>
  <si>
    <t>kesintiyle ödenen</t>
  </si>
  <si>
    <t>net alınan</t>
  </si>
  <si>
    <t>biz 35000 banka + 13000 icra dairesi 48000 aldık ve öyle beyan ettik</t>
  </si>
  <si>
    <t>Deftere tabii olan kiracılar</t>
  </si>
  <si>
    <t>Götürü usul defter kiracılar</t>
  </si>
  <si>
    <t>merdal kipel vergi dairesine 41,025 TL üzerinden 8205 TL kesinti ödemesi göstermiş</t>
  </si>
  <si>
    <t xml:space="preserve">                                   brüt  41,025 TL üzerinden %20 vergi 8205 TL göstermiş</t>
  </si>
  <si>
    <t>merdalın muhasebe brüt 51 281,25 TL  net 41,025 TL vergi 10,256,25 göstermesi gerekirken</t>
  </si>
  <si>
    <t>merdalın muhasebe brüt 60 000,00 TL  net 48,000 TL vergi 12,000,00 göstererek</t>
  </si>
  <si>
    <t xml:space="preserve">kesinti yoluyla ödemesi gereken 12000 TL vergi yerine 8205 TL vergi ödemiş </t>
  </si>
  <si>
    <t>12000 - 8205 = 3795 TL merdal kipele ait vergiyi biz mdemiş olduk, hesabına yazıldı</t>
  </si>
  <si>
    <t>toplam</t>
  </si>
  <si>
    <t>gösterilen</t>
  </si>
  <si>
    <t>eksik ödenen vergi</t>
  </si>
  <si>
    <t>beyan ettiği</t>
  </si>
  <si>
    <t>Toplamlar</t>
  </si>
  <si>
    <t>resmi ödenecek vergi</t>
  </si>
  <si>
    <t>TAHMİN</t>
  </si>
  <si>
    <t>DOĞUŞ</t>
  </si>
  <si>
    <t>TUZGÜMRÜĞÜ</t>
  </si>
  <si>
    <t>VERGİ DAİRESİ ADRES KODLARI</t>
  </si>
  <si>
    <t>hesap</t>
  </si>
  <si>
    <t>hesap no</t>
  </si>
  <si>
    <t>Merdal Kipel                         umut kapatılan ortak hesap</t>
  </si>
  <si>
    <t>Süleyman Akan                    umut kapatılan ortak hesap</t>
  </si>
  <si>
    <t>Cihan ÇAM                    umut kapatılan ana hesap</t>
  </si>
  <si>
    <t>Salih ANT      umut kapatılan ana hesap    SALİH ANT*0111*2024 yılı iş yeri kira bedeli*1307883986*FAST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</si>
</sst>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0"/>
    <numFmt numFmtId="165" formatCode="dd/mm/yy;@"/>
  </numFmts>
  <fonts count="12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i/>
      <u/>
      <sz val="11"/>
      <color theme="1"/>
      <name val="Calibri"/>
      <family val="2"/>
      <charset val="162"/>
      <scheme val="minor"/>
    </font>
    <font>
      <i/>
      <u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4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4" fontId="0" fillId="2" borderId="0" xfId="0" applyNumberFormat="1" applyFill="1"/>
    <xf numFmtId="164" fontId="0" fillId="3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164" fontId="0" fillId="0" borderId="0" xfId="0" applyNumberFormat="1" applyFill="1"/>
    <xf numFmtId="164" fontId="0" fillId="4" borderId="0" xfId="0" applyNumberFormat="1" applyFill="1"/>
    <xf numFmtId="4" fontId="0" fillId="0" borderId="0" xfId="0" applyNumberFormat="1" applyFill="1" applyAlignment="1">
      <alignment horizontal="left"/>
    </xf>
    <xf numFmtId="164" fontId="1" fillId="0" borderId="0" xfId="0" applyNumberFormat="1" applyFont="1" applyFill="1"/>
    <xf numFmtId="164" fontId="1" fillId="0" borderId="0" xfId="0" applyNumberFormat="1" applyFont="1"/>
    <xf numFmtId="0" fontId="1" fillId="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164" fontId="3" fillId="3" borderId="0" xfId="0" applyNumberFormat="1" applyFont="1" applyFill="1"/>
    <xf numFmtId="4" fontId="3" fillId="3" borderId="0" xfId="0" applyNumberFormat="1" applyFont="1" applyFill="1"/>
    <xf numFmtId="164" fontId="4" fillId="0" borderId="0" xfId="0" applyNumberFormat="1" applyFont="1"/>
    <xf numFmtId="0" fontId="0" fillId="0" borderId="0" xfId="0" applyFont="1" applyAlignment="1">
      <alignment horizontal="right"/>
    </xf>
    <xf numFmtId="164" fontId="0" fillId="0" borderId="0" xfId="0" applyNumberFormat="1" applyFont="1"/>
    <xf numFmtId="164" fontId="2" fillId="0" borderId="0" xfId="0" applyNumberFormat="1" applyFont="1" applyAlignment="1">
      <alignment horizontal="center"/>
    </xf>
    <xf numFmtId="164" fontId="0" fillId="5" borderId="0" xfId="0" applyNumberFormat="1" applyFill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Fill="1" applyAlignment="1">
      <alignment horizontal="right"/>
    </xf>
    <xf numFmtId="4" fontId="1" fillId="5" borderId="0" xfId="0" applyNumberFormat="1" applyFont="1" applyFill="1"/>
    <xf numFmtId="164" fontId="2" fillId="4" borderId="0" xfId="0" applyNumberFormat="1" applyFont="1" applyFill="1"/>
    <xf numFmtId="164" fontId="3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1" applyNumberFormat="1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4" fontId="4" fillId="0" borderId="0" xfId="0" applyNumberFormat="1" applyFont="1" applyAlignment="1">
      <alignment horizontal="right"/>
    </xf>
    <xf numFmtId="4" fontId="4" fillId="0" borderId="0" xfId="0" applyNumberFormat="1" applyFont="1"/>
    <xf numFmtId="3" fontId="2" fillId="0" borderId="0" xfId="0" applyNumberFormat="1" applyFont="1"/>
    <xf numFmtId="4" fontId="0" fillId="5" borderId="0" xfId="0" applyNumberFormat="1" applyFill="1"/>
    <xf numFmtId="4" fontId="3" fillId="0" borderId="1" xfId="0" applyNumberFormat="1" applyFont="1" applyBorder="1"/>
    <xf numFmtId="4" fontId="1" fillId="0" borderId="0" xfId="0" applyNumberFormat="1" applyFont="1"/>
    <xf numFmtId="4" fontId="1" fillId="0" borderId="1" xfId="0" applyNumberFormat="1" applyFont="1" applyBorder="1"/>
    <xf numFmtId="4" fontId="3" fillId="0" borderId="1" xfId="0" applyNumberFormat="1" applyFont="1" applyBorder="1" applyAlignment="1">
      <alignment horizontal="right"/>
    </xf>
    <xf numFmtId="4" fontId="4" fillId="0" borderId="1" xfId="0" applyNumberFormat="1" applyFont="1" applyBorder="1"/>
    <xf numFmtId="4" fontId="4" fillId="0" borderId="1" xfId="0" applyNumberFormat="1" applyFont="1" applyBorder="1" applyAlignment="1">
      <alignment horizontal="right"/>
    </xf>
    <xf numFmtId="4" fontId="4" fillId="0" borderId="2" xfId="0" applyNumberFormat="1" applyFont="1" applyBorder="1"/>
    <xf numFmtId="4" fontId="4" fillId="0" borderId="2" xfId="0" applyNumberFormat="1" applyFont="1" applyBorder="1" applyAlignment="1">
      <alignment horizontal="right"/>
    </xf>
    <xf numFmtId="4" fontId="8" fillId="0" borderId="2" xfId="0" applyNumberFormat="1" applyFont="1" applyBorder="1"/>
    <xf numFmtId="9" fontId="2" fillId="0" borderId="0" xfId="1" applyFont="1"/>
    <xf numFmtId="9" fontId="0" fillId="0" borderId="0" xfId="0" applyNumberFormat="1"/>
    <xf numFmtId="0" fontId="4" fillId="0" borderId="0" xfId="0" applyFont="1"/>
    <xf numFmtId="0" fontId="4" fillId="0" borderId="1" xfId="0" applyFont="1" applyBorder="1"/>
    <xf numFmtId="0" fontId="0" fillId="6" borderId="0" xfId="0" applyFill="1"/>
    <xf numFmtId="164" fontId="2" fillId="6" borderId="0" xfId="0" applyNumberFormat="1" applyFont="1" applyFill="1"/>
    <xf numFmtId="164" fontId="4" fillId="6" borderId="0" xfId="0" applyNumberFormat="1" applyFont="1" applyFill="1"/>
    <xf numFmtId="0" fontId="1" fillId="0" borderId="0" xfId="0" applyFont="1"/>
    <xf numFmtId="0" fontId="4" fillId="0" borderId="0" xfId="0" applyFont="1" applyFill="1" applyAlignment="1">
      <alignment horizontal="left"/>
    </xf>
    <xf numFmtId="0" fontId="0" fillId="7" borderId="0" xfId="0" applyFill="1"/>
    <xf numFmtId="4" fontId="0" fillId="7" borderId="0" xfId="0" applyNumberFormat="1" applyFill="1"/>
    <xf numFmtId="164" fontId="4" fillId="7" borderId="0" xfId="0" applyNumberFormat="1" applyFont="1" applyFill="1"/>
    <xf numFmtId="164" fontId="2" fillId="7" borderId="0" xfId="0" applyNumberFormat="1" applyFont="1" applyFill="1" applyAlignment="1">
      <alignment horizontal="center"/>
    </xf>
    <xf numFmtId="164" fontId="0" fillId="7" borderId="0" xfId="0" applyNumberFormat="1" applyFill="1"/>
    <xf numFmtId="0" fontId="9" fillId="0" borderId="0" xfId="0" applyFont="1"/>
    <xf numFmtId="4" fontId="0" fillId="0" borderId="0" xfId="0" applyNumberFormat="1" applyFill="1" applyAlignment="1">
      <alignment horizontal="center"/>
    </xf>
    <xf numFmtId="0" fontId="10" fillId="0" borderId="0" xfId="0" applyFont="1"/>
    <xf numFmtId="164" fontId="0" fillId="8" borderId="1" xfId="0" applyNumberFormat="1" applyFill="1" applyBorder="1"/>
    <xf numFmtId="0" fontId="0" fillId="0" borderId="1" xfId="0" applyBorder="1"/>
    <xf numFmtId="165" fontId="0" fillId="0" borderId="0" xfId="0" applyNumberFormat="1" applyFill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Fill="1"/>
    <xf numFmtId="165" fontId="0" fillId="7" borderId="0" xfId="0" applyNumberFormat="1" applyFill="1"/>
    <xf numFmtId="165" fontId="2" fillId="8" borderId="1" xfId="0" applyNumberFormat="1" applyFont="1" applyFill="1" applyBorder="1" applyAlignment="1">
      <alignment horizontal="center"/>
    </xf>
    <xf numFmtId="0" fontId="0" fillId="5" borderId="0" xfId="0" applyFill="1"/>
    <xf numFmtId="165" fontId="0" fillId="5" borderId="0" xfId="0" applyNumberFormat="1" applyFill="1"/>
    <xf numFmtId="0" fontId="0" fillId="0" borderId="0" xfId="0" applyFill="1" applyAlignment="1"/>
    <xf numFmtId="164" fontId="8" fillId="0" borderId="1" xfId="0" applyNumberFormat="1" applyFont="1" applyFill="1" applyBorder="1"/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/>
    <xf numFmtId="0" fontId="0" fillId="0" borderId="0" xfId="0" applyFont="1" applyBorder="1"/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0" borderId="1" xfId="0" applyNumberFormat="1" applyFont="1" applyFill="1" applyBorder="1" applyAlignment="1">
      <alignment horizontal="right"/>
    </xf>
    <xf numFmtId="164" fontId="11" fillId="5" borderId="0" xfId="0" applyNumberFormat="1" applyFont="1" applyFill="1" applyBorder="1" applyAlignment="1">
      <alignment horizontal="right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CE68-38B3-4CBB-8CF9-FB77F953DE73}">
  <dimension ref="A1:H166"/>
  <sheetViews>
    <sheetView tabSelected="1" topLeftCell="A80" zoomScale="145" zoomScaleNormal="145" workbookViewId="0">
      <selection activeCell="E150" sqref="E150"/>
    </sheetView>
  </sheetViews>
  <sheetFormatPr defaultRowHeight="15" x14ac:dyDescent="0.25"/>
  <cols>
    <col min="2" max="2" width="11.85546875" style="71" bestFit="1" customWidth="1"/>
    <col min="3" max="3" width="11.85546875" customWidth="1"/>
    <col min="4" max="6" width="11.42578125" customWidth="1"/>
    <col min="7" max="7" width="75" customWidth="1"/>
    <col min="8" max="8" width="15" customWidth="1"/>
  </cols>
  <sheetData>
    <row r="1" spans="1:8" x14ac:dyDescent="0.25">
      <c r="D1" t="s">
        <v>65</v>
      </c>
      <c r="E1" t="s">
        <v>64</v>
      </c>
      <c r="F1" t="s">
        <v>82</v>
      </c>
    </row>
    <row r="2" spans="1:8" x14ac:dyDescent="0.25">
      <c r="A2" s="19">
        <v>2016</v>
      </c>
      <c r="B2" s="72" t="s">
        <v>81</v>
      </c>
      <c r="C2" s="19"/>
    </row>
    <row r="3" spans="1:8" x14ac:dyDescent="0.25">
      <c r="A3">
        <v>11756</v>
      </c>
      <c r="B3" s="73" t="s">
        <v>0</v>
      </c>
      <c r="C3" s="1"/>
      <c r="D3" s="2">
        <v>800</v>
      </c>
      <c r="E3" s="2"/>
      <c r="F3" s="2"/>
      <c r="G3" s="3" t="s">
        <v>1</v>
      </c>
      <c r="H3" t="s">
        <v>2</v>
      </c>
    </row>
    <row r="5" spans="1:8" x14ac:dyDescent="0.25">
      <c r="A5" s="19">
        <v>2018</v>
      </c>
      <c r="B5" s="72" t="s">
        <v>81</v>
      </c>
      <c r="C5" s="19"/>
      <c r="D5" s="23" t="s">
        <v>83</v>
      </c>
    </row>
    <row r="6" spans="1:8" x14ac:dyDescent="0.25">
      <c r="C6" s="54" t="s">
        <v>124</v>
      </c>
      <c r="D6" s="54" t="s">
        <v>91</v>
      </c>
      <c r="E6" s="54" t="s">
        <v>64</v>
      </c>
    </row>
    <row r="7" spans="1:8" x14ac:dyDescent="0.25">
      <c r="C7">
        <f>D7*0.8</f>
        <v>32500</v>
      </c>
      <c r="D7">
        <v>40625</v>
      </c>
      <c r="E7">
        <v>8125</v>
      </c>
      <c r="G7" t="s">
        <v>79</v>
      </c>
    </row>
    <row r="8" spans="1:8" x14ac:dyDescent="0.25">
      <c r="D8">
        <v>1750</v>
      </c>
      <c r="E8">
        <v>350</v>
      </c>
      <c r="G8" t="s">
        <v>80</v>
      </c>
    </row>
    <row r="10" spans="1:8" x14ac:dyDescent="0.25">
      <c r="A10" s="19">
        <v>2019</v>
      </c>
      <c r="B10" s="72" t="s">
        <v>81</v>
      </c>
      <c r="C10" s="19"/>
      <c r="D10" s="23" t="s">
        <v>83</v>
      </c>
    </row>
    <row r="11" spans="1:8" x14ac:dyDescent="0.25">
      <c r="A11" s="19"/>
      <c r="C11" s="54" t="s">
        <v>124</v>
      </c>
      <c r="D11" s="54" t="s">
        <v>91</v>
      </c>
      <c r="E11" s="54" t="s">
        <v>64</v>
      </c>
    </row>
    <row r="12" spans="1:8" x14ac:dyDescent="0.25">
      <c r="C12">
        <f>D12*0.8</f>
        <v>39000</v>
      </c>
      <c r="D12">
        <v>48750</v>
      </c>
      <c r="E12">
        <v>9750</v>
      </c>
      <c r="G12" t="s">
        <v>79</v>
      </c>
    </row>
    <row r="13" spans="1:8" x14ac:dyDescent="0.25">
      <c r="D13">
        <v>2000</v>
      </c>
      <c r="E13">
        <v>400</v>
      </c>
      <c r="G13" t="s">
        <v>80</v>
      </c>
    </row>
    <row r="17" spans="1:8" x14ac:dyDescent="0.25">
      <c r="A17" s="19">
        <v>2020</v>
      </c>
      <c r="B17" s="74" t="s">
        <v>81</v>
      </c>
      <c r="C17" s="20"/>
      <c r="D17" s="23" t="s">
        <v>83</v>
      </c>
      <c r="E17" s="2"/>
      <c r="F17" s="2"/>
      <c r="G17" s="3"/>
    </row>
    <row r="18" spans="1:8" x14ac:dyDescent="0.25">
      <c r="A18" s="19"/>
      <c r="C18" s="54" t="s">
        <v>124</v>
      </c>
      <c r="D18" s="54" t="s">
        <v>91</v>
      </c>
      <c r="E18" s="54" t="s">
        <v>64</v>
      </c>
      <c r="F18" s="2"/>
      <c r="G18" s="3"/>
    </row>
    <row r="19" spans="1:8" x14ac:dyDescent="0.25">
      <c r="A19" s="19"/>
      <c r="C19">
        <v>44000</v>
      </c>
      <c r="D19" s="2">
        <v>48888.88</v>
      </c>
      <c r="E19" s="2">
        <v>4888.8900000000003</v>
      </c>
      <c r="F19" s="2"/>
      <c r="G19" t="s">
        <v>79</v>
      </c>
    </row>
    <row r="20" spans="1:8" x14ac:dyDescent="0.25">
      <c r="A20" s="19"/>
      <c r="C20" s="24">
        <v>1800</v>
      </c>
      <c r="D20" s="2">
        <v>2000</v>
      </c>
      <c r="E20" s="2">
        <v>200</v>
      </c>
      <c r="F20" s="2"/>
      <c r="G20" t="s">
        <v>80</v>
      </c>
    </row>
    <row r="21" spans="1:8" x14ac:dyDescent="0.25">
      <c r="A21" s="19"/>
      <c r="B21" s="74"/>
      <c r="C21" s="20"/>
      <c r="D21" s="2"/>
      <c r="E21" s="2"/>
      <c r="F21" s="2"/>
    </row>
    <row r="22" spans="1:8" x14ac:dyDescent="0.25">
      <c r="A22" s="5">
        <v>382789</v>
      </c>
      <c r="B22" s="75" t="s">
        <v>9</v>
      </c>
      <c r="C22" s="6"/>
      <c r="D22" s="7">
        <v>44000</v>
      </c>
      <c r="E22" s="7"/>
      <c r="F22" s="7"/>
      <c r="G22" s="3" t="s">
        <v>10</v>
      </c>
      <c r="H22" t="s">
        <v>11</v>
      </c>
    </row>
    <row r="23" spans="1:8" x14ac:dyDescent="0.25">
      <c r="A23" s="5">
        <v>382789</v>
      </c>
      <c r="B23" s="75" t="s">
        <v>6</v>
      </c>
      <c r="C23" s="6"/>
      <c r="D23" s="8">
        <v>1800</v>
      </c>
      <c r="E23" s="8"/>
      <c r="F23" s="8"/>
      <c r="G23" s="3" t="s">
        <v>7</v>
      </c>
      <c r="H23" t="s">
        <v>8</v>
      </c>
    </row>
    <row r="24" spans="1:8" x14ac:dyDescent="0.25">
      <c r="A24" s="19"/>
      <c r="B24" s="74"/>
      <c r="C24" s="20"/>
      <c r="D24" s="2"/>
      <c r="E24" s="2"/>
      <c r="F24" s="2"/>
      <c r="G24" s="3"/>
    </row>
    <row r="25" spans="1:8" x14ac:dyDescent="0.25">
      <c r="A25" s="19"/>
      <c r="B25" s="74"/>
      <c r="C25" s="20"/>
      <c r="D25" s="2"/>
      <c r="E25" s="2"/>
      <c r="F25" s="2"/>
      <c r="G25" s="3"/>
    </row>
    <row r="26" spans="1:8" x14ac:dyDescent="0.25">
      <c r="A26">
        <v>382789</v>
      </c>
      <c r="B26" s="73" t="s">
        <v>12</v>
      </c>
      <c r="C26" s="1"/>
      <c r="D26" s="22">
        <v>4800</v>
      </c>
      <c r="E26" s="4"/>
      <c r="F26" s="4"/>
      <c r="G26" s="3" t="s">
        <v>13</v>
      </c>
      <c r="H26" t="s">
        <v>14</v>
      </c>
    </row>
    <row r="27" spans="1:8" x14ac:dyDescent="0.25">
      <c r="A27" s="1">
        <v>66927</v>
      </c>
      <c r="B27" s="73" t="s">
        <v>3</v>
      </c>
      <c r="C27" s="1"/>
      <c r="D27" s="21">
        <v>24000</v>
      </c>
      <c r="E27" s="2"/>
      <c r="F27" s="2"/>
      <c r="G27" s="3" t="s">
        <v>4</v>
      </c>
      <c r="H27" t="s">
        <v>5</v>
      </c>
    </row>
    <row r="28" spans="1:8" x14ac:dyDescent="0.25">
      <c r="A28" s="1"/>
      <c r="B28" s="73"/>
      <c r="C28" s="1"/>
      <c r="D28" s="2"/>
      <c r="E28" s="2"/>
      <c r="F28" s="2"/>
      <c r="G28" s="3" t="s">
        <v>75</v>
      </c>
    </row>
    <row r="29" spans="1:8" x14ac:dyDescent="0.25">
      <c r="A29" s="1"/>
      <c r="B29" s="73"/>
      <c r="C29" s="1"/>
      <c r="D29" s="2"/>
      <c r="E29" s="2"/>
      <c r="F29" s="2"/>
      <c r="G29" s="3" t="s">
        <v>76</v>
      </c>
    </row>
    <row r="30" spans="1:8" x14ac:dyDescent="0.25">
      <c r="A30" s="1"/>
      <c r="B30" s="73"/>
      <c r="C30" s="1"/>
      <c r="D30" s="2"/>
      <c r="E30" s="2"/>
      <c r="F30" s="2"/>
      <c r="G30" s="3" t="s">
        <v>77</v>
      </c>
    </row>
    <row r="31" spans="1:8" x14ac:dyDescent="0.25">
      <c r="A31" s="1"/>
      <c r="B31" s="73"/>
      <c r="C31" s="1"/>
      <c r="D31" s="2"/>
      <c r="E31" s="2"/>
      <c r="F31" s="2"/>
      <c r="G31" s="3"/>
    </row>
    <row r="33" spans="1:8" x14ac:dyDescent="0.25">
      <c r="A33" s="1"/>
      <c r="B33" s="73"/>
      <c r="C33" s="1"/>
      <c r="D33" s="2"/>
      <c r="E33" s="2"/>
      <c r="F33" s="2"/>
      <c r="G33" s="3"/>
    </row>
    <row r="34" spans="1:8" x14ac:dyDescent="0.25">
      <c r="A34" s="19">
        <v>2021</v>
      </c>
      <c r="B34" s="74" t="s">
        <v>81</v>
      </c>
      <c r="C34" s="20"/>
      <c r="D34" s="23" t="s">
        <v>84</v>
      </c>
      <c r="E34" s="2"/>
      <c r="F34" s="2"/>
      <c r="G34" s="3"/>
    </row>
    <row r="35" spans="1:8" x14ac:dyDescent="0.25">
      <c r="A35" s="19"/>
      <c r="C35" s="54" t="s">
        <v>124</v>
      </c>
      <c r="D35" s="54" t="s">
        <v>91</v>
      </c>
      <c r="E35" s="54" t="s">
        <v>64</v>
      </c>
      <c r="F35" s="2"/>
      <c r="G35" s="3"/>
    </row>
    <row r="36" spans="1:8" x14ac:dyDescent="0.25">
      <c r="A36" s="6">
        <v>66927</v>
      </c>
      <c r="B36" s="75" t="s">
        <v>15</v>
      </c>
      <c r="C36" s="6"/>
      <c r="D36" s="7">
        <v>6000</v>
      </c>
      <c r="E36" s="7"/>
      <c r="F36" s="7"/>
      <c r="G36" s="3" t="s">
        <v>16</v>
      </c>
      <c r="H36" t="s">
        <v>17</v>
      </c>
    </row>
    <row r="37" spans="1:8" x14ac:dyDescent="0.25">
      <c r="A37" s="5">
        <v>382789</v>
      </c>
      <c r="B37" s="75" t="s">
        <v>21</v>
      </c>
      <c r="C37" s="6"/>
      <c r="D37" s="8">
        <v>3000</v>
      </c>
      <c r="E37" s="8"/>
      <c r="F37" s="8"/>
      <c r="G37" s="3" t="s">
        <v>22</v>
      </c>
      <c r="H37" t="s">
        <v>23</v>
      </c>
    </row>
    <row r="38" spans="1:8" x14ac:dyDescent="0.25">
      <c r="G38" s="3" t="s">
        <v>78</v>
      </c>
    </row>
    <row r="43" spans="1:8" x14ac:dyDescent="0.25">
      <c r="A43" s="19">
        <v>2022</v>
      </c>
      <c r="B43" s="74" t="s">
        <v>81</v>
      </c>
      <c r="C43" s="20"/>
      <c r="D43" s="23" t="s">
        <v>84</v>
      </c>
    </row>
    <row r="44" spans="1:8" x14ac:dyDescent="0.25">
      <c r="A44" s="19"/>
      <c r="B44" s="74"/>
      <c r="C44" s="54" t="s">
        <v>124</v>
      </c>
      <c r="D44" s="54" t="s">
        <v>91</v>
      </c>
      <c r="E44" s="54" t="s">
        <v>64</v>
      </c>
    </row>
    <row r="45" spans="1:8" x14ac:dyDescent="0.25">
      <c r="A45">
        <v>382789</v>
      </c>
      <c r="B45" s="73" t="s">
        <v>18</v>
      </c>
      <c r="C45" s="1"/>
      <c r="D45" s="4">
        <v>500</v>
      </c>
      <c r="E45" s="4"/>
      <c r="F45" s="4"/>
      <c r="G45" s="3" t="s">
        <v>19</v>
      </c>
      <c r="H45" t="s">
        <v>20</v>
      </c>
    </row>
    <row r="46" spans="1:8" x14ac:dyDescent="0.25">
      <c r="A46" s="5">
        <v>382789</v>
      </c>
      <c r="B46" s="75" t="s">
        <v>33</v>
      </c>
      <c r="C46" s="6"/>
      <c r="D46" s="7">
        <v>3300</v>
      </c>
      <c r="E46" s="7"/>
      <c r="F46" s="7"/>
      <c r="G46" s="3" t="s">
        <v>34</v>
      </c>
      <c r="H46" t="s">
        <v>35</v>
      </c>
    </row>
    <row r="48" spans="1:8" x14ac:dyDescent="0.25">
      <c r="A48">
        <v>382789</v>
      </c>
      <c r="B48" s="73" t="s">
        <v>27</v>
      </c>
      <c r="C48" s="1"/>
      <c r="D48" s="21">
        <v>10300</v>
      </c>
      <c r="E48" s="9"/>
      <c r="F48" s="9"/>
      <c r="G48" s="3" t="s">
        <v>28</v>
      </c>
      <c r="H48" t="s">
        <v>29</v>
      </c>
    </row>
    <row r="49" spans="1:8" x14ac:dyDescent="0.25">
      <c r="A49">
        <v>382789</v>
      </c>
      <c r="B49" s="73" t="s">
        <v>24</v>
      </c>
      <c r="C49" s="1"/>
      <c r="D49" s="21">
        <v>9000</v>
      </c>
      <c r="E49" s="9"/>
      <c r="F49" s="9"/>
      <c r="G49" s="3" t="s">
        <v>25</v>
      </c>
      <c r="H49" t="s">
        <v>26</v>
      </c>
    </row>
    <row r="50" spans="1:8" x14ac:dyDescent="0.25">
      <c r="B50" s="70"/>
      <c r="C50" s="10"/>
      <c r="D50" s="13"/>
      <c r="E50" s="13"/>
      <c r="F50" s="13"/>
      <c r="G50" s="11" t="s">
        <v>85</v>
      </c>
      <c r="H50" s="12"/>
    </row>
    <row r="51" spans="1:8" x14ac:dyDescent="0.25">
      <c r="B51" s="76"/>
      <c r="C51" s="12"/>
      <c r="D51" s="12"/>
      <c r="E51" s="12"/>
      <c r="F51" s="12"/>
      <c r="G51" s="11" t="s">
        <v>86</v>
      </c>
      <c r="H51" s="12"/>
    </row>
    <row r="52" spans="1:8" x14ac:dyDescent="0.25">
      <c r="B52" s="70"/>
      <c r="C52" s="10"/>
      <c r="D52" s="13"/>
      <c r="E52" s="13"/>
      <c r="F52" s="13"/>
      <c r="G52" s="11"/>
      <c r="H52" s="12"/>
    </row>
    <row r="53" spans="1:8" x14ac:dyDescent="0.25">
      <c r="A53" s="19">
        <v>2020</v>
      </c>
      <c r="B53" s="74" t="s">
        <v>87</v>
      </c>
      <c r="C53" s="20"/>
      <c r="D53" s="23" t="s">
        <v>84</v>
      </c>
      <c r="E53" s="13"/>
      <c r="F53" s="13"/>
      <c r="G53" s="11"/>
      <c r="H53" s="12"/>
    </row>
    <row r="54" spans="1:8" x14ac:dyDescent="0.25">
      <c r="A54" s="19"/>
      <c r="B54" s="74"/>
      <c r="C54" s="54" t="s">
        <v>124</v>
      </c>
      <c r="D54" s="54" t="s">
        <v>91</v>
      </c>
      <c r="E54" s="54" t="s">
        <v>64</v>
      </c>
      <c r="F54" s="13"/>
      <c r="G54" s="11"/>
      <c r="H54" s="12"/>
    </row>
    <row r="55" spans="1:8" x14ac:dyDescent="0.25">
      <c r="A55">
        <v>382789</v>
      </c>
      <c r="B55" s="73" t="s">
        <v>12</v>
      </c>
      <c r="C55" s="1"/>
      <c r="D55" s="22">
        <v>4800</v>
      </c>
      <c r="E55" s="4"/>
      <c r="F55" s="4"/>
      <c r="G55" s="3" t="s">
        <v>13</v>
      </c>
      <c r="H55" t="s">
        <v>14</v>
      </c>
    </row>
    <row r="56" spans="1:8" x14ac:dyDescent="0.25">
      <c r="A56" s="1">
        <v>66927</v>
      </c>
      <c r="B56" s="73" t="s">
        <v>3</v>
      </c>
      <c r="C56" s="1"/>
      <c r="D56" s="21">
        <v>24000</v>
      </c>
      <c r="E56" s="2"/>
      <c r="F56" s="2"/>
      <c r="G56" s="3" t="s">
        <v>4</v>
      </c>
      <c r="H56" t="s">
        <v>5</v>
      </c>
    </row>
    <row r="57" spans="1:8" x14ac:dyDescent="0.25">
      <c r="A57" s="19"/>
      <c r="B57" s="74"/>
      <c r="C57" s="20"/>
      <c r="D57" s="23"/>
      <c r="E57" s="13"/>
      <c r="F57" s="13"/>
      <c r="G57" s="11"/>
      <c r="H57" s="12"/>
    </row>
    <row r="58" spans="1:8" x14ac:dyDescent="0.25">
      <c r="B58" s="70"/>
      <c r="C58" s="10"/>
      <c r="D58" s="13"/>
      <c r="E58" s="13"/>
      <c r="F58" s="13"/>
      <c r="G58" s="11"/>
      <c r="H58" s="12"/>
    </row>
    <row r="59" spans="1:8" x14ac:dyDescent="0.25">
      <c r="A59" s="19">
        <v>2021</v>
      </c>
      <c r="B59" s="74" t="s">
        <v>87</v>
      </c>
      <c r="C59" s="20"/>
      <c r="D59" s="23" t="s">
        <v>83</v>
      </c>
      <c r="E59" s="13"/>
      <c r="F59" s="13"/>
      <c r="G59" s="11"/>
      <c r="H59" s="12"/>
    </row>
    <row r="60" spans="1:8" x14ac:dyDescent="0.25">
      <c r="A60" s="19"/>
      <c r="B60" s="74"/>
      <c r="C60" s="54" t="s">
        <v>124</v>
      </c>
      <c r="D60" s="54" t="s">
        <v>91</v>
      </c>
      <c r="E60" s="54" t="s">
        <v>64</v>
      </c>
      <c r="F60" s="13"/>
      <c r="G60" s="11"/>
      <c r="H60" s="12"/>
    </row>
    <row r="61" spans="1:8" x14ac:dyDescent="0.25">
      <c r="C61">
        <f>D61*0.8</f>
        <v>51800</v>
      </c>
      <c r="D61">
        <v>64750</v>
      </c>
      <c r="E61">
        <f>E63</f>
        <v>10790</v>
      </c>
      <c r="G61" t="s">
        <v>89</v>
      </c>
    </row>
    <row r="62" spans="1:8" x14ac:dyDescent="0.25">
      <c r="D62" s="4">
        <f>D66+D67</f>
        <v>10800</v>
      </c>
      <c r="G62" t="s">
        <v>90</v>
      </c>
    </row>
    <row r="63" spans="1:8" x14ac:dyDescent="0.25">
      <c r="D63" s="2">
        <f>D65</f>
        <v>43160</v>
      </c>
      <c r="E63">
        <v>10790</v>
      </c>
      <c r="G63" t="s">
        <v>88</v>
      </c>
    </row>
    <row r="64" spans="1:8" x14ac:dyDescent="0.25">
      <c r="B64" s="70"/>
      <c r="C64" s="10"/>
      <c r="D64" s="13"/>
      <c r="F64" s="13"/>
      <c r="G64" s="11"/>
      <c r="H64" s="10"/>
    </row>
    <row r="65" spans="1:8" x14ac:dyDescent="0.25">
      <c r="A65">
        <v>1268616</v>
      </c>
      <c r="B65" s="70" t="s">
        <v>38</v>
      </c>
      <c r="C65" s="10"/>
      <c r="D65" s="13">
        <v>43160</v>
      </c>
      <c r="E65" s="13">
        <f>D65/80*100*0.2</f>
        <v>10790</v>
      </c>
      <c r="F65" s="13"/>
      <c r="G65" s="11" t="s">
        <v>39</v>
      </c>
      <c r="H65" s="10"/>
    </row>
    <row r="66" spans="1:8" x14ac:dyDescent="0.25">
      <c r="A66">
        <v>1268616</v>
      </c>
      <c r="B66" s="70" t="s">
        <v>40</v>
      </c>
      <c r="C66" s="10"/>
      <c r="D66" s="13">
        <v>4800</v>
      </c>
      <c r="E66" s="13"/>
      <c r="F66" s="13"/>
      <c r="G66" s="11" t="s">
        <v>41</v>
      </c>
      <c r="H66" s="12" t="s">
        <v>42</v>
      </c>
    </row>
    <row r="67" spans="1:8" x14ac:dyDescent="0.25">
      <c r="A67">
        <v>1268616</v>
      </c>
      <c r="B67" s="70" t="s">
        <v>40</v>
      </c>
      <c r="C67" s="10"/>
      <c r="D67" s="13">
        <v>6000</v>
      </c>
      <c r="E67" s="13"/>
      <c r="F67" s="13"/>
      <c r="G67" s="11" t="s">
        <v>43</v>
      </c>
      <c r="H67" s="12" t="s">
        <v>44</v>
      </c>
    </row>
    <row r="68" spans="1:8" x14ac:dyDescent="0.25">
      <c r="B68" s="70"/>
      <c r="C68" s="10"/>
      <c r="D68" s="14">
        <f>SUM(D65:D67)</f>
        <v>53960</v>
      </c>
      <c r="E68" s="14"/>
      <c r="F68" s="14"/>
      <c r="G68" s="15"/>
      <c r="H68" s="12"/>
    </row>
    <row r="70" spans="1:8" x14ac:dyDescent="0.25">
      <c r="A70">
        <v>1268616</v>
      </c>
      <c r="B70" s="70" t="s">
        <v>36</v>
      </c>
      <c r="C70" s="10"/>
      <c r="D70" s="16">
        <v>5997</v>
      </c>
      <c r="E70" s="13"/>
      <c r="F70" s="13"/>
      <c r="G70" s="11" t="s">
        <v>37</v>
      </c>
      <c r="H70" s="10"/>
    </row>
    <row r="71" spans="1:8" x14ac:dyDescent="0.25">
      <c r="B71" s="70"/>
      <c r="C71" s="10"/>
      <c r="D71" s="4"/>
      <c r="E71" s="4"/>
      <c r="F71" s="4"/>
      <c r="G71" s="15"/>
      <c r="H71" s="12"/>
    </row>
    <row r="72" spans="1:8" x14ac:dyDescent="0.25">
      <c r="B72" s="70"/>
      <c r="C72" s="10"/>
      <c r="D72" s="13"/>
      <c r="E72" s="13"/>
      <c r="F72" s="13"/>
      <c r="G72" s="81"/>
      <c r="H72" s="12"/>
    </row>
    <row r="73" spans="1:8" x14ac:dyDescent="0.25">
      <c r="A73" s="19">
        <v>2022</v>
      </c>
      <c r="B73" s="74" t="s">
        <v>87</v>
      </c>
      <c r="C73" s="20"/>
      <c r="D73" s="23" t="s">
        <v>83</v>
      </c>
      <c r="E73" s="13"/>
      <c r="F73" s="13"/>
      <c r="G73" s="11"/>
      <c r="H73" s="12"/>
    </row>
    <row r="74" spans="1:8" x14ac:dyDescent="0.25">
      <c r="A74" s="19"/>
      <c r="B74" s="74"/>
      <c r="C74" s="54" t="s">
        <v>124</v>
      </c>
      <c r="D74" s="54" t="s">
        <v>91</v>
      </c>
      <c r="E74" s="54" t="s">
        <v>64</v>
      </c>
      <c r="F74" s="13"/>
      <c r="G74" s="11"/>
      <c r="H74" s="12"/>
    </row>
    <row r="75" spans="1:8" x14ac:dyDescent="0.25">
      <c r="A75" s="19"/>
      <c r="C75">
        <f>D75*0.8</f>
        <v>80000</v>
      </c>
      <c r="D75" s="25">
        <v>100000</v>
      </c>
      <c r="E75" s="13">
        <v>20000</v>
      </c>
      <c r="F75" s="13"/>
      <c r="G75" s="11"/>
      <c r="H75" s="12"/>
    </row>
    <row r="76" spans="1:8" x14ac:dyDescent="0.25">
      <c r="A76" s="19"/>
      <c r="B76" s="74"/>
      <c r="C76" s="20"/>
      <c r="D76" s="23"/>
      <c r="E76" s="13"/>
      <c r="F76" s="13"/>
      <c r="G76" s="11"/>
      <c r="H76" s="12"/>
    </row>
    <row r="77" spans="1:8" x14ac:dyDescent="0.25">
      <c r="A77">
        <v>1268616</v>
      </c>
      <c r="B77" s="70" t="s">
        <v>32</v>
      </c>
      <c r="C77" s="10"/>
      <c r="D77" s="13">
        <v>80000</v>
      </c>
      <c r="E77" s="13"/>
      <c r="F77" s="13"/>
      <c r="G77" s="11" t="s">
        <v>30</v>
      </c>
      <c r="H77" s="12" t="s">
        <v>31</v>
      </c>
    </row>
    <row r="78" spans="1:8" x14ac:dyDescent="0.25">
      <c r="B78" s="70"/>
      <c r="C78" s="10"/>
      <c r="D78" s="13"/>
      <c r="E78" s="13"/>
      <c r="F78" s="13"/>
      <c r="G78" s="15"/>
      <c r="H78" s="12"/>
    </row>
    <row r="79" spans="1:8" x14ac:dyDescent="0.25">
      <c r="A79" s="19">
        <v>2023</v>
      </c>
      <c r="B79" s="74" t="s">
        <v>87</v>
      </c>
      <c r="C79" s="20"/>
      <c r="D79" s="23" t="s">
        <v>83</v>
      </c>
      <c r="E79" s="13"/>
      <c r="F79" s="13"/>
      <c r="G79" s="11"/>
      <c r="H79" s="12"/>
    </row>
    <row r="80" spans="1:8" x14ac:dyDescent="0.25">
      <c r="A80" s="19"/>
      <c r="B80" s="74"/>
      <c r="C80" s="54" t="s">
        <v>124</v>
      </c>
      <c r="D80" s="54" t="s">
        <v>91</v>
      </c>
      <c r="E80" s="54" t="s">
        <v>64</v>
      </c>
      <c r="F80" s="13"/>
      <c r="G80" s="11"/>
      <c r="H80" s="12"/>
    </row>
    <row r="81" spans="1:8" x14ac:dyDescent="0.25">
      <c r="A81" s="19"/>
      <c r="C81" s="4">
        <f>D93</f>
        <v>183000</v>
      </c>
      <c r="D81" s="57">
        <f>C81/80*100</f>
        <v>228750</v>
      </c>
      <c r="E81" s="26">
        <f>E86+E100</f>
        <v>41955</v>
      </c>
      <c r="F81" s="13"/>
      <c r="G81" s="11" t="s">
        <v>89</v>
      </c>
      <c r="H81" s="12"/>
    </row>
    <row r="82" spans="1:8" x14ac:dyDescent="0.25">
      <c r="A82" s="19"/>
      <c r="C82" s="4"/>
      <c r="D82" s="57">
        <f>D109</f>
        <v>30800</v>
      </c>
      <c r="E82" s="26"/>
      <c r="F82" s="13"/>
      <c r="G82" t="s">
        <v>90</v>
      </c>
      <c r="H82" s="12"/>
    </row>
    <row r="83" spans="1:8" x14ac:dyDescent="0.25">
      <c r="A83" s="19"/>
      <c r="B83" s="77"/>
      <c r="C83" s="61"/>
      <c r="D83" s="62">
        <f>SUM(D81:D82)</f>
        <v>259550</v>
      </c>
      <c r="E83" s="63">
        <f>E81</f>
        <v>41955</v>
      </c>
      <c r="F83" s="64"/>
      <c r="G83" s="60" t="s">
        <v>88</v>
      </c>
      <c r="H83" s="12"/>
    </row>
    <row r="84" spans="1:8" x14ac:dyDescent="0.25">
      <c r="A84" s="19"/>
      <c r="C84" s="4"/>
      <c r="D84" s="23"/>
      <c r="E84" s="26"/>
      <c r="F84" s="13"/>
      <c r="G84" s="11"/>
      <c r="H84" s="12"/>
    </row>
    <row r="85" spans="1:8" x14ac:dyDescent="0.25">
      <c r="A85" t="s">
        <v>144</v>
      </c>
      <c r="B85" s="74"/>
      <c r="C85" s="28" t="s">
        <v>91</v>
      </c>
      <c r="D85" s="29" t="s">
        <v>92</v>
      </c>
      <c r="E85" s="30" t="s">
        <v>82</v>
      </c>
      <c r="F85" s="13"/>
      <c r="G85" s="53" t="s">
        <v>126</v>
      </c>
      <c r="H85" s="12"/>
    </row>
    <row r="86" spans="1:8" x14ac:dyDescent="0.25">
      <c r="A86">
        <v>1268616</v>
      </c>
      <c r="B86" s="70" t="s">
        <v>59</v>
      </c>
      <c r="C86" s="10">
        <v>168750</v>
      </c>
      <c r="D86" s="27">
        <v>135000</v>
      </c>
      <c r="E86" s="10">
        <f>C86*20/100</f>
        <v>33750</v>
      </c>
      <c r="F86" s="13"/>
      <c r="G86" s="11" t="s">
        <v>66</v>
      </c>
      <c r="H86" s="12" t="s">
        <v>60</v>
      </c>
    </row>
    <row r="87" spans="1:8" x14ac:dyDescent="0.25">
      <c r="A87">
        <v>1268616</v>
      </c>
      <c r="B87" s="70" t="s">
        <v>45</v>
      </c>
      <c r="C87">
        <f>D87*1.25</f>
        <v>6000</v>
      </c>
      <c r="D87" s="13">
        <v>4800</v>
      </c>
      <c r="E87" s="13">
        <f>C87*20/100</f>
        <v>1200</v>
      </c>
      <c r="F87" s="13"/>
      <c r="G87" s="11" t="s">
        <v>46</v>
      </c>
      <c r="H87" s="12" t="s">
        <v>47</v>
      </c>
    </row>
    <row r="88" spans="1:8" x14ac:dyDescent="0.25">
      <c r="A88">
        <v>1268616</v>
      </c>
      <c r="B88" s="70" t="s">
        <v>45</v>
      </c>
      <c r="C88">
        <f>D88*1.25</f>
        <v>2650</v>
      </c>
      <c r="D88" s="13">
        <v>2120</v>
      </c>
      <c r="E88" s="13">
        <f>C88*20/100</f>
        <v>530</v>
      </c>
      <c r="F88" s="13"/>
      <c r="G88" s="11" t="s">
        <v>48</v>
      </c>
      <c r="H88" s="12" t="s">
        <v>49</v>
      </c>
    </row>
    <row r="89" spans="1:8" x14ac:dyDescent="0.25">
      <c r="A89">
        <v>1268616</v>
      </c>
      <c r="B89" s="70" t="s">
        <v>54</v>
      </c>
      <c r="C89">
        <f>D89*1.25</f>
        <v>35100</v>
      </c>
      <c r="D89" s="27">
        <v>28080</v>
      </c>
      <c r="E89" s="13">
        <f>C89*20/100</f>
        <v>7020</v>
      </c>
      <c r="G89" s="11" t="s">
        <v>67</v>
      </c>
      <c r="H89" s="12" t="s">
        <v>55</v>
      </c>
    </row>
    <row r="90" spans="1:8" x14ac:dyDescent="0.25">
      <c r="A90">
        <v>1268616</v>
      </c>
      <c r="B90" s="73" t="s">
        <v>72</v>
      </c>
      <c r="C90">
        <f>D90*1.25</f>
        <v>16250</v>
      </c>
      <c r="D90" s="17">
        <v>13000</v>
      </c>
      <c r="E90" s="13"/>
      <c r="F90" s="16">
        <f>C90*20/100</f>
        <v>3250</v>
      </c>
      <c r="G90" s="3" t="s">
        <v>73</v>
      </c>
      <c r="H90" t="s">
        <v>74</v>
      </c>
    </row>
    <row r="91" spans="1:8" x14ac:dyDescent="0.25">
      <c r="B91" s="73" t="s">
        <v>137</v>
      </c>
      <c r="D91" s="17">
        <v>41025</v>
      </c>
      <c r="E91" s="13">
        <v>8205</v>
      </c>
      <c r="F91" s="16"/>
      <c r="G91" s="3"/>
    </row>
    <row r="93" spans="1:8" x14ac:dyDescent="0.25">
      <c r="B93" s="73" t="s">
        <v>138</v>
      </c>
      <c r="C93" s="55">
        <f>SUM(C86:C92)</f>
        <v>228750</v>
      </c>
      <c r="D93" s="2">
        <f>SUM(D86:D92)-D91</f>
        <v>183000</v>
      </c>
      <c r="E93" s="2">
        <f>SUM(E86+E91)</f>
        <v>41955</v>
      </c>
    </row>
    <row r="94" spans="1:8" x14ac:dyDescent="0.25">
      <c r="C94" s="12"/>
      <c r="D94" s="2"/>
      <c r="E94" s="2"/>
      <c r="F94" s="58"/>
    </row>
    <row r="95" spans="1:8" x14ac:dyDescent="0.25">
      <c r="D95" s="2">
        <v>41025</v>
      </c>
      <c r="E95" s="13">
        <f>D95*0.2</f>
        <v>8205</v>
      </c>
      <c r="F95" s="58" t="s">
        <v>128</v>
      </c>
    </row>
    <row r="96" spans="1:8" x14ac:dyDescent="0.25">
      <c r="F96" s="58" t="s">
        <v>130</v>
      </c>
    </row>
    <row r="97" spans="1:8" x14ac:dyDescent="0.25">
      <c r="C97" s="20" t="s">
        <v>94</v>
      </c>
      <c r="D97" s="2">
        <f>SUM(D87:D89)</f>
        <v>35000</v>
      </c>
      <c r="F97" s="58" t="s">
        <v>129</v>
      </c>
    </row>
    <row r="98" spans="1:8" x14ac:dyDescent="0.25">
      <c r="A98" s="19"/>
      <c r="B98" s="74"/>
      <c r="C98" s="20" t="s">
        <v>95</v>
      </c>
      <c r="D98">
        <v>13000</v>
      </c>
      <c r="F98" s="16" t="s">
        <v>125</v>
      </c>
      <c r="G98" s="11"/>
      <c r="H98" s="12"/>
    </row>
    <row r="99" spans="1:8" x14ac:dyDescent="0.25">
      <c r="A99" s="19"/>
      <c r="B99" s="74"/>
      <c r="C99" s="20" t="s">
        <v>134</v>
      </c>
      <c r="D99" s="2">
        <f>SUM(D97:D98)</f>
        <v>48000</v>
      </c>
      <c r="E99" s="27">
        <f>D99/80*20</f>
        <v>12000</v>
      </c>
      <c r="F99" s="58" t="s">
        <v>131</v>
      </c>
      <c r="G99" s="11"/>
      <c r="H99" s="12"/>
    </row>
    <row r="100" spans="1:8" x14ac:dyDescent="0.25">
      <c r="A100" s="19"/>
      <c r="B100" s="74"/>
      <c r="C100" s="20" t="s">
        <v>135</v>
      </c>
      <c r="D100">
        <v>41025</v>
      </c>
      <c r="E100" s="27">
        <f>D100/100*20</f>
        <v>8205</v>
      </c>
      <c r="F100" s="16" t="s">
        <v>132</v>
      </c>
      <c r="G100" s="11"/>
      <c r="H100" s="12"/>
    </row>
    <row r="101" spans="1:8" x14ac:dyDescent="0.25">
      <c r="A101" s="19"/>
      <c r="B101" s="74"/>
      <c r="C101" s="20" t="s">
        <v>136</v>
      </c>
      <c r="E101" s="31">
        <f>E99-E100</f>
        <v>3795</v>
      </c>
      <c r="F101" s="16" t="s">
        <v>133</v>
      </c>
      <c r="G101" s="11"/>
      <c r="H101" s="12"/>
    </row>
    <row r="102" spans="1:8" x14ac:dyDescent="0.25">
      <c r="A102" s="19"/>
      <c r="B102" s="74"/>
      <c r="F102" s="16"/>
      <c r="G102" s="11"/>
      <c r="H102" s="12"/>
    </row>
    <row r="103" spans="1:8" x14ac:dyDescent="0.25">
      <c r="A103" s="19"/>
      <c r="B103" s="74"/>
      <c r="C103" s="20"/>
      <c r="D103" s="23"/>
      <c r="E103" s="13"/>
      <c r="F103" s="16"/>
      <c r="G103" s="59" t="s">
        <v>127</v>
      </c>
      <c r="H103" s="12"/>
    </row>
    <row r="104" spans="1:8" x14ac:dyDescent="0.25">
      <c r="A104">
        <v>1268616</v>
      </c>
      <c r="B104" s="70" t="s">
        <v>50</v>
      </c>
      <c r="D104" s="13">
        <v>2400</v>
      </c>
      <c r="E104" s="13"/>
      <c r="F104" s="13">
        <f>D104*0.2</f>
        <v>480</v>
      </c>
      <c r="G104" s="11" t="s">
        <v>68</v>
      </c>
      <c r="H104" s="12" t="s">
        <v>51</v>
      </c>
    </row>
    <row r="105" spans="1:8" x14ac:dyDescent="0.25">
      <c r="A105">
        <v>1268616</v>
      </c>
      <c r="B105" s="70" t="s">
        <v>50</v>
      </c>
      <c r="D105" s="13">
        <v>2400</v>
      </c>
      <c r="E105" s="13"/>
      <c r="F105" s="13">
        <f t="shared" ref="F105:F108" si="0">D105*0.2</f>
        <v>480</v>
      </c>
      <c r="G105" s="11" t="s">
        <v>52</v>
      </c>
      <c r="H105" s="12" t="s">
        <v>53</v>
      </c>
    </row>
    <row r="106" spans="1:8" x14ac:dyDescent="0.25">
      <c r="A106">
        <v>1268616</v>
      </c>
      <c r="B106" s="70" t="s">
        <v>56</v>
      </c>
      <c r="D106" s="13">
        <v>10000</v>
      </c>
      <c r="E106" s="13"/>
      <c r="F106" s="13">
        <f t="shared" si="0"/>
        <v>2000</v>
      </c>
      <c r="G106" s="11" t="s">
        <v>57</v>
      </c>
      <c r="H106" s="12" t="s">
        <v>58</v>
      </c>
    </row>
    <row r="107" spans="1:8" x14ac:dyDescent="0.25">
      <c r="A107">
        <v>1268616</v>
      </c>
      <c r="B107" s="73" t="s">
        <v>61</v>
      </c>
      <c r="D107" s="2">
        <v>6000</v>
      </c>
      <c r="E107" s="2"/>
      <c r="F107" s="13">
        <f t="shared" si="0"/>
        <v>1200</v>
      </c>
      <c r="G107" s="3" t="s">
        <v>62</v>
      </c>
      <c r="H107" t="s">
        <v>63</v>
      </c>
    </row>
    <row r="108" spans="1:8" x14ac:dyDescent="0.25">
      <c r="A108">
        <v>1268616</v>
      </c>
      <c r="B108" s="73" t="s">
        <v>69</v>
      </c>
      <c r="D108" s="2">
        <v>10000</v>
      </c>
      <c r="E108" s="13"/>
      <c r="F108" s="13">
        <f t="shared" si="0"/>
        <v>2000</v>
      </c>
      <c r="G108" s="3" t="s">
        <v>70</v>
      </c>
      <c r="H108" t="s">
        <v>71</v>
      </c>
    </row>
    <row r="109" spans="1:8" x14ac:dyDescent="0.25">
      <c r="D109" s="56">
        <f>SUM(D104:D108)</f>
        <v>30800</v>
      </c>
    </row>
    <row r="111" spans="1:8" x14ac:dyDescent="0.25">
      <c r="B111" s="70"/>
      <c r="C111" s="10" t="s">
        <v>96</v>
      </c>
      <c r="D111" s="13" t="s">
        <v>97</v>
      </c>
      <c r="E111" s="13"/>
      <c r="F111" s="13"/>
      <c r="G111" s="11"/>
      <c r="H111" s="12"/>
    </row>
    <row r="112" spans="1:8" x14ac:dyDescent="0.25">
      <c r="B112" s="72" t="s">
        <v>98</v>
      </c>
      <c r="C112" s="37">
        <f>D83</f>
        <v>259550</v>
      </c>
      <c r="D112" s="32"/>
      <c r="E112" s="33"/>
      <c r="F112" s="17"/>
      <c r="G112" s="18"/>
    </row>
    <row r="113" spans="1:7" x14ac:dyDescent="0.25">
      <c r="B113" s="72" t="s">
        <v>120</v>
      </c>
      <c r="C113" s="51">
        <v>0.15</v>
      </c>
      <c r="D113" s="32">
        <f>C112*C113</f>
        <v>38932.5</v>
      </c>
      <c r="E113" s="33"/>
      <c r="F113" s="17"/>
      <c r="G113" s="18"/>
    </row>
    <row r="114" spans="1:7" x14ac:dyDescent="0.25">
      <c r="B114" s="72" t="s">
        <v>121</v>
      </c>
      <c r="C114" s="19"/>
      <c r="D114" s="32">
        <f>C112-D113</f>
        <v>220617.5</v>
      </c>
      <c r="E114" s="33"/>
      <c r="F114" s="17"/>
      <c r="G114" s="18"/>
    </row>
    <row r="115" spans="1:7" x14ac:dyDescent="0.25">
      <c r="B115" s="72"/>
      <c r="C115" s="19"/>
      <c r="D115" s="32"/>
      <c r="E115" s="33"/>
      <c r="F115" s="17"/>
      <c r="G115" s="18"/>
    </row>
    <row r="116" spans="1:7" x14ac:dyDescent="0.25">
      <c r="B116" s="71">
        <v>70000</v>
      </c>
      <c r="C116" s="35">
        <v>0.15</v>
      </c>
      <c r="D116" s="4">
        <f>B116*C116</f>
        <v>10500</v>
      </c>
      <c r="E116" s="33"/>
      <c r="F116" s="17"/>
      <c r="G116" s="18"/>
    </row>
    <row r="117" spans="1:7" x14ac:dyDescent="0.25">
      <c r="B117" s="71">
        <v>80000</v>
      </c>
      <c r="C117" s="35">
        <v>0.2</v>
      </c>
      <c r="D117" s="4">
        <f>B117*C117</f>
        <v>16000</v>
      </c>
      <c r="E117" s="33"/>
      <c r="F117" s="17"/>
      <c r="G117" s="18"/>
    </row>
    <row r="118" spans="1:7" x14ac:dyDescent="0.25">
      <c r="B118" s="71">
        <f>D114-B117-B116</f>
        <v>70617.5</v>
      </c>
      <c r="C118" s="35">
        <v>0.27</v>
      </c>
      <c r="D118" s="4">
        <f>B118*C118</f>
        <v>19066.725000000002</v>
      </c>
      <c r="E118" s="33"/>
      <c r="F118" s="17"/>
      <c r="G118" s="18"/>
    </row>
    <row r="119" spans="1:7" x14ac:dyDescent="0.25">
      <c r="B119" s="71" t="s">
        <v>109</v>
      </c>
      <c r="C119" s="4"/>
      <c r="D119" s="43">
        <f>SUM(D116:D118)</f>
        <v>45566.725000000006</v>
      </c>
      <c r="E119" s="33"/>
      <c r="F119" s="17"/>
      <c r="G119" s="18"/>
    </row>
    <row r="120" spans="1:7" x14ac:dyDescent="0.25">
      <c r="B120" s="72" t="s">
        <v>123</v>
      </c>
      <c r="C120" s="19"/>
      <c r="D120" s="32">
        <f>E83</f>
        <v>41955</v>
      </c>
      <c r="E120" s="33"/>
      <c r="F120" s="17"/>
      <c r="G120" s="18"/>
    </row>
    <row r="121" spans="1:7" x14ac:dyDescent="0.25">
      <c r="B121" s="72" t="s">
        <v>122</v>
      </c>
      <c r="C121" s="19"/>
      <c r="D121" s="32">
        <f>D119-D120</f>
        <v>3611.7250000000058</v>
      </c>
      <c r="E121" s="32"/>
      <c r="F121" s="17"/>
      <c r="G121" s="18"/>
    </row>
    <row r="122" spans="1:7" x14ac:dyDescent="0.25">
      <c r="B122" s="72"/>
      <c r="C122" s="19"/>
      <c r="D122" s="32"/>
      <c r="E122" s="33"/>
      <c r="F122" s="17"/>
      <c r="G122" s="18"/>
    </row>
    <row r="123" spans="1:7" x14ac:dyDescent="0.25">
      <c r="E123" s="52"/>
    </row>
    <row r="125" spans="1:7" x14ac:dyDescent="0.25">
      <c r="A125" s="79"/>
      <c r="B125" s="80"/>
      <c r="C125" s="79"/>
      <c r="D125" s="79"/>
      <c r="E125" s="79"/>
      <c r="F125" s="79"/>
      <c r="G125" s="79"/>
    </row>
    <row r="126" spans="1:7" ht="18.75" x14ac:dyDescent="0.3">
      <c r="A126" s="67">
        <v>2024</v>
      </c>
      <c r="B126" s="74" t="s">
        <v>87</v>
      </c>
      <c r="C126" s="20"/>
      <c r="D126" s="23" t="s">
        <v>83</v>
      </c>
      <c r="E126" s="13"/>
      <c r="F126" s="13"/>
      <c r="G126" s="11"/>
    </row>
    <row r="127" spans="1:7" ht="18.75" x14ac:dyDescent="0.3">
      <c r="A127" s="67"/>
      <c r="B127" s="74"/>
      <c r="C127" s="54" t="s">
        <v>124</v>
      </c>
      <c r="D127" s="54" t="s">
        <v>91</v>
      </c>
      <c r="E127" s="54" t="s">
        <v>64</v>
      </c>
      <c r="F127" s="13"/>
      <c r="G127" s="11"/>
    </row>
    <row r="128" spans="1:7" ht="18.75" x14ac:dyDescent="0.3">
      <c r="A128" s="67"/>
      <c r="C128" s="4">
        <f>D140</f>
        <v>142000</v>
      </c>
      <c r="D128" s="57">
        <f>C128/80*100</f>
        <v>177500</v>
      </c>
      <c r="E128" s="26">
        <f>E140</f>
        <v>28400</v>
      </c>
      <c r="F128" s="13"/>
      <c r="G128" s="11" t="s">
        <v>89</v>
      </c>
    </row>
    <row r="129" spans="1:8" ht="18.75" x14ac:dyDescent="0.3">
      <c r="A129" s="67"/>
      <c r="C129" s="4"/>
      <c r="D129" s="57">
        <f>D154</f>
        <v>6000</v>
      </c>
      <c r="E129" s="26"/>
      <c r="F129" s="13"/>
      <c r="G129" t="s">
        <v>90</v>
      </c>
    </row>
    <row r="130" spans="1:8" ht="18.75" x14ac:dyDescent="0.3">
      <c r="A130" s="67"/>
      <c r="B130" s="77"/>
      <c r="C130" s="61"/>
      <c r="D130" s="62">
        <f>SUM(D128:D129)</f>
        <v>183500</v>
      </c>
      <c r="E130" s="63">
        <f>E128</f>
        <v>28400</v>
      </c>
      <c r="F130" s="64"/>
      <c r="G130" s="60" t="s">
        <v>88</v>
      </c>
    </row>
    <row r="131" spans="1:8" ht="18.75" x14ac:dyDescent="0.3">
      <c r="A131" s="67"/>
    </row>
    <row r="132" spans="1:8" x14ac:dyDescent="0.25">
      <c r="B132" s="88"/>
      <c r="C132" s="89" t="s">
        <v>91</v>
      </c>
      <c r="D132" s="90" t="s">
        <v>92</v>
      </c>
      <c r="E132" s="91" t="s">
        <v>82</v>
      </c>
      <c r="F132" s="82"/>
      <c r="G132" s="54" t="s">
        <v>126</v>
      </c>
      <c r="H132" s="12"/>
    </row>
    <row r="133" spans="1:8" x14ac:dyDescent="0.25">
      <c r="B133" s="83">
        <v>45299</v>
      </c>
      <c r="C133" s="84">
        <f>D133+E133</f>
        <v>28800</v>
      </c>
      <c r="D133" s="92">
        <v>24000</v>
      </c>
      <c r="E133" s="85">
        <f>D133*20/100</f>
        <v>4800</v>
      </c>
      <c r="F133" s="86"/>
      <c r="G133" s="87" t="s">
        <v>149</v>
      </c>
      <c r="H133" s="12"/>
    </row>
    <row r="134" spans="1:8" x14ac:dyDescent="0.25">
      <c r="B134" s="70">
        <v>45397</v>
      </c>
      <c r="C134" s="66">
        <f>D134+E134</f>
        <v>102000</v>
      </c>
      <c r="D134" s="27">
        <v>85000</v>
      </c>
      <c r="E134" s="10">
        <f>D134*20/100</f>
        <v>17000</v>
      </c>
      <c r="F134" s="13"/>
      <c r="G134" s="11" t="s">
        <v>146</v>
      </c>
      <c r="H134" s="12"/>
    </row>
    <row r="135" spans="1:8" x14ac:dyDescent="0.25">
      <c r="B135" s="70">
        <v>45404</v>
      </c>
      <c r="C135" s="66">
        <f>D135+E135</f>
        <v>39600</v>
      </c>
      <c r="D135" s="27">
        <v>33000</v>
      </c>
      <c r="E135" s="10">
        <f>D135*20/100</f>
        <v>6600</v>
      </c>
      <c r="F135" s="13"/>
      <c r="G135" s="11" t="s">
        <v>147</v>
      </c>
      <c r="H135" s="12"/>
    </row>
    <row r="136" spans="1:8" x14ac:dyDescent="0.25">
      <c r="B136" s="70"/>
      <c r="D136" s="13"/>
      <c r="E136" s="13"/>
      <c r="F136" s="13"/>
      <c r="G136" s="11"/>
      <c r="H136" s="12"/>
    </row>
    <row r="137" spans="1:8" x14ac:dyDescent="0.25">
      <c r="B137" s="73"/>
      <c r="D137" s="17"/>
      <c r="E137" s="13"/>
      <c r="F137" s="16"/>
      <c r="G137" s="3"/>
    </row>
    <row r="138" spans="1:8" x14ac:dyDescent="0.25">
      <c r="B138" s="73"/>
      <c r="D138" s="17"/>
      <c r="E138" s="13"/>
      <c r="F138" s="16"/>
      <c r="G138" s="3"/>
    </row>
    <row r="140" spans="1:8" x14ac:dyDescent="0.25">
      <c r="B140" s="78" t="s">
        <v>138</v>
      </c>
      <c r="C140" s="68">
        <f>SUM(C133:C139)</f>
        <v>170400</v>
      </c>
      <c r="D140" s="68">
        <f>SUM(D133:D139)</f>
        <v>142000</v>
      </c>
      <c r="E140" s="68">
        <f>SUM(E133:E139)</f>
        <v>28400</v>
      </c>
      <c r="F140" s="69"/>
      <c r="G140" s="69"/>
    </row>
    <row r="141" spans="1:8" x14ac:dyDescent="0.25">
      <c r="C141" s="12"/>
      <c r="D141" s="2"/>
      <c r="E141" s="2"/>
      <c r="F141" s="58"/>
    </row>
    <row r="142" spans="1:8" x14ac:dyDescent="0.25">
      <c r="C142" s="20" t="s">
        <v>94</v>
      </c>
      <c r="D142" s="2">
        <f>SUM(D133:D136)</f>
        <v>142000</v>
      </c>
      <c r="F142" s="58"/>
    </row>
    <row r="143" spans="1:8" x14ac:dyDescent="0.25">
      <c r="A143" s="19"/>
      <c r="B143" s="74"/>
      <c r="C143" s="20" t="s">
        <v>95</v>
      </c>
      <c r="F143" s="16"/>
      <c r="G143" s="11"/>
      <c r="H143" s="12"/>
    </row>
    <row r="144" spans="1:8" x14ac:dyDescent="0.25">
      <c r="A144" s="19"/>
      <c r="B144" s="74"/>
      <c r="C144" s="20" t="s">
        <v>134</v>
      </c>
      <c r="D144" s="2">
        <f>SUM(D142:D143)</f>
        <v>142000</v>
      </c>
      <c r="E144" s="27">
        <f>D144/100*20</f>
        <v>28400</v>
      </c>
      <c r="F144" s="58"/>
      <c r="G144" s="11"/>
      <c r="H144" s="12"/>
    </row>
    <row r="145" spans="1:8" x14ac:dyDescent="0.25">
      <c r="A145" s="19"/>
      <c r="B145" s="74"/>
      <c r="C145" s="20" t="s">
        <v>135</v>
      </c>
      <c r="E145" s="27">
        <f>D145/100*20</f>
        <v>0</v>
      </c>
      <c r="F145" s="16"/>
      <c r="G145" s="11"/>
      <c r="H145" s="12"/>
    </row>
    <row r="146" spans="1:8" x14ac:dyDescent="0.25">
      <c r="A146" s="19"/>
      <c r="B146" s="74"/>
      <c r="C146" s="20" t="s">
        <v>136</v>
      </c>
      <c r="E146" s="31">
        <f>E144-E145</f>
        <v>28400</v>
      </c>
      <c r="F146" s="16"/>
      <c r="G146" s="11"/>
      <c r="H146" s="12"/>
    </row>
    <row r="147" spans="1:8" x14ac:dyDescent="0.25">
      <c r="A147" s="19"/>
      <c r="B147" s="74"/>
      <c r="F147" s="16"/>
      <c r="G147" s="11"/>
      <c r="H147" s="12"/>
    </row>
    <row r="148" spans="1:8" x14ac:dyDescent="0.25">
      <c r="A148" s="19"/>
      <c r="B148" s="74"/>
      <c r="C148" s="20"/>
      <c r="D148" s="23"/>
      <c r="E148" s="13"/>
      <c r="F148" s="16"/>
      <c r="G148" s="59" t="s">
        <v>127</v>
      </c>
      <c r="H148" s="12"/>
    </row>
    <row r="149" spans="1:8" x14ac:dyDescent="0.25">
      <c r="B149" s="70">
        <v>45294</v>
      </c>
      <c r="D149" s="13">
        <v>6000</v>
      </c>
      <c r="E149" s="13"/>
      <c r="F149" s="13">
        <f>D149*0.2</f>
        <v>1200</v>
      </c>
      <c r="G149" s="11" t="s">
        <v>148</v>
      </c>
      <c r="H149" s="12"/>
    </row>
    <row r="150" spans="1:8" x14ac:dyDescent="0.25">
      <c r="B150" s="70"/>
      <c r="D150" s="13"/>
      <c r="E150" s="13"/>
      <c r="F150" s="13"/>
      <c r="G150" s="11"/>
      <c r="H150" s="12"/>
    </row>
    <row r="151" spans="1:8" x14ac:dyDescent="0.25">
      <c r="B151" s="70"/>
      <c r="D151" s="13"/>
      <c r="E151" s="13"/>
      <c r="F151" s="13"/>
      <c r="G151" s="11"/>
      <c r="H151" s="12"/>
    </row>
    <row r="152" spans="1:8" x14ac:dyDescent="0.25">
      <c r="B152" s="73"/>
      <c r="D152" s="2"/>
      <c r="E152" s="2"/>
      <c r="F152" s="13"/>
      <c r="G152" s="3"/>
    </row>
    <row r="153" spans="1:8" x14ac:dyDescent="0.25">
      <c r="B153" s="73"/>
      <c r="D153" s="2"/>
      <c r="E153" s="13"/>
      <c r="F153" s="13"/>
      <c r="G153" s="3"/>
    </row>
    <row r="154" spans="1:8" x14ac:dyDescent="0.25">
      <c r="D154" s="56">
        <f>SUM(D149:D153)</f>
        <v>6000</v>
      </c>
    </row>
    <row r="156" spans="1:8" x14ac:dyDescent="0.25">
      <c r="B156" s="70"/>
      <c r="C156" s="10" t="s">
        <v>96</v>
      </c>
      <c r="D156" s="13" t="s">
        <v>97</v>
      </c>
      <c r="E156" s="13"/>
      <c r="F156" s="13"/>
      <c r="G156" s="11"/>
      <c r="H156" s="12"/>
    </row>
    <row r="157" spans="1:8" x14ac:dyDescent="0.25">
      <c r="B157" s="72" t="s">
        <v>98</v>
      </c>
      <c r="C157" s="37">
        <f>D130</f>
        <v>183500</v>
      </c>
      <c r="D157" s="32"/>
      <c r="E157" s="33"/>
      <c r="F157" s="17"/>
      <c r="G157" s="18"/>
    </row>
    <row r="158" spans="1:8" x14ac:dyDescent="0.25">
      <c r="B158" s="72" t="s">
        <v>120</v>
      </c>
      <c r="C158" s="51">
        <v>0.15</v>
      </c>
      <c r="D158" s="32">
        <f>C157*C158</f>
        <v>27525</v>
      </c>
      <c r="E158" s="33"/>
      <c r="F158" s="17"/>
      <c r="G158" s="18"/>
    </row>
    <row r="159" spans="1:8" x14ac:dyDescent="0.25">
      <c r="B159" s="72" t="s">
        <v>121</v>
      </c>
      <c r="C159" s="19"/>
      <c r="D159" s="32">
        <f>C157-D158</f>
        <v>155975</v>
      </c>
      <c r="E159" s="33"/>
      <c r="F159" s="17"/>
      <c r="G159" s="18"/>
    </row>
    <row r="160" spans="1:8" x14ac:dyDescent="0.25">
      <c r="B160" s="72"/>
      <c r="C160" s="19"/>
      <c r="D160" s="32"/>
      <c r="E160" s="33"/>
      <c r="F160" s="17"/>
      <c r="G160" s="18"/>
    </row>
    <row r="161" spans="2:7" x14ac:dyDescent="0.25">
      <c r="B161" s="71">
        <v>100000</v>
      </c>
      <c r="C161" s="35">
        <v>0.15</v>
      </c>
      <c r="D161" s="4">
        <f>B161*C161</f>
        <v>15000</v>
      </c>
      <c r="E161" s="33"/>
      <c r="F161" s="17"/>
      <c r="G161" s="18"/>
    </row>
    <row r="162" spans="2:7" x14ac:dyDescent="0.25">
      <c r="B162" s="71">
        <v>39250</v>
      </c>
      <c r="C162" s="35">
        <v>0.2</v>
      </c>
      <c r="D162" s="4">
        <f>B162*C162</f>
        <v>7850</v>
      </c>
      <c r="E162" s="33"/>
      <c r="F162" s="17"/>
      <c r="G162" s="18"/>
    </row>
    <row r="163" spans="2:7" x14ac:dyDescent="0.25">
      <c r="C163" s="35">
        <v>0.27</v>
      </c>
      <c r="D163" s="4">
        <f>B163*C163</f>
        <v>0</v>
      </c>
      <c r="E163" s="33"/>
      <c r="F163" s="17"/>
      <c r="G163" s="18"/>
    </row>
    <row r="164" spans="2:7" x14ac:dyDescent="0.25">
      <c r="B164" s="71" t="s">
        <v>109</v>
      </c>
      <c r="C164" s="4"/>
      <c r="D164" s="43">
        <f>SUM(D161:D163)</f>
        <v>22850</v>
      </c>
      <c r="E164" s="33"/>
      <c r="F164" s="17"/>
      <c r="G164" s="18"/>
    </row>
    <row r="165" spans="2:7" x14ac:dyDescent="0.25">
      <c r="B165" s="72" t="s">
        <v>123</v>
      </c>
      <c r="C165" s="19"/>
      <c r="D165" s="32">
        <f>E130</f>
        <v>28400</v>
      </c>
      <c r="E165" s="33"/>
      <c r="F165" s="17"/>
      <c r="G165" s="18"/>
    </row>
    <row r="166" spans="2:7" x14ac:dyDescent="0.25">
      <c r="B166" s="72" t="s">
        <v>122</v>
      </c>
      <c r="C166" s="19"/>
      <c r="D166" s="32">
        <f>D164-D165</f>
        <v>-5550</v>
      </c>
      <c r="E166" s="32"/>
      <c r="F166" s="17"/>
      <c r="G166" s="18"/>
    </row>
  </sheetData>
  <sortState xmlns:xlrd2="http://schemas.microsoft.com/office/spreadsheetml/2017/richdata2" ref="A16:H109">
    <sortCondition ref="A16:A109"/>
    <sortCondition ref="D16:D109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4A0E-8855-43DC-863E-87F1BD404FED}">
  <dimension ref="A2:H47"/>
  <sheetViews>
    <sheetView zoomScale="190" zoomScaleNormal="190" workbookViewId="0">
      <selection activeCell="G3" sqref="G3"/>
    </sheetView>
  </sheetViews>
  <sheetFormatPr defaultRowHeight="15" x14ac:dyDescent="0.25"/>
  <cols>
    <col min="2" max="2" width="13.42578125" customWidth="1"/>
    <col min="3" max="3" width="11.7109375" customWidth="1"/>
    <col min="4" max="4" width="17.85546875" bestFit="1" customWidth="1"/>
    <col min="6" max="6" width="11.140625" customWidth="1"/>
    <col min="7" max="7" width="40.5703125" customWidth="1"/>
  </cols>
  <sheetData>
    <row r="2" spans="1:8" x14ac:dyDescent="0.25">
      <c r="A2" s="19">
        <v>2023</v>
      </c>
      <c r="B2" s="74" t="s">
        <v>87</v>
      </c>
      <c r="C2" s="20"/>
      <c r="D2" s="23" t="s">
        <v>83</v>
      </c>
      <c r="E2" s="13"/>
      <c r="F2" s="13"/>
      <c r="G2" s="11"/>
      <c r="H2" s="12"/>
    </row>
    <row r="3" spans="1:8" x14ac:dyDescent="0.25">
      <c r="A3" s="19"/>
      <c r="B3" s="74"/>
      <c r="C3" s="54" t="s">
        <v>124</v>
      </c>
      <c r="D3" s="54" t="s">
        <v>91</v>
      </c>
      <c r="E3" s="54" t="s">
        <v>64</v>
      </c>
      <c r="F3" s="13"/>
      <c r="G3" s="11"/>
      <c r="H3" s="12"/>
    </row>
    <row r="4" spans="1:8" x14ac:dyDescent="0.25">
      <c r="A4" s="19"/>
      <c r="B4" s="71"/>
      <c r="C4" s="4">
        <f>D16</f>
        <v>183000</v>
      </c>
      <c r="D4" s="57">
        <f>C4/80*100</f>
        <v>228750</v>
      </c>
      <c r="E4" s="26">
        <f>E9+E23</f>
        <v>41955</v>
      </c>
      <c r="F4" s="13"/>
      <c r="G4" s="11" t="s">
        <v>89</v>
      </c>
      <c r="H4" s="12"/>
    </row>
    <row r="5" spans="1:8" x14ac:dyDescent="0.25">
      <c r="A5" s="19"/>
      <c r="B5" s="71"/>
      <c r="C5" s="4"/>
      <c r="D5" s="57">
        <f>D32</f>
        <v>30800</v>
      </c>
      <c r="E5" s="26"/>
      <c r="F5" s="13"/>
      <c r="G5" t="s">
        <v>90</v>
      </c>
      <c r="H5" s="12"/>
    </row>
    <row r="6" spans="1:8" x14ac:dyDescent="0.25">
      <c r="A6" s="19"/>
      <c r="B6" s="77"/>
      <c r="C6" s="61"/>
      <c r="D6" s="62">
        <f>SUM(D4:D5)</f>
        <v>259550</v>
      </c>
      <c r="E6" s="63">
        <f>E4</f>
        <v>41955</v>
      </c>
      <c r="F6" s="64"/>
      <c r="G6" s="60" t="s">
        <v>88</v>
      </c>
      <c r="H6" s="12"/>
    </row>
    <row r="7" spans="1:8" x14ac:dyDescent="0.25">
      <c r="A7" s="19"/>
      <c r="B7" s="71"/>
      <c r="C7" s="4"/>
      <c r="D7" s="23"/>
      <c r="E7" s="26"/>
      <c r="F7" s="13"/>
      <c r="G7" s="11"/>
      <c r="H7" s="12"/>
    </row>
    <row r="8" spans="1:8" x14ac:dyDescent="0.25">
      <c r="A8" t="s">
        <v>145</v>
      </c>
      <c r="B8" s="74"/>
      <c r="C8" s="28" t="s">
        <v>91</v>
      </c>
      <c r="D8" s="29" t="s">
        <v>92</v>
      </c>
      <c r="E8" s="30" t="s">
        <v>82</v>
      </c>
      <c r="F8" s="13"/>
      <c r="G8" s="53" t="s">
        <v>126</v>
      </c>
      <c r="H8" s="12"/>
    </row>
    <row r="9" spans="1:8" x14ac:dyDescent="0.25">
      <c r="A9">
        <v>1268616</v>
      </c>
      <c r="B9" s="70" t="s">
        <v>59</v>
      </c>
      <c r="C9" s="10">
        <v>168750</v>
      </c>
      <c r="D9" s="27">
        <v>135000</v>
      </c>
      <c r="E9" s="10">
        <f>C9*20/100</f>
        <v>33750</v>
      </c>
      <c r="F9" s="13"/>
      <c r="G9" s="11" t="s">
        <v>66</v>
      </c>
      <c r="H9" s="12" t="s">
        <v>60</v>
      </c>
    </row>
    <row r="10" spans="1:8" x14ac:dyDescent="0.25">
      <c r="A10">
        <v>1268616</v>
      </c>
      <c r="B10" s="70" t="s">
        <v>45</v>
      </c>
      <c r="C10">
        <f>D10*1.25</f>
        <v>6000</v>
      </c>
      <c r="D10" s="13">
        <v>4800</v>
      </c>
      <c r="E10" s="13">
        <f>C10*20/100</f>
        <v>1200</v>
      </c>
      <c r="F10" s="13"/>
      <c r="G10" s="11" t="s">
        <v>46</v>
      </c>
      <c r="H10" s="12" t="s">
        <v>47</v>
      </c>
    </row>
    <row r="11" spans="1:8" x14ac:dyDescent="0.25">
      <c r="A11">
        <v>1268616</v>
      </c>
      <c r="B11" s="70" t="s">
        <v>45</v>
      </c>
      <c r="C11">
        <f>D11*1.25</f>
        <v>2650</v>
      </c>
      <c r="D11" s="13">
        <v>2120</v>
      </c>
      <c r="E11" s="13">
        <f>C11*20/100</f>
        <v>530</v>
      </c>
      <c r="F11" s="13"/>
      <c r="G11" s="11" t="s">
        <v>48</v>
      </c>
      <c r="H11" s="12" t="s">
        <v>49</v>
      </c>
    </row>
    <row r="12" spans="1:8" x14ac:dyDescent="0.25">
      <c r="A12">
        <v>1268616</v>
      </c>
      <c r="B12" s="70" t="s">
        <v>54</v>
      </c>
      <c r="C12">
        <f>D12*1.25</f>
        <v>35100</v>
      </c>
      <c r="D12" s="27">
        <v>28080</v>
      </c>
      <c r="E12" s="13">
        <f>C12*20/100</f>
        <v>7020</v>
      </c>
      <c r="G12" s="11" t="s">
        <v>67</v>
      </c>
      <c r="H12" s="12" t="s">
        <v>55</v>
      </c>
    </row>
    <row r="13" spans="1:8" x14ac:dyDescent="0.25">
      <c r="A13">
        <v>1268616</v>
      </c>
      <c r="B13" s="73" t="s">
        <v>72</v>
      </c>
      <c r="C13">
        <f>D13*1.25</f>
        <v>16250</v>
      </c>
      <c r="D13" s="17">
        <v>13000</v>
      </c>
      <c r="E13" s="13"/>
      <c r="F13" s="16">
        <f>C13*20/100</f>
        <v>3250</v>
      </c>
      <c r="G13" s="3" t="s">
        <v>73</v>
      </c>
      <c r="H13" t="s">
        <v>74</v>
      </c>
    </row>
    <row r="14" spans="1:8" x14ac:dyDescent="0.25">
      <c r="B14" s="73" t="s">
        <v>137</v>
      </c>
      <c r="D14" s="17">
        <v>41025</v>
      </c>
      <c r="E14" s="13">
        <v>8205</v>
      </c>
      <c r="F14" s="16"/>
      <c r="G14" s="3"/>
    </row>
    <row r="15" spans="1:8" x14ac:dyDescent="0.25">
      <c r="B15" s="71"/>
    </row>
    <row r="16" spans="1:8" x14ac:dyDescent="0.25">
      <c r="B16" s="73" t="s">
        <v>138</v>
      </c>
      <c r="C16" s="55">
        <f>SUM(C9:C15)</f>
        <v>228750</v>
      </c>
      <c r="D16" s="2">
        <f>SUM(D9:D15)-D14</f>
        <v>183000</v>
      </c>
      <c r="E16" s="2">
        <f>SUM(E9+E14)</f>
        <v>41955</v>
      </c>
    </row>
    <row r="17" spans="1:8" x14ac:dyDescent="0.25">
      <c r="B17" s="71"/>
      <c r="C17" s="12"/>
      <c r="D17" s="2"/>
      <c r="E17" s="2"/>
      <c r="F17" s="58"/>
    </row>
    <row r="18" spans="1:8" x14ac:dyDescent="0.25">
      <c r="B18" s="71"/>
      <c r="D18" s="2">
        <v>41025</v>
      </c>
      <c r="E18" s="13">
        <f>D18*0.2</f>
        <v>8205</v>
      </c>
      <c r="F18" s="58" t="s">
        <v>128</v>
      </c>
    </row>
    <row r="19" spans="1:8" x14ac:dyDescent="0.25">
      <c r="B19" s="71"/>
      <c r="F19" s="58" t="s">
        <v>130</v>
      </c>
    </row>
    <row r="20" spans="1:8" x14ac:dyDescent="0.25">
      <c r="B20" s="71"/>
      <c r="C20" s="20" t="s">
        <v>94</v>
      </c>
      <c r="D20" s="2">
        <f>SUM(D10:D12)</f>
        <v>35000</v>
      </c>
      <c r="F20" s="58" t="s">
        <v>129</v>
      </c>
    </row>
    <row r="21" spans="1:8" x14ac:dyDescent="0.25">
      <c r="A21" s="19"/>
      <c r="B21" s="74"/>
      <c r="C21" s="20" t="s">
        <v>95</v>
      </c>
      <c r="D21">
        <v>13000</v>
      </c>
      <c r="F21" s="16" t="s">
        <v>125</v>
      </c>
      <c r="G21" s="11"/>
      <c r="H21" s="12"/>
    </row>
    <row r="22" spans="1:8" x14ac:dyDescent="0.25">
      <c r="A22" s="19"/>
      <c r="B22" s="74"/>
      <c r="C22" s="20" t="s">
        <v>134</v>
      </c>
      <c r="D22" s="2">
        <f>SUM(D20:D21)</f>
        <v>48000</v>
      </c>
      <c r="E22" s="27">
        <f>D22/80*20</f>
        <v>12000</v>
      </c>
      <c r="F22" s="58" t="s">
        <v>131</v>
      </c>
      <c r="G22" s="11"/>
      <c r="H22" s="12"/>
    </row>
    <row r="23" spans="1:8" x14ac:dyDescent="0.25">
      <c r="A23" s="19"/>
      <c r="B23" s="74"/>
      <c r="C23" s="20" t="s">
        <v>135</v>
      </c>
      <c r="D23">
        <v>41025</v>
      </c>
      <c r="E23" s="27">
        <f>D23/100*20</f>
        <v>8205</v>
      </c>
      <c r="F23" s="16" t="s">
        <v>132</v>
      </c>
      <c r="G23" s="11"/>
      <c r="H23" s="12"/>
    </row>
    <row r="24" spans="1:8" x14ac:dyDescent="0.25">
      <c r="A24" s="19"/>
      <c r="B24" s="74"/>
      <c r="C24" s="20" t="s">
        <v>136</v>
      </c>
      <c r="E24" s="31">
        <f>E22-E23</f>
        <v>3795</v>
      </c>
      <c r="F24" s="16" t="s">
        <v>133</v>
      </c>
      <c r="G24" s="11"/>
      <c r="H24" s="12"/>
    </row>
    <row r="25" spans="1:8" x14ac:dyDescent="0.25">
      <c r="A25" s="19"/>
      <c r="B25" s="74"/>
      <c r="F25" s="16"/>
      <c r="G25" s="11"/>
      <c r="H25" s="12"/>
    </row>
    <row r="26" spans="1:8" x14ac:dyDescent="0.25">
      <c r="A26" s="19"/>
      <c r="B26" s="74"/>
      <c r="C26" s="20"/>
      <c r="D26" s="23"/>
      <c r="E26" s="13"/>
      <c r="F26" s="16"/>
      <c r="G26" s="59" t="s">
        <v>127</v>
      </c>
      <c r="H26" s="12"/>
    </row>
    <row r="27" spans="1:8" x14ac:dyDescent="0.25">
      <c r="A27">
        <v>1268616</v>
      </c>
      <c r="B27" s="70" t="s">
        <v>50</v>
      </c>
      <c r="D27" s="13">
        <v>2400</v>
      </c>
      <c r="E27" s="13"/>
      <c r="F27" s="13">
        <f>D27*0.2</f>
        <v>480</v>
      </c>
      <c r="G27" s="11" t="s">
        <v>68</v>
      </c>
      <c r="H27" s="12" t="s">
        <v>51</v>
      </c>
    </row>
    <row r="28" spans="1:8" x14ac:dyDescent="0.25">
      <c r="A28">
        <v>1268616</v>
      </c>
      <c r="B28" s="70" t="s">
        <v>50</v>
      </c>
      <c r="D28" s="13">
        <v>2400</v>
      </c>
      <c r="E28" s="13"/>
      <c r="F28" s="13">
        <f t="shared" ref="F28:F31" si="0">D28*0.2</f>
        <v>480</v>
      </c>
      <c r="G28" s="11" t="s">
        <v>52</v>
      </c>
      <c r="H28" s="12" t="s">
        <v>53</v>
      </c>
    </row>
    <row r="29" spans="1:8" x14ac:dyDescent="0.25">
      <c r="A29">
        <v>1268616</v>
      </c>
      <c r="B29" s="70" t="s">
        <v>56</v>
      </c>
      <c r="D29" s="13">
        <v>10000</v>
      </c>
      <c r="E29" s="13"/>
      <c r="F29" s="13">
        <f t="shared" si="0"/>
        <v>2000</v>
      </c>
      <c r="G29" s="11" t="s">
        <v>57</v>
      </c>
      <c r="H29" s="12" t="s">
        <v>58</v>
      </c>
    </row>
    <row r="30" spans="1:8" x14ac:dyDescent="0.25">
      <c r="A30">
        <v>1268616</v>
      </c>
      <c r="B30" s="73" t="s">
        <v>61</v>
      </c>
      <c r="D30" s="2">
        <v>6000</v>
      </c>
      <c r="E30" s="2"/>
      <c r="F30" s="13">
        <f t="shared" si="0"/>
        <v>1200</v>
      </c>
      <c r="G30" s="3" t="s">
        <v>62</v>
      </c>
      <c r="H30" t="s">
        <v>63</v>
      </c>
    </row>
    <row r="31" spans="1:8" x14ac:dyDescent="0.25">
      <c r="A31">
        <v>1268616</v>
      </c>
      <c r="B31" s="73" t="s">
        <v>69</v>
      </c>
      <c r="D31" s="2">
        <v>10000</v>
      </c>
      <c r="E31" s="13"/>
      <c r="F31" s="13">
        <f t="shared" si="0"/>
        <v>2000</v>
      </c>
      <c r="G31" s="3" t="s">
        <v>70</v>
      </c>
      <c r="H31" t="s">
        <v>71</v>
      </c>
    </row>
    <row r="32" spans="1:8" x14ac:dyDescent="0.25">
      <c r="B32" s="71"/>
      <c r="D32" s="56">
        <f>SUM(D27:D31)</f>
        <v>30800</v>
      </c>
    </row>
    <row r="33" spans="2:8" x14ac:dyDescent="0.25">
      <c r="B33" s="71"/>
    </row>
    <row r="34" spans="2:8" x14ac:dyDescent="0.25">
      <c r="B34" s="70"/>
      <c r="C34" s="10" t="s">
        <v>96</v>
      </c>
      <c r="D34" s="13" t="s">
        <v>97</v>
      </c>
      <c r="E34" s="13"/>
      <c r="F34" s="13"/>
      <c r="G34" s="11"/>
      <c r="H34" s="12"/>
    </row>
    <row r="35" spans="2:8" x14ac:dyDescent="0.25">
      <c r="B35" s="72" t="s">
        <v>98</v>
      </c>
      <c r="C35" s="37">
        <f>D6</f>
        <v>259550</v>
      </c>
      <c r="D35" s="32"/>
      <c r="E35" s="33"/>
      <c r="F35" s="17"/>
      <c r="G35" s="18"/>
    </row>
    <row r="36" spans="2:8" x14ac:dyDescent="0.25">
      <c r="B36" s="72" t="s">
        <v>120</v>
      </c>
      <c r="C36" s="51">
        <v>0.15</v>
      </c>
      <c r="D36" s="32">
        <f>C35*C36</f>
        <v>38932.5</v>
      </c>
      <c r="E36" s="33"/>
      <c r="F36" s="17"/>
      <c r="G36" s="18"/>
    </row>
    <row r="37" spans="2:8" x14ac:dyDescent="0.25">
      <c r="B37" s="72" t="s">
        <v>121</v>
      </c>
      <c r="C37" s="19"/>
      <c r="D37" s="32">
        <f>C35-D36</f>
        <v>220617.5</v>
      </c>
      <c r="E37" s="33"/>
      <c r="F37" s="17"/>
      <c r="G37" s="18"/>
    </row>
    <row r="38" spans="2:8" x14ac:dyDescent="0.25">
      <c r="B38" s="72"/>
      <c r="C38" s="19"/>
      <c r="D38" s="32"/>
      <c r="E38" s="33"/>
      <c r="F38" s="17"/>
      <c r="G38" s="18"/>
    </row>
    <row r="39" spans="2:8" x14ac:dyDescent="0.25">
      <c r="B39" s="71">
        <v>70000</v>
      </c>
      <c r="C39" s="35">
        <v>0.15</v>
      </c>
      <c r="D39" s="4">
        <f>B39*C39</f>
        <v>10500</v>
      </c>
      <c r="E39" s="33"/>
      <c r="F39" s="17"/>
      <c r="G39" s="18"/>
    </row>
    <row r="40" spans="2:8" x14ac:dyDescent="0.25">
      <c r="B40" s="71">
        <v>80000</v>
      </c>
      <c r="C40" s="35">
        <v>0.2</v>
      </c>
      <c r="D40" s="4">
        <f>B40*C40</f>
        <v>16000</v>
      </c>
      <c r="E40" s="33"/>
      <c r="F40" s="17"/>
      <c r="G40" s="18"/>
    </row>
    <row r="41" spans="2:8" x14ac:dyDescent="0.25">
      <c r="B41" s="71">
        <f>D37-B40-B39</f>
        <v>70617.5</v>
      </c>
      <c r="C41" s="35">
        <v>0.27</v>
      </c>
      <c r="D41" s="4">
        <f>B41*C41</f>
        <v>19066.725000000002</v>
      </c>
      <c r="E41" s="33"/>
      <c r="F41" s="17"/>
      <c r="G41" s="18"/>
    </row>
    <row r="42" spans="2:8" x14ac:dyDescent="0.25">
      <c r="B42" s="71" t="s">
        <v>109</v>
      </c>
      <c r="C42" s="4"/>
      <c r="D42" s="43">
        <f>SUM(D39:D41)</f>
        <v>45566.725000000006</v>
      </c>
      <c r="E42" s="33"/>
      <c r="F42" s="17"/>
      <c r="G42" s="18"/>
    </row>
    <row r="43" spans="2:8" x14ac:dyDescent="0.25">
      <c r="B43" s="72" t="s">
        <v>123</v>
      </c>
      <c r="C43" s="19"/>
      <c r="D43" s="32">
        <f>E6</f>
        <v>41955</v>
      </c>
      <c r="E43" s="33"/>
      <c r="F43" s="17"/>
      <c r="G43" s="18"/>
    </row>
    <row r="44" spans="2:8" x14ac:dyDescent="0.25">
      <c r="B44" s="72" t="s">
        <v>122</v>
      </c>
      <c r="C44" s="19"/>
      <c r="D44" s="32">
        <f>D42-D43</f>
        <v>3611.7250000000058</v>
      </c>
      <c r="E44" s="32"/>
      <c r="F44" s="17"/>
      <c r="G44" s="18"/>
    </row>
    <row r="45" spans="2:8" x14ac:dyDescent="0.25">
      <c r="B45" s="72"/>
      <c r="C45" s="19"/>
      <c r="D45" s="32"/>
      <c r="E45" s="33"/>
      <c r="F45" s="17"/>
      <c r="G45" s="18"/>
    </row>
    <row r="46" spans="2:8" x14ac:dyDescent="0.25">
      <c r="B46" s="71"/>
      <c r="E46" s="52"/>
    </row>
    <row r="47" spans="2:8" x14ac:dyDescent="0.25">
      <c r="B47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90E-E414-4B4E-9469-03FAF9A9D1D9}">
  <dimension ref="B3:H50"/>
  <sheetViews>
    <sheetView topLeftCell="A41" zoomScale="160" zoomScaleNormal="160" workbookViewId="0">
      <selection activeCell="B2" sqref="B2"/>
    </sheetView>
  </sheetViews>
  <sheetFormatPr defaultRowHeight="15" x14ac:dyDescent="0.25"/>
  <cols>
    <col min="2" max="8" width="12.7109375" style="4" customWidth="1"/>
    <col min="9" max="9" width="10.42578125" bestFit="1" customWidth="1"/>
  </cols>
  <sheetData>
    <row r="3" spans="2:7" x14ac:dyDescent="0.25">
      <c r="B3" s="4" t="s">
        <v>104</v>
      </c>
      <c r="C3" s="36" t="s">
        <v>92</v>
      </c>
      <c r="D3" s="36" t="s">
        <v>91</v>
      </c>
      <c r="E3" s="36" t="s">
        <v>105</v>
      </c>
      <c r="G3"/>
    </row>
    <row r="4" spans="2:7" x14ac:dyDescent="0.25">
      <c r="B4" s="4" t="s">
        <v>99</v>
      </c>
      <c r="C4" s="4">
        <v>10000</v>
      </c>
      <c r="D4" s="4">
        <v>10000</v>
      </c>
      <c r="G4" s="4" t="s">
        <v>107</v>
      </c>
    </row>
    <row r="5" spans="2:7" x14ac:dyDescent="0.25">
      <c r="B5" s="4" t="s">
        <v>100</v>
      </c>
      <c r="C5" s="4">
        <v>0</v>
      </c>
      <c r="D5" s="4">
        <f t="shared" ref="D5:D8" si="0">C5/80*100</f>
        <v>0</v>
      </c>
      <c r="E5" s="4">
        <f>D5-C5</f>
        <v>0</v>
      </c>
      <c r="G5" s="4" t="s">
        <v>106</v>
      </c>
    </row>
    <row r="6" spans="2:7" x14ac:dyDescent="0.25">
      <c r="B6" s="4" t="s">
        <v>112</v>
      </c>
      <c r="C6" s="4">
        <v>135000</v>
      </c>
      <c r="D6" s="4">
        <f t="shared" si="0"/>
        <v>168750</v>
      </c>
      <c r="E6" s="4">
        <f>D6-C6</f>
        <v>33750</v>
      </c>
      <c r="G6" s="4" t="s">
        <v>106</v>
      </c>
    </row>
    <row r="7" spans="2:7" x14ac:dyDescent="0.25">
      <c r="B7" s="4" t="s">
        <v>101</v>
      </c>
      <c r="C7" s="4">
        <v>6000</v>
      </c>
      <c r="D7" s="4">
        <v>6000</v>
      </c>
      <c r="G7" s="4" t="s">
        <v>107</v>
      </c>
    </row>
    <row r="8" spans="2:7" x14ac:dyDescent="0.25">
      <c r="B8" s="4" t="s">
        <v>102</v>
      </c>
      <c r="C8" s="4">
        <v>48000</v>
      </c>
      <c r="D8" s="4">
        <f t="shared" si="0"/>
        <v>60000</v>
      </c>
      <c r="E8" s="41">
        <v>8205</v>
      </c>
      <c r="G8" s="4" t="s">
        <v>106</v>
      </c>
    </row>
    <row r="9" spans="2:7" x14ac:dyDescent="0.25">
      <c r="B9" s="4" t="s">
        <v>108</v>
      </c>
      <c r="C9" s="4">
        <v>14800</v>
      </c>
      <c r="D9" s="4">
        <v>14800</v>
      </c>
      <c r="G9" s="4" t="s">
        <v>107</v>
      </c>
    </row>
    <row r="10" spans="2:7" x14ac:dyDescent="0.25">
      <c r="C10" s="37">
        <f>SUM(C4:C9)</f>
        <v>213800</v>
      </c>
      <c r="D10" s="37">
        <f>SUM(D4:D9)</f>
        <v>259550</v>
      </c>
      <c r="E10" s="37">
        <f>SUM(E4:E9)</f>
        <v>41955</v>
      </c>
      <c r="F10" s="37">
        <f>SUM(F4:F9)</f>
        <v>0</v>
      </c>
      <c r="G10" s="37">
        <f>SUM(E10:F10)</f>
        <v>41955</v>
      </c>
    </row>
    <row r="11" spans="2:7" x14ac:dyDescent="0.25">
      <c r="E11" s="34" t="s">
        <v>106</v>
      </c>
      <c r="F11" s="34" t="s">
        <v>107</v>
      </c>
      <c r="G11"/>
    </row>
    <row r="12" spans="2:7" x14ac:dyDescent="0.25">
      <c r="B12" s="40">
        <v>2023</v>
      </c>
    </row>
    <row r="13" spans="2:7" x14ac:dyDescent="0.25">
      <c r="B13" s="4" t="s">
        <v>91</v>
      </c>
      <c r="D13" s="4">
        <f>D10</f>
        <v>259550</v>
      </c>
    </row>
    <row r="14" spans="2:7" x14ac:dyDescent="0.25">
      <c r="B14" s="4" t="s">
        <v>103</v>
      </c>
      <c r="C14" s="35">
        <v>0.15</v>
      </c>
      <c r="D14" s="4">
        <f>D13*C14</f>
        <v>38932.5</v>
      </c>
    </row>
    <row r="15" spans="2:7" x14ac:dyDescent="0.25">
      <c r="B15" s="37" t="s">
        <v>114</v>
      </c>
      <c r="C15" s="37"/>
      <c r="D15" s="37">
        <f>D13-D14</f>
        <v>220617.5</v>
      </c>
      <c r="F15" s="4" t="s">
        <v>93</v>
      </c>
    </row>
    <row r="16" spans="2:7" x14ac:dyDescent="0.25">
      <c r="F16" s="37" t="s">
        <v>116</v>
      </c>
      <c r="G16" s="41">
        <v>12000</v>
      </c>
    </row>
    <row r="17" spans="2:7" x14ac:dyDescent="0.25">
      <c r="B17" s="4">
        <v>70000</v>
      </c>
      <c r="C17" s="35">
        <v>0.15</v>
      </c>
      <c r="D17" s="4">
        <f>B17*C17</f>
        <v>10500</v>
      </c>
      <c r="F17" s="4" t="s">
        <v>115</v>
      </c>
      <c r="G17" s="4">
        <v>8205</v>
      </c>
    </row>
    <row r="18" spans="2:7" x14ac:dyDescent="0.25">
      <c r="B18" s="4">
        <v>80000</v>
      </c>
      <c r="C18" s="35">
        <v>0.2</v>
      </c>
      <c r="D18" s="4">
        <f>B18*C18</f>
        <v>16000</v>
      </c>
      <c r="F18" s="4" t="s">
        <v>117</v>
      </c>
      <c r="G18" s="4">
        <f>G16-G17</f>
        <v>3795</v>
      </c>
    </row>
    <row r="19" spans="2:7" x14ac:dyDescent="0.25">
      <c r="B19" s="4">
        <f>D15-B18-B17</f>
        <v>70617.5</v>
      </c>
      <c r="C19" s="35">
        <v>0.27</v>
      </c>
      <c r="D19" s="4">
        <f>B19*C19</f>
        <v>19066.725000000002</v>
      </c>
    </row>
    <row r="20" spans="2:7" x14ac:dyDescent="0.25">
      <c r="B20" s="4" t="s">
        <v>109</v>
      </c>
      <c r="D20" s="4">
        <f>SUM(D17:D19)</f>
        <v>45566.725000000006</v>
      </c>
    </row>
    <row r="21" spans="2:7" x14ac:dyDescent="0.25">
      <c r="B21" s="4" t="s">
        <v>110</v>
      </c>
      <c r="D21" s="4">
        <v>41955</v>
      </c>
    </row>
    <row r="22" spans="2:7" x14ac:dyDescent="0.25">
      <c r="B22" s="44"/>
      <c r="C22" s="45" t="s">
        <v>139</v>
      </c>
      <c r="D22" s="44">
        <f>D20-D21</f>
        <v>3611.7250000000058</v>
      </c>
      <c r="E22" s="39"/>
      <c r="F22" s="38"/>
    </row>
    <row r="23" spans="2:7" x14ac:dyDescent="0.25">
      <c r="C23" s="36" t="s">
        <v>118</v>
      </c>
      <c r="D23" s="37">
        <f>G18</f>
        <v>3795</v>
      </c>
    </row>
    <row r="24" spans="2:7" x14ac:dyDescent="0.25">
      <c r="C24" s="36" t="s">
        <v>119</v>
      </c>
      <c r="D24" s="42">
        <f>D22-D23</f>
        <v>-183.27499999999418</v>
      </c>
      <c r="E24" s="39"/>
      <c r="F24" s="38"/>
    </row>
    <row r="25" spans="2:7" x14ac:dyDescent="0.25">
      <c r="E25" s="39"/>
      <c r="F25" s="38"/>
    </row>
    <row r="27" spans="2:7" x14ac:dyDescent="0.25">
      <c r="B27" s="4" t="s">
        <v>140</v>
      </c>
    </row>
    <row r="28" spans="2:7" x14ac:dyDescent="0.25">
      <c r="B28" s="4" t="s">
        <v>104</v>
      </c>
      <c r="C28" s="36" t="s">
        <v>92</v>
      </c>
      <c r="D28" s="36" t="s">
        <v>91</v>
      </c>
      <c r="E28" s="36" t="s">
        <v>105</v>
      </c>
      <c r="G28"/>
    </row>
    <row r="29" spans="2:7" x14ac:dyDescent="0.25">
      <c r="B29" s="4" t="s">
        <v>99</v>
      </c>
      <c r="C29" s="4">
        <v>25000</v>
      </c>
      <c r="D29" s="4">
        <f t="shared" ref="D29:D34" si="1">C29/80*100</f>
        <v>31250</v>
      </c>
      <c r="F29" s="4">
        <f>D29-C29</f>
        <v>6250</v>
      </c>
      <c r="G29" s="4" t="s">
        <v>107</v>
      </c>
    </row>
    <row r="30" spans="2:7" x14ac:dyDescent="0.25">
      <c r="B30" s="4" t="s">
        <v>100</v>
      </c>
      <c r="C30" s="4">
        <v>170000</v>
      </c>
      <c r="D30" s="4">
        <f t="shared" si="1"/>
        <v>212500</v>
      </c>
      <c r="E30" s="4">
        <f>D30-C30</f>
        <v>42500</v>
      </c>
      <c r="G30" s="4" t="s">
        <v>106</v>
      </c>
    </row>
    <row r="31" spans="2:7" x14ac:dyDescent="0.25">
      <c r="B31" s="4" t="s">
        <v>112</v>
      </c>
      <c r="C31" s="4">
        <v>135000</v>
      </c>
      <c r="D31" s="4">
        <f t="shared" si="1"/>
        <v>168750</v>
      </c>
      <c r="E31" s="4">
        <f>D31-C31</f>
        <v>33750</v>
      </c>
      <c r="G31" s="4" t="s">
        <v>106</v>
      </c>
    </row>
    <row r="32" spans="2:7" x14ac:dyDescent="0.25">
      <c r="B32" s="4" t="s">
        <v>101</v>
      </c>
      <c r="C32" s="4">
        <v>25000</v>
      </c>
      <c r="D32" s="4">
        <f t="shared" si="1"/>
        <v>31250</v>
      </c>
      <c r="F32" s="4">
        <f>D32-C32</f>
        <v>6250</v>
      </c>
      <c r="G32" s="4" t="s">
        <v>107</v>
      </c>
    </row>
    <row r="33" spans="2:7" x14ac:dyDescent="0.25">
      <c r="B33" s="4" t="s">
        <v>102</v>
      </c>
      <c r="C33" s="4">
        <v>48000</v>
      </c>
      <c r="D33" s="4">
        <f t="shared" si="1"/>
        <v>60000</v>
      </c>
      <c r="E33" s="4">
        <f>D33-C33</f>
        <v>12000</v>
      </c>
      <c r="G33" s="4" t="s">
        <v>106</v>
      </c>
    </row>
    <row r="34" spans="2:7" x14ac:dyDescent="0.25">
      <c r="B34" s="4" t="s">
        <v>108</v>
      </c>
      <c r="C34" s="4">
        <v>25000</v>
      </c>
      <c r="D34" s="4">
        <f t="shared" si="1"/>
        <v>31250</v>
      </c>
      <c r="F34" s="4">
        <f>D34-C34</f>
        <v>6250</v>
      </c>
      <c r="G34" s="4" t="s">
        <v>107</v>
      </c>
    </row>
    <row r="35" spans="2:7" x14ac:dyDescent="0.25">
      <c r="C35" s="37">
        <f>SUM(C29:C34)</f>
        <v>428000</v>
      </c>
      <c r="D35" s="37">
        <f>SUM(D29:D34)</f>
        <v>535000</v>
      </c>
      <c r="E35" s="37">
        <f>SUM(E29:E34)</f>
        <v>88250</v>
      </c>
      <c r="F35" s="37">
        <f>SUM(F29:F34)</f>
        <v>18750</v>
      </c>
      <c r="G35" s="37">
        <f>SUM(E35:F35)</f>
        <v>107000</v>
      </c>
    </row>
    <row r="36" spans="2:7" x14ac:dyDescent="0.25">
      <c r="E36" s="34" t="s">
        <v>106</v>
      </c>
      <c r="F36" s="34" t="s">
        <v>107</v>
      </c>
      <c r="G36"/>
    </row>
    <row r="37" spans="2:7" x14ac:dyDescent="0.25">
      <c r="B37" s="40">
        <v>2023</v>
      </c>
    </row>
    <row r="38" spans="2:7" x14ac:dyDescent="0.25">
      <c r="B38" s="4" t="s">
        <v>91</v>
      </c>
      <c r="D38" s="4">
        <v>322500</v>
      </c>
    </row>
    <row r="39" spans="2:7" x14ac:dyDescent="0.25">
      <c r="B39" s="4" t="s">
        <v>103</v>
      </c>
      <c r="C39" s="35">
        <v>0.15</v>
      </c>
      <c r="D39" s="4">
        <f>D38*C39</f>
        <v>48375</v>
      </c>
    </row>
    <row r="40" spans="2:7" x14ac:dyDescent="0.25">
      <c r="B40" s="37" t="s">
        <v>114</v>
      </c>
      <c r="C40" s="37"/>
      <c r="D40" s="37">
        <f>D38-D39</f>
        <v>274125</v>
      </c>
    </row>
    <row r="42" spans="2:7" x14ac:dyDescent="0.25">
      <c r="B42" s="4">
        <v>70000</v>
      </c>
      <c r="C42" s="35">
        <v>0.15</v>
      </c>
      <c r="D42" s="4">
        <f>B42*C42</f>
        <v>10500</v>
      </c>
    </row>
    <row r="43" spans="2:7" x14ac:dyDescent="0.25">
      <c r="B43" s="4">
        <v>80000</v>
      </c>
      <c r="C43" s="35">
        <v>0.2</v>
      </c>
      <c r="D43" s="4">
        <f>B43*C43</f>
        <v>16000</v>
      </c>
    </row>
    <row r="44" spans="2:7" x14ac:dyDescent="0.25">
      <c r="B44" s="4">
        <f>D40-B43-B42</f>
        <v>124125</v>
      </c>
      <c r="C44" s="35">
        <v>0.27</v>
      </c>
      <c r="D44" s="4">
        <f>B44*C44</f>
        <v>33513.75</v>
      </c>
    </row>
    <row r="45" spans="2:7" x14ac:dyDescent="0.25">
      <c r="B45" s="4" t="s">
        <v>109</v>
      </c>
      <c r="D45" s="4">
        <f>SUM(D42:D44)</f>
        <v>60013.75</v>
      </c>
    </row>
    <row r="46" spans="2:7" x14ac:dyDescent="0.25">
      <c r="B46" s="4" t="s">
        <v>110</v>
      </c>
      <c r="D46" s="4">
        <f>E35</f>
        <v>88250</v>
      </c>
    </row>
    <row r="47" spans="2:7" x14ac:dyDescent="0.25">
      <c r="C47" s="46" t="s">
        <v>82</v>
      </c>
      <c r="D47" s="46">
        <f>D45-D46</f>
        <v>-28236.25</v>
      </c>
      <c r="E47" s="47" t="s">
        <v>111</v>
      </c>
    </row>
    <row r="49" spans="3:5" x14ac:dyDescent="0.25">
      <c r="C49" s="46" t="s">
        <v>107</v>
      </c>
      <c r="D49" s="46">
        <f>F35*-1</f>
        <v>-18750</v>
      </c>
      <c r="E49" s="47" t="s">
        <v>111</v>
      </c>
    </row>
    <row r="50" spans="3:5" x14ac:dyDescent="0.25">
      <c r="C50" s="50"/>
      <c r="D50" s="48">
        <f>SUM(D47:D49)</f>
        <v>-46986.25</v>
      </c>
      <c r="E50" s="49" t="s">
        <v>113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A74B-3783-414D-97D1-CC66F35ADCAC}">
  <dimension ref="C4:D7"/>
  <sheetViews>
    <sheetView workbookViewId="0">
      <selection activeCell="D6" sqref="D6"/>
    </sheetView>
  </sheetViews>
  <sheetFormatPr defaultRowHeight="15" x14ac:dyDescent="0.25"/>
  <cols>
    <col min="3" max="3" width="21.140625" customWidth="1"/>
    <col min="4" max="4" width="76.28515625" bestFit="1" customWidth="1"/>
  </cols>
  <sheetData>
    <row r="4" spans="3:4" x14ac:dyDescent="0.25">
      <c r="D4" t="s">
        <v>143</v>
      </c>
    </row>
    <row r="6" spans="3:4" ht="61.5" x14ac:dyDescent="0.9">
      <c r="C6" t="s">
        <v>141</v>
      </c>
      <c r="D6" s="65">
        <v>3253603652</v>
      </c>
    </row>
    <row r="7" spans="3:4" ht="61.5" x14ac:dyDescent="0.9">
      <c r="C7" t="s">
        <v>142</v>
      </c>
      <c r="D7" s="65">
        <v>1057076844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2024 ceza</vt:lpstr>
      <vt:lpstr>Sayfa2</vt:lpstr>
      <vt:lpstr>ADRES 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2024-01-23T06:39:56Z</dcterms:created>
  <dcterms:modified xsi:type="dcterms:W3CDTF">2024-06-25T14:33:51Z</dcterms:modified>
</cp:coreProperties>
</file>