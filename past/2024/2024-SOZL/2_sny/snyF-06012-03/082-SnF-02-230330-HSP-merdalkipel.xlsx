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rg\aagitme\tdy\2024-SOZL\2_sny\snyF-06012-03\"/>
    </mc:Choice>
  </mc:AlternateContent>
  <xr:revisionPtr revIDLastSave="0" documentId="8_{24BBA0B1-83C2-43AA-A76C-C8824F83B187}" xr6:coauthVersionLast="47" xr6:coauthVersionMax="47" xr10:uidLastSave="{00000000-0000-0000-0000-000000000000}"/>
  <bookViews>
    <workbookView xWindow="-120" yWindow="-120" windowWidth="20730" windowHeight="11160" xr2:uid="{A94C56A5-C4BE-47BE-A3F7-11EDDB7FDF47}"/>
  </bookViews>
  <sheets>
    <sheet name="Sheet4" sheetId="1" r:id="rId1"/>
    <sheet name="Senet Borçlu Alacaklı Giriş" sheetId="2" r:id="rId2"/>
    <sheet name="Senet Taksit Giriş" sheetId="3" r:id="rId3"/>
    <sheet name="Senet Önizleme" sheetId="4" r:id="rId4"/>
    <sheet name="Sheet5" sheetId="5" r:id="rId5"/>
  </sheets>
  <calcPr calcId="181029"/>
</workbook>
</file>

<file path=xl/calcChain.xml><?xml version="1.0" encoding="utf-8"?>
<calcChain xmlns="http://schemas.openxmlformats.org/spreadsheetml/2006/main">
  <c r="H69" i="4" l="1"/>
  <c r="F65" i="4"/>
  <c r="H63" i="4"/>
  <c r="H62" i="4"/>
  <c r="H60" i="4"/>
  <c r="F56" i="4"/>
  <c r="H54" i="4"/>
  <c r="H53" i="4"/>
  <c r="F44" i="4"/>
  <c r="L41" i="4"/>
  <c r="J41" i="4"/>
  <c r="H41" i="4"/>
  <c r="F41" i="4"/>
  <c r="H33" i="4"/>
  <c r="F29" i="4"/>
  <c r="H27" i="4"/>
  <c r="H26" i="4"/>
  <c r="H24" i="4"/>
  <c r="F20" i="4"/>
  <c r="H18" i="4"/>
  <c r="H17" i="4"/>
  <c r="F8" i="4"/>
  <c r="L5" i="4"/>
  <c r="J5" i="4"/>
  <c r="H5" i="4"/>
  <c r="F5" i="4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4" i="5"/>
  <c r="D3" i="5"/>
  <c r="F69" i="4"/>
  <c r="F60" i="4"/>
  <c r="C39" i="4"/>
  <c r="F33" i="4"/>
  <c r="F24" i="4"/>
  <c r="C3" i="4"/>
  <c r="G4" i="3"/>
  <c r="F4" i="3"/>
  <c r="F3" i="3"/>
  <c r="F14" i="1"/>
  <c r="F15" i="1" s="1"/>
  <c r="F16" i="1" s="1"/>
  <c r="F17" i="1" s="1"/>
  <c r="F18" i="1" s="1"/>
  <c r="F19" i="1" s="1"/>
  <c r="F20" i="1" s="1"/>
  <c r="F21" i="1" s="1"/>
  <c r="F13" i="1"/>
  <c r="F12" i="1"/>
  <c r="E22" i="1" l="1"/>
  <c r="F22" i="1" s="1"/>
  <c r="F23" i="1" s="1"/>
  <c r="F24" i="1" s="1"/>
  <c r="F25" i="1" l="1"/>
  <c r="F26" i="1" s="1"/>
  <c r="F27" i="1" s="1"/>
  <c r="E25" i="1"/>
  <c r="E28" i="1" l="1"/>
  <c r="F28" i="1" s="1"/>
  <c r="F30" i="1" s="1"/>
  <c r="F31" i="1" s="1"/>
  <c r="F32" i="1" s="1"/>
  <c r="E33" i="1" l="1"/>
  <c r="F33" i="1" s="1"/>
  <c r="F34" i="1" s="1"/>
  <c r="F35" i="1" s="1"/>
  <c r="E36" i="1" l="1"/>
  <c r="F36" i="1" s="1"/>
  <c r="F37" i="1" s="1"/>
  <c r="F38" i="1" s="1"/>
  <c r="F39" i="1" s="1"/>
  <c r="E40" i="1" l="1"/>
  <c r="F40" i="1" s="1"/>
</calcChain>
</file>

<file path=xl/sharedStrings.xml><?xml version="1.0" encoding="utf-8"?>
<sst xmlns="http://schemas.openxmlformats.org/spreadsheetml/2006/main" count="129" uniqueCount="93">
  <si>
    <t>Sanayi_F_95m2_este</t>
  </si>
  <si>
    <t>Merdal Kipel</t>
  </si>
  <si>
    <t>31 Mart 2022 – 30 Mart 2023</t>
  </si>
  <si>
    <t>Yıllık Ücret</t>
  </si>
  <si>
    <t>Ödeme şekli</t>
  </si>
  <si>
    <t>Nakit 7 ay</t>
  </si>
  <si>
    <t>Aylık  5 ay</t>
  </si>
  <si>
    <t>KİRA HESAP ÖZETİ</t>
  </si>
  <si>
    <t>tutar</t>
  </si>
  <si>
    <t>bakiye</t>
  </si>
  <si>
    <t>2021-22 kira bedeli</t>
  </si>
  <si>
    <t>elden nakit 2022-1-7. ay ödemesi</t>
  </si>
  <si>
    <t>5. ay kira 2022-8</t>
  </si>
  <si>
    <t>5. ay kira 2022-8 ödemesi 4000 TL</t>
  </si>
  <si>
    <t>Denizlik mermer</t>
  </si>
  <si>
    <t>6. ay kira 2022-9</t>
  </si>
  <si>
    <t>6. ay kira 2022-9 ödemesi 4000 TL</t>
  </si>
  <si>
    <t>7. ay kira 2022-10</t>
  </si>
  <si>
    <r>
      <rPr>
        <sz val="12"/>
        <color rgb="FF000000"/>
        <rFont val="Calibri"/>
        <family val="2"/>
        <charset val="162"/>
      </rPr>
      <t xml:space="preserve">7. ay kira 2022-10 ödemesi </t>
    </r>
    <r>
      <rPr>
        <b/>
        <sz val="12"/>
        <color rgb="FF000000"/>
        <rFont val="Calibri"/>
        <family val="2"/>
        <charset val="162"/>
      </rPr>
      <t>4000 TL</t>
    </r>
  </si>
  <si>
    <t xml:space="preserve">ödenmeyen kira farkı temmuz tüfe  </t>
  </si>
  <si>
    <t>8. ay kira 2022-11</t>
  </si>
  <si>
    <r>
      <rPr>
        <sz val="12"/>
        <color rgb="FF000000"/>
        <rFont val="Calibri"/>
        <family val="2"/>
        <charset val="162"/>
      </rPr>
      <t xml:space="preserve">8. ay kira 2022-11 ödemesi </t>
    </r>
    <r>
      <rPr>
        <b/>
        <sz val="12"/>
        <color rgb="FF000000"/>
        <rFont val="Calibri"/>
        <family val="2"/>
        <charset val="162"/>
      </rPr>
      <t>4000 TL</t>
    </r>
  </si>
  <si>
    <t xml:space="preserve">ödenmeyen kira farkı 08 tüfe  </t>
  </si>
  <si>
    <t>9. ay kira 2022-12</t>
  </si>
  <si>
    <r>
      <rPr>
        <sz val="12"/>
        <color rgb="FF000000"/>
        <rFont val="Calibri"/>
        <family val="2"/>
        <charset val="162"/>
      </rPr>
      <t xml:space="preserve">9. ay kira 2022-12 ödemesi </t>
    </r>
    <r>
      <rPr>
        <b/>
        <sz val="12"/>
        <color rgb="FF000000"/>
        <rFont val="Calibri"/>
        <family val="2"/>
        <charset val="162"/>
      </rPr>
      <t>4000 TL</t>
    </r>
  </si>
  <si>
    <t xml:space="preserve">ödenmeyen kira farkı 09 tüfe  </t>
  </si>
  <si>
    <t>2023-2024 kira ödemeleri</t>
  </si>
  <si>
    <t>10. ay kira 2023-1</t>
  </si>
  <si>
    <r>
      <rPr>
        <sz val="12"/>
        <color rgb="FF000000"/>
        <rFont val="Calibri"/>
        <family val="2"/>
        <charset val="162"/>
      </rPr>
      <t xml:space="preserve">10. ay kira 2023-1 ödemesi </t>
    </r>
    <r>
      <rPr>
        <b/>
        <sz val="12"/>
        <color rgb="FF000000"/>
        <rFont val="Calibri"/>
        <family val="2"/>
        <charset val="162"/>
      </rPr>
      <t>4000 TL</t>
    </r>
  </si>
  <si>
    <t xml:space="preserve">ödenmeyen kira farkı 10 tüfe  </t>
  </si>
  <si>
    <t>11. ay kira 2023-2</t>
  </si>
  <si>
    <t>11. ay kira 2023-2 ödemesi 4000 TL</t>
  </si>
  <si>
    <t xml:space="preserve">ödenmeyen kira farkı 11 tüfe  </t>
  </si>
  <si>
    <t>5 boy 40*40 2 mm profil</t>
  </si>
  <si>
    <t>12. ay kira 2023-3</t>
  </si>
  <si>
    <t>12. ay kira 2023-3 ödemesi 4000 TL</t>
  </si>
  <si>
    <t xml:space="preserve">ödenmeyen kira farkı 12 tüfe  </t>
  </si>
  <si>
    <t>2022-23 yılı yapılan ödemelere göre oturma süresi</t>
  </si>
  <si>
    <t>Ödendi 28000/4 = 7 ay kirası</t>
  </si>
  <si>
    <t>ödendi</t>
  </si>
  <si>
    <t>Ödendi 30-4 ödemesi 4000 TL</t>
  </si>
  <si>
    <t>Ödendi 30-5 ödemesi 4000 TL</t>
  </si>
  <si>
    <t>Alacaklı Adı Soyadı / Unvanı</t>
  </si>
  <si>
    <t>İl</t>
  </si>
  <si>
    <t>TOKAT</t>
  </si>
  <si>
    <t>BORÇLU</t>
  </si>
  <si>
    <t>Kişilik</t>
  </si>
  <si>
    <t>Gerçek Kişi</t>
  </si>
  <si>
    <t>Adı Soyadı / Unvanı</t>
  </si>
  <si>
    <t>Emre AKTAŞ</t>
  </si>
  <si>
    <t>Adresi</t>
  </si>
  <si>
    <t>Vergi Dairesi</t>
  </si>
  <si>
    <t>Tokat</t>
  </si>
  <si>
    <t>Vergi No/TC Kimlik No</t>
  </si>
  <si>
    <t>251 4497 7278</t>
  </si>
  <si>
    <t>KEFİL</t>
  </si>
  <si>
    <t xml:space="preserve"> 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</si>
  <si>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</si>
  <si>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</si>
  <si>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</si>
  <si>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</si>
  <si>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</si>
  <si>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</si>
  <si>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</si>
  <si>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</si>
  <si>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</si>
  <si>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2. Taksit</t>
  </si>
  <si>
    <t>VADE</t>
  </si>
  <si>
    <t>TÜRK LIRASI</t>
  </si>
  <si>
    <t>No</t>
  </si>
  <si>
    <t>DÜZENLEME TARIHI</t>
  </si>
  <si>
    <t>Borçlu İsim-Unvan</t>
  </si>
  <si>
    <t>:</t>
  </si>
  <si>
    <t>Tc Kimlik No</t>
  </si>
  <si>
    <t>Adres</t>
  </si>
  <si>
    <t>İmza</t>
  </si>
  <si>
    <t>KEFİL İsim Unvan</t>
  </si>
  <si>
    <t>TC Kimlik No</t>
  </si>
  <si>
    <t>ödenecek teminat</t>
  </si>
  <si>
    <t>4. ay elektrik</t>
  </si>
  <si>
    <t>4. ay elektrik ödeme</t>
  </si>
  <si>
    <t>5. ay elektrik</t>
  </si>
  <si>
    <t>5. ay elektrik ödeme</t>
  </si>
  <si>
    <t>6. ay elektrik</t>
  </si>
  <si>
    <t>6. ay elektrik ödeme</t>
  </si>
  <si>
    <t>7. ay elektrik</t>
  </si>
  <si>
    <t>7. ay elektrik ödeme</t>
  </si>
  <si>
    <t>8. ay elektrik</t>
  </si>
  <si>
    <t>8. ay elektrik ödeme</t>
  </si>
  <si>
    <t>9. ay elektrik</t>
  </si>
  <si>
    <t>9. ay elektrik ödeme</t>
  </si>
  <si>
    <t>10. ay elektrik</t>
  </si>
  <si>
    <t>10. ay elektrik ödeme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</si>
</sst>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.&quot;mm&quot;.&quot;yyyy"/>
    <numFmt numFmtId="165" formatCode="#"/>
    <numFmt numFmtId="166" formatCode="&quot; &quot;#,##0.00&quot;    &quot;;&quot;-&quot;#,##0.00&quot;    &quot;;&quot; &quot;&quot;-&quot;#&quot;    &quot;;&quot; &quot;@&quot; &quot;"/>
    <numFmt numFmtId="167" formatCode="&quot; &quot;#,##0.00&quot; ₺ &quot;;&quot;-&quot;#,##0.00&quot; ₺ &quot;;&quot; &quot;&quot;-&quot;#&quot; ₺ &quot;;&quot; &quot;@&quot; &quot;"/>
  </numFmts>
  <fonts count="30"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FFFF"/>
      <name val="Calibri"/>
      <family val="2"/>
      <charset val="162"/>
    </font>
    <font>
      <sz val="10"/>
      <color rgb="FFCC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808080"/>
      <name val="Calibri"/>
      <family val="2"/>
      <charset val="162"/>
    </font>
    <font>
      <sz val="10"/>
      <color rgb="FF006600"/>
      <name val="Calibri"/>
      <family val="2"/>
      <charset val="162"/>
    </font>
    <font>
      <b/>
      <sz val="2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rgb="FF0000EE"/>
      <name val="Calibri"/>
      <family val="2"/>
      <charset val="162"/>
    </font>
    <font>
      <sz val="10"/>
      <color rgb="FF996600"/>
      <name val="Calibri"/>
      <family val="2"/>
      <charset val="162"/>
    </font>
    <font>
      <sz val="10"/>
      <color rgb="FF333333"/>
      <name val="Calibri"/>
      <family val="2"/>
      <charset val="162"/>
    </font>
    <font>
      <b/>
      <i/>
      <u/>
      <sz val="10"/>
      <color rgb="FF00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sz val="10"/>
      <color rgb="FF000000"/>
      <name val="Calibri"/>
      <family val="2"/>
      <charset val="162"/>
    </font>
    <font>
      <i/>
      <u val="double"/>
      <sz val="12"/>
      <color rgb="FF000000"/>
      <name val="Calibri"/>
      <family val="2"/>
      <charset val="162"/>
    </font>
    <font>
      <i/>
      <sz val="12"/>
      <color rgb="FF000000"/>
      <name val="Calibri"/>
      <family val="2"/>
      <charset val="162"/>
    </font>
    <font>
      <b/>
      <sz val="18"/>
      <color rgb="FF000000"/>
      <name val="C059"/>
      <charset val="162"/>
    </font>
    <font>
      <sz val="18"/>
      <color rgb="FF000000"/>
      <name val="C059"/>
      <charset val="162"/>
    </font>
    <font>
      <i/>
      <sz val="15"/>
      <color rgb="FF000000"/>
      <name val="Calibri"/>
      <family val="2"/>
      <charset val="162"/>
    </font>
    <font>
      <b/>
      <i/>
      <sz val="14"/>
      <color rgb="FF00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i/>
      <sz val="14"/>
      <color rgb="FF000000"/>
      <name val="Calibri"/>
      <family val="2"/>
      <charset val="162"/>
    </font>
    <font>
      <i/>
      <u/>
      <sz val="14"/>
      <color rgb="FF000000"/>
      <name val="Calibri"/>
      <family val="2"/>
      <charset val="162"/>
    </font>
    <font>
      <sz val="12"/>
      <color rgb="FF999999"/>
      <name val="Calibri"/>
      <family val="2"/>
      <charset val="162"/>
    </font>
    <font>
      <b/>
      <sz val="14"/>
      <color rgb="FF000000"/>
      <name val="Calibri"/>
      <family val="2"/>
      <charset val="162"/>
    </font>
    <font>
      <b/>
      <i/>
      <sz val="12"/>
      <color rgb="FF000000"/>
      <name val="Calibri"/>
      <family val="2"/>
      <charset val="162"/>
    </font>
    <font>
      <i/>
      <u/>
      <sz val="12"/>
      <color rgb="FF00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uble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6" fontId="1" fillId="0" borderId="0"/>
    <xf numFmtId="167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97">
    <xf numFmtId="0" fontId="0" fillId="0" borderId="0" xfId="0"/>
    <xf numFmtId="0" fontId="10" fillId="0" borderId="0" xfId="0" applyFont="1"/>
    <xf numFmtId="4" fontId="10" fillId="0" borderId="0" xfId="0" applyNumberFormat="1" applyFont="1"/>
    <xf numFmtId="0" fontId="15" fillId="0" borderId="0" xfId="0" applyFont="1" applyAlignment="1">
      <alignment horizontal="right"/>
    </xf>
    <xf numFmtId="4" fontId="15" fillId="0" borderId="0" xfId="0" applyNumberFormat="1" applyFont="1" applyAlignment="1">
      <alignment horizontal="right"/>
    </xf>
    <xf numFmtId="164" fontId="0" fillId="0" borderId="0" xfId="0" applyNumberFormat="1"/>
    <xf numFmtId="0" fontId="15" fillId="0" borderId="0" xfId="0" applyFont="1"/>
    <xf numFmtId="0" fontId="15" fillId="4" borderId="0" xfId="0" applyFont="1" applyFill="1"/>
    <xf numFmtId="0" fontId="15" fillId="0" borderId="0" xfId="0" applyFont="1" applyFill="1"/>
    <xf numFmtId="164" fontId="16" fillId="0" borderId="0" xfId="0" applyNumberFormat="1" applyFont="1"/>
    <xf numFmtId="4" fontId="16" fillId="0" borderId="0" xfId="0" applyNumberFormat="1" applyFont="1"/>
    <xf numFmtId="0" fontId="15" fillId="0" borderId="2" xfId="0" applyFont="1" applyBorder="1" applyAlignment="1" applyProtection="1">
      <alignment vertical="center"/>
      <protection hidden="1"/>
    </xf>
    <xf numFmtId="49" fontId="10" fillId="0" borderId="2" xfId="0" applyNumberFormat="1" applyFont="1" applyBorder="1" applyAlignment="1" applyProtection="1">
      <alignment vertical="center"/>
      <protection locked="0"/>
    </xf>
    <xf numFmtId="0" fontId="10" fillId="0" borderId="0" xfId="0" applyFont="1" applyBorder="1" applyAlignment="1" applyProtection="1">
      <alignment vertical="center"/>
      <protection hidden="1"/>
    </xf>
    <xf numFmtId="0" fontId="15" fillId="0" borderId="0" xfId="0" applyFont="1" applyBorder="1" applyAlignment="1" applyProtection="1">
      <alignment vertical="center"/>
      <protection hidden="1"/>
    </xf>
    <xf numFmtId="49" fontId="10" fillId="0" borderId="0" xfId="0" applyNumberFormat="1" applyFont="1" applyBorder="1" applyAlignment="1" applyProtection="1">
      <alignment vertical="center"/>
      <protection hidden="1"/>
    </xf>
    <xf numFmtId="49" fontId="10" fillId="0" borderId="2" xfId="0" applyNumberFormat="1" applyFont="1" applyBorder="1" applyAlignment="1" applyProtection="1">
      <alignment horizontal="left" vertical="center"/>
      <protection locked="0"/>
    </xf>
    <xf numFmtId="49" fontId="10" fillId="0" borderId="0" xfId="0" applyNumberFormat="1" applyFont="1" applyAlignment="1">
      <alignment horizontal="justify"/>
    </xf>
    <xf numFmtId="49" fontId="10" fillId="0" borderId="0" xfId="0" applyNumberFormat="1" applyFont="1"/>
    <xf numFmtId="0" fontId="0" fillId="0" borderId="2" xfId="0" applyFill="1" applyBorder="1"/>
    <xf numFmtId="0" fontId="15" fillId="0" borderId="2" xfId="0" applyFont="1" applyFill="1" applyBorder="1" applyAlignment="1" applyProtection="1">
      <alignment horizontal="center" vertical="center" textRotation="90"/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15" fillId="0" borderId="0" xfId="0" applyFont="1" applyBorder="1" applyAlignment="1" applyProtection="1">
      <alignment horizontal="center" vertical="center"/>
      <protection hidden="1"/>
    </xf>
    <xf numFmtId="0" fontId="10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5" fillId="0" borderId="0" xfId="0" applyFont="1" applyBorder="1" applyAlignment="1" applyProtection="1">
      <alignment horizontal="right" vertical="center"/>
      <protection hidden="1"/>
    </xf>
    <xf numFmtId="164" fontId="10" fillId="0" borderId="0" xfId="0" applyNumberFormat="1" applyFont="1" applyBorder="1" applyAlignment="1" applyProtection="1">
      <alignment horizontal="center" vertical="center"/>
      <protection locked="0"/>
    </xf>
    <xf numFmtId="4" fontId="10" fillId="0" borderId="0" xfId="8" applyNumberFormat="1" applyFont="1" applyBorder="1" applyAlignment="1" applyProtection="1">
      <alignment horizontal="right" vertical="center"/>
      <protection locked="0"/>
    </xf>
    <xf numFmtId="4" fontId="10" fillId="0" borderId="0" xfId="0" applyNumberFormat="1" applyFont="1" applyBorder="1" applyAlignment="1" applyProtection="1">
      <alignment vertical="center"/>
      <protection hidden="1"/>
    </xf>
    <xf numFmtId="0" fontId="10" fillId="0" borderId="0" xfId="0" applyFont="1" applyBorder="1" applyAlignment="1" applyProtection="1">
      <alignment horizontal="right" vertical="center"/>
      <protection hidden="1"/>
    </xf>
    <xf numFmtId="0" fontId="0" fillId="0" borderId="0" xfId="0" applyFill="1" applyBorder="1"/>
    <xf numFmtId="0" fontId="15" fillId="0" borderId="0" xfId="0" applyFont="1" applyFill="1" applyBorder="1" applyAlignment="1" applyProtection="1">
      <alignment horizontal="center" vertical="center" textRotation="90"/>
      <protection hidden="1"/>
    </xf>
    <xf numFmtId="0" fontId="10" fillId="0" borderId="0" xfId="0" applyFont="1" applyBorder="1" applyProtection="1">
      <protection hidden="1"/>
    </xf>
    <xf numFmtId="0" fontId="10" fillId="0" borderId="0" xfId="0" applyFont="1" applyProtection="1">
      <protection hidden="1"/>
    </xf>
    <xf numFmtId="0" fontId="10" fillId="0" borderId="3" xfId="0" applyFont="1" applyBorder="1" applyProtection="1">
      <protection hidden="1"/>
    </xf>
    <xf numFmtId="0" fontId="10" fillId="0" borderId="4" xfId="0" applyFont="1" applyBorder="1" applyProtection="1">
      <protection hidden="1"/>
    </xf>
    <xf numFmtId="0" fontId="10" fillId="0" borderId="5" xfId="0" applyFont="1" applyBorder="1" applyProtection="1">
      <protection hidden="1"/>
    </xf>
    <xf numFmtId="0" fontId="10" fillId="0" borderId="6" xfId="0" applyFont="1" applyBorder="1" applyAlignment="1" applyProtection="1">
      <alignment horizontal="center" vertical="center"/>
      <protection hidden="1"/>
    </xf>
    <xf numFmtId="0" fontId="10" fillId="0" borderId="0" xfId="0" applyFont="1" applyBorder="1" applyAlignment="1" applyProtection="1">
      <alignment horizontal="center" vertical="center" textRotation="90" wrapText="1"/>
      <protection hidden="1"/>
    </xf>
    <xf numFmtId="0" fontId="10" fillId="0" borderId="0" xfId="0" applyFont="1" applyBorder="1" applyAlignment="1" applyProtection="1">
      <alignment horizontal="left" vertical="center" textRotation="90" wrapText="1"/>
      <protection hidden="1"/>
    </xf>
    <xf numFmtId="0" fontId="10" fillId="0" borderId="7" xfId="0" applyFont="1" applyBorder="1" applyProtection="1">
      <protection hidden="1"/>
    </xf>
    <xf numFmtId="0" fontId="10" fillId="0" borderId="8" xfId="0" applyFont="1" applyBorder="1" applyProtection="1">
      <protection hidden="1"/>
    </xf>
    <xf numFmtId="0" fontId="10" fillId="0" borderId="9" xfId="0" applyFont="1" applyBorder="1" applyProtection="1">
      <protection hidden="1"/>
    </xf>
    <xf numFmtId="0" fontId="10" fillId="0" borderId="10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/>
      <protection hidden="1"/>
    </xf>
    <xf numFmtId="0" fontId="17" fillId="0" borderId="11" xfId="0" applyFont="1" applyBorder="1" applyAlignment="1" applyProtection="1">
      <alignment horizontal="center" vertical="top"/>
      <protection hidden="1"/>
    </xf>
    <xf numFmtId="0" fontId="18" fillId="0" borderId="0" xfId="0" applyFont="1" applyBorder="1" applyAlignment="1" applyProtection="1">
      <alignment horizontal="center" vertical="top"/>
      <protection hidden="1"/>
    </xf>
    <xf numFmtId="0" fontId="17" fillId="0" borderId="0" xfId="0" applyFont="1" applyBorder="1" applyAlignment="1" applyProtection="1">
      <alignment horizontal="center" vertical="top"/>
      <protection hidden="1"/>
    </xf>
    <xf numFmtId="0" fontId="18" fillId="0" borderId="0" xfId="0" applyFont="1" applyAlignment="1">
      <alignment horizontal="center" vertical="top"/>
    </xf>
    <xf numFmtId="0" fontId="17" fillId="0" borderId="12" xfId="0" applyFont="1" applyBorder="1" applyAlignment="1" applyProtection="1">
      <alignment horizontal="center" vertical="top"/>
      <protection hidden="1"/>
    </xf>
    <xf numFmtId="0" fontId="10" fillId="0" borderId="10" xfId="0" applyFont="1" applyBorder="1" applyProtection="1">
      <protection hidden="1"/>
    </xf>
    <xf numFmtId="0" fontId="19" fillId="0" borderId="0" xfId="0" applyFont="1" applyBorder="1" applyProtection="1">
      <protection hidden="1"/>
    </xf>
    <xf numFmtId="1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/>
    <xf numFmtId="0" fontId="10" fillId="0" borderId="13" xfId="0" applyFont="1" applyBorder="1" applyProtection="1">
      <protection hidden="1"/>
    </xf>
    <xf numFmtId="0" fontId="10" fillId="0" borderId="14" xfId="0" applyFont="1" applyBorder="1" applyProtection="1">
      <protection hidden="1"/>
    </xf>
    <xf numFmtId="0" fontId="10" fillId="0" borderId="15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10" fillId="0" borderId="7" xfId="0" applyFont="1" applyBorder="1" applyAlignment="1" applyProtection="1">
      <alignment horizontal="center" vertical="center" textRotation="90" wrapText="1"/>
      <protection hidden="1"/>
    </xf>
    <xf numFmtId="0" fontId="22" fillId="0" borderId="8" xfId="0" applyFont="1" applyBorder="1" applyAlignment="1" applyProtection="1">
      <alignment horizontal="left" vertical="center" readingOrder="1"/>
      <protection hidden="1"/>
    </xf>
    <xf numFmtId="0" fontId="15" fillId="0" borderId="8" xfId="0" applyFont="1" applyBorder="1" applyAlignment="1" applyProtection="1">
      <alignment horizontal="left" vertical="center" readingOrder="1"/>
      <protection hidden="1"/>
    </xf>
    <xf numFmtId="0" fontId="10" fillId="0" borderId="11" xfId="0" applyFont="1" applyBorder="1" applyAlignment="1" applyProtection="1">
      <alignment horizontal="center" vertical="center" textRotation="90" wrapText="1"/>
      <protection hidden="1"/>
    </xf>
    <xf numFmtId="0" fontId="24" fillId="0" borderId="0" xfId="0" applyFont="1" applyBorder="1" applyAlignment="1" applyProtection="1">
      <alignment horizontal="left" readingOrder="1"/>
      <protection hidden="1"/>
    </xf>
    <xf numFmtId="0" fontId="15" fillId="0" borderId="0" xfId="0" applyFont="1" applyBorder="1" applyAlignment="1" applyProtection="1">
      <alignment horizontal="left" readingOrder="1"/>
      <protection hidden="1"/>
    </xf>
    <xf numFmtId="0" fontId="23" fillId="0" borderId="0" xfId="0" applyFont="1" applyBorder="1" applyAlignment="1" applyProtection="1">
      <alignment horizontal="left" vertical="center" readingOrder="1"/>
      <protection hidden="1"/>
    </xf>
    <xf numFmtId="0" fontId="23" fillId="0" borderId="12" xfId="0" applyFont="1" applyBorder="1" applyAlignment="1" applyProtection="1">
      <alignment horizontal="left" vertical="center" readingOrder="1"/>
      <protection hidden="1"/>
    </xf>
    <xf numFmtId="0" fontId="10" fillId="0" borderId="6" xfId="0" applyFont="1" applyBorder="1" applyAlignment="1" applyProtection="1">
      <alignment horizontal="left" vertical="top"/>
      <protection hidden="1"/>
    </xf>
    <xf numFmtId="0" fontId="25" fillId="0" borderId="0" xfId="0" applyFont="1" applyBorder="1" applyAlignment="1" applyProtection="1">
      <alignment horizontal="left" vertical="top" wrapText="1"/>
      <protection hidden="1"/>
    </xf>
    <xf numFmtId="0" fontId="10" fillId="0" borderId="0" xfId="0" applyFont="1" applyBorder="1" applyAlignment="1" applyProtection="1">
      <alignment horizontal="left" vertical="top" wrapText="1"/>
      <protection hidden="1"/>
    </xf>
    <xf numFmtId="0" fontId="26" fillId="0" borderId="0" xfId="0" applyFont="1" applyBorder="1" applyAlignment="1" applyProtection="1">
      <alignment horizontal="right" vertical="top" wrapText="1"/>
      <protection hidden="1"/>
    </xf>
    <xf numFmtId="0" fontId="10" fillId="0" borderId="12" xfId="0" applyFont="1" applyBorder="1" applyProtection="1">
      <protection hidden="1"/>
    </xf>
    <xf numFmtId="0" fontId="10" fillId="0" borderId="0" xfId="0" applyFont="1" applyBorder="1" applyAlignment="1" applyProtection="1">
      <alignment horizontal="center"/>
      <protection hidden="1"/>
    </xf>
    <xf numFmtId="0" fontId="10" fillId="0" borderId="13" xfId="0" applyFont="1" applyBorder="1" applyAlignment="1" applyProtection="1">
      <alignment horizontal="center" vertical="center" textRotation="90" wrapText="1"/>
      <protection hidden="1"/>
    </xf>
    <xf numFmtId="0" fontId="24" fillId="0" borderId="14" xfId="0" applyFont="1" applyBorder="1" applyAlignment="1" applyProtection="1">
      <alignment horizontal="left"/>
      <protection hidden="1"/>
    </xf>
    <xf numFmtId="0" fontId="10" fillId="0" borderId="14" xfId="0" applyFont="1" applyBorder="1" applyAlignment="1" applyProtection="1">
      <alignment horizontal="left"/>
      <protection hidden="1"/>
    </xf>
    <xf numFmtId="0" fontId="18" fillId="0" borderId="0" xfId="0" applyFont="1" applyBorder="1" applyAlignment="1" applyProtection="1">
      <alignment horizontal="left"/>
      <protection hidden="1"/>
    </xf>
    <xf numFmtId="0" fontId="10" fillId="0" borderId="0" xfId="0" applyFont="1" applyBorder="1" applyAlignment="1" applyProtection="1">
      <alignment horizontal="left"/>
      <protection hidden="1"/>
    </xf>
    <xf numFmtId="0" fontId="28" fillId="0" borderId="8" xfId="0" applyFont="1" applyBorder="1" applyAlignment="1" applyProtection="1">
      <alignment horizontal="left"/>
      <protection hidden="1"/>
    </xf>
    <xf numFmtId="0" fontId="15" fillId="0" borderId="8" xfId="0" applyFont="1" applyBorder="1" applyAlignment="1" applyProtection="1">
      <alignment horizontal="left"/>
      <protection hidden="1"/>
    </xf>
    <xf numFmtId="0" fontId="10" fillId="0" borderId="8" xfId="0" applyFont="1" applyBorder="1" applyAlignment="1" applyProtection="1">
      <alignment horizontal="center"/>
      <protection hidden="1"/>
    </xf>
    <xf numFmtId="0" fontId="18" fillId="0" borderId="0" xfId="0" applyFont="1" applyBorder="1" applyAlignment="1" applyProtection="1">
      <alignment horizontal="left" readingOrder="1"/>
      <protection hidden="1"/>
    </xf>
    <xf numFmtId="0" fontId="15" fillId="0" borderId="0" xfId="0" applyFont="1" applyBorder="1" applyAlignment="1" applyProtection="1">
      <alignment horizontal="left"/>
      <protection hidden="1"/>
    </xf>
    <xf numFmtId="0" fontId="29" fillId="0" borderId="0" xfId="0" applyFont="1" applyBorder="1" applyAlignment="1" applyProtection="1">
      <alignment horizontal="left" vertical="top" wrapText="1"/>
      <protection hidden="1"/>
    </xf>
    <xf numFmtId="0" fontId="10" fillId="0" borderId="16" xfId="0" applyFont="1" applyBorder="1" applyProtection="1">
      <protection hidden="1"/>
    </xf>
    <xf numFmtId="0" fontId="10" fillId="0" borderId="17" xfId="0" applyFont="1" applyBorder="1" applyProtection="1">
      <protection hidden="1"/>
    </xf>
    <xf numFmtId="0" fontId="10" fillId="0" borderId="18" xfId="0" applyFont="1" applyBorder="1" applyProtection="1">
      <protection hidden="1"/>
    </xf>
    <xf numFmtId="0" fontId="10" fillId="0" borderId="0" xfId="0" applyFont="1" applyFill="1" applyBorder="1" applyAlignment="1" applyProtection="1">
      <alignment horizontal="center" vertical="center" textRotation="90" wrapText="1"/>
      <protection hidden="1"/>
    </xf>
    <xf numFmtId="164" fontId="19" fillId="0" borderId="11" xfId="0" applyNumberFormat="1" applyFont="1" applyFill="1" applyBorder="1" applyAlignment="1" applyProtection="1">
      <alignment horizontal="center" vertical="center"/>
      <protection hidden="1"/>
    </xf>
    <xf numFmtId="165" fontId="19" fillId="0" borderId="0" xfId="7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164" fontId="20" fillId="0" borderId="12" xfId="0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Alignment="1" applyProtection="1">
      <alignment horizontal="justify" vertical="center" wrapText="1"/>
      <protection hidden="1"/>
    </xf>
    <xf numFmtId="0" fontId="23" fillId="0" borderId="9" xfId="0" applyFont="1" applyFill="1" applyBorder="1" applyAlignment="1" applyProtection="1">
      <alignment horizontal="left" vertical="center" readingOrder="1"/>
      <protection hidden="1"/>
    </xf>
    <xf numFmtId="0" fontId="27" fillId="0" borderId="0" xfId="0" applyFont="1" applyFill="1" applyBorder="1" applyAlignment="1" applyProtection="1">
      <alignment horizontal="left" vertical="top" wrapText="1"/>
      <protection hidden="1"/>
    </xf>
    <xf numFmtId="0" fontId="15" fillId="0" borderId="0" xfId="0" applyFont="1" applyFill="1" applyBorder="1" applyAlignment="1" applyProtection="1">
      <alignment horizontal="left" vertical="top" wrapText="1"/>
      <protection hidden="1"/>
    </xf>
  </cellXfs>
  <cellStyles count="21">
    <cellStyle name="Accent" xfId="1" xr:uid="{EC1C8A72-B8F7-4FBA-91E5-6A2E515AEE3E}"/>
    <cellStyle name="Accent 1" xfId="2" xr:uid="{64471406-CDD7-452B-8457-8231ED85D1EC}"/>
    <cellStyle name="Accent 2" xfId="3" xr:uid="{DD188B2E-B665-4A54-9319-40710EF8AE24}"/>
    <cellStyle name="Accent 3" xfId="4" xr:uid="{AEADCC68-882B-43F2-A82B-3C8C178878E2}"/>
    <cellStyle name="Bad" xfId="5" xr:uid="{80A3B29D-9B0F-462C-A094-5D54032EAD02}"/>
    <cellStyle name="Error" xfId="6" xr:uid="{813F9469-B481-47A7-85A8-CFC67E334576}"/>
    <cellStyle name="Excel Built-in Comma" xfId="7" xr:uid="{0B7885BD-A232-4121-BD86-CEE9595A4A89}"/>
    <cellStyle name="Excel Built-in Currency" xfId="8" xr:uid="{4FA1B521-432D-4252-ADFF-36A30123E0C6}"/>
    <cellStyle name="Footnote" xfId="9" xr:uid="{7D6A9FE3-E415-4B57-9A96-1784F8F92A92}"/>
    <cellStyle name="Good" xfId="10" xr:uid="{CD577D1D-CF72-4C30-B2C7-A33373A774FE}"/>
    <cellStyle name="Heading" xfId="11" xr:uid="{584374FA-01D7-4BBA-982C-65333C948A5A}"/>
    <cellStyle name="Heading 1" xfId="12" xr:uid="{9AF440B1-16DF-459F-94EF-E85AC5D60DDF}"/>
    <cellStyle name="Heading 2" xfId="13" xr:uid="{85D39097-8A00-43B6-85F4-57B3D45AB660}"/>
    <cellStyle name="Hyperlink" xfId="14" xr:uid="{DD8C48B2-AB1F-400A-8AA3-1E8F2D0A5355}"/>
    <cellStyle name="Neutral" xfId="15" xr:uid="{C4752BEF-B4B1-4D1B-A3D4-1606E8271FC4}"/>
    <cellStyle name="Normal" xfId="0" builtinId="0" customBuiltin="1"/>
    <cellStyle name="Note" xfId="16" xr:uid="{BD7484DC-0BFF-4A2F-8686-778F3ADFCE23}"/>
    <cellStyle name="Result" xfId="17" xr:uid="{B1B15A3A-BF5D-4F62-B47E-247844C0B9CA}"/>
    <cellStyle name="Status" xfId="18" xr:uid="{2F0BD014-ACA5-4031-B801-3DAA1BE5BA84}"/>
    <cellStyle name="Text" xfId="19" xr:uid="{741C3BBB-70EB-4B76-9B2D-A80DB32E8221}"/>
    <cellStyle name="Warning" xfId="20" xr:uid="{E18413A0-5E23-460A-9516-28108706C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9FF5-9275-43FD-9704-80D6F5EE3577}">
  <dimension ref="A1:XFD55"/>
  <sheetViews>
    <sheetView tabSelected="1" zoomScale="115" zoomScaleNormal="115" workbookViewId="0"/>
  </sheetViews>
  <sheetFormatPr defaultRowHeight="15"/>
  <cols>
    <col min="1" max="1" width="13.85546875" customWidth="1"/>
    <col min="2" max="2" width="5.7109375" style="1" customWidth="1"/>
    <col min="3" max="3" width="38.5703125" style="1" customWidth="1"/>
    <col min="4" max="5" width="11.85546875" style="1" customWidth="1"/>
    <col min="6" max="6" width="13.85546875" style="2" customWidth="1"/>
    <col min="7" max="1024" width="13.85546875" style="1" customWidth="1"/>
  </cols>
  <sheetData>
    <row r="1" spans="1:6" ht="15.75">
      <c r="C1" s="1" t="s">
        <v>0</v>
      </c>
    </row>
    <row r="2" spans="1:6" ht="15.75" customHeight="1">
      <c r="C2" s="1" t="s">
        <v>1</v>
      </c>
    </row>
    <row r="4" spans="1:6" ht="15.75" customHeight="1">
      <c r="C4" s="1" t="s">
        <v>2</v>
      </c>
    </row>
    <row r="5" spans="1:6" ht="15.75" customHeight="1">
      <c r="C5" s="1" t="s">
        <v>3</v>
      </c>
      <c r="E5" s="1">
        <v>48000</v>
      </c>
    </row>
    <row r="6" spans="1:6" ht="15.75" customHeight="1">
      <c r="C6" s="1" t="s">
        <v>4</v>
      </c>
      <c r="E6"/>
    </row>
    <row r="7" spans="1:6" ht="15.75" customHeight="1">
      <c r="C7" s="1" t="s">
        <v>5</v>
      </c>
      <c r="E7">
        <v>28000</v>
      </c>
    </row>
    <row r="8" spans="1:6" ht="15.75" customHeight="1">
      <c r="C8" s="1" t="s">
        <v>6</v>
      </c>
      <c r="E8" s="1">
        <v>4000</v>
      </c>
    </row>
    <row r="9" spans="1:6" ht="15.75" customHeight="1"/>
    <row r="10" spans="1:6" ht="15.75" customHeight="1">
      <c r="C10" s="1" t="s">
        <v>7</v>
      </c>
    </row>
    <row r="11" spans="1:6" ht="15.75" customHeight="1">
      <c r="E11" s="3" t="s">
        <v>8</v>
      </c>
      <c r="F11" s="4" t="s">
        <v>9</v>
      </c>
    </row>
    <row r="12" spans="1:6" ht="15.75" customHeight="1">
      <c r="A12" s="5">
        <v>44650</v>
      </c>
      <c r="C12" s="1" t="s">
        <v>10</v>
      </c>
      <c r="E12" s="1">
        <v>28000</v>
      </c>
      <c r="F12" s="2">
        <f>E12</f>
        <v>28000</v>
      </c>
    </row>
    <row r="13" spans="1:6" ht="15.75" customHeight="1">
      <c r="A13" s="5"/>
      <c r="F13" s="2">
        <f t="shared" ref="F13:F28" si="0">F12+E13</f>
        <v>28000</v>
      </c>
    </row>
    <row r="14" spans="1:6" ht="15.75" customHeight="1">
      <c r="A14" s="5">
        <v>44650</v>
      </c>
      <c r="C14" s="1" t="s">
        <v>11</v>
      </c>
      <c r="E14" s="1">
        <v>-28000</v>
      </c>
      <c r="F14" s="2">
        <f t="shared" si="0"/>
        <v>0</v>
      </c>
    </row>
    <row r="15" spans="1:6" ht="15.75" customHeight="1">
      <c r="A15" s="5">
        <v>44681</v>
      </c>
      <c r="C15" s="1" t="s">
        <v>12</v>
      </c>
      <c r="E15" s="1">
        <v>4000</v>
      </c>
      <c r="F15" s="2">
        <f t="shared" si="0"/>
        <v>4000</v>
      </c>
    </row>
    <row r="16" spans="1:6" ht="15.75" customHeight="1">
      <c r="A16" s="5">
        <v>44681</v>
      </c>
      <c r="C16" s="1" t="s">
        <v>13</v>
      </c>
      <c r="E16" s="1">
        <v>-4000</v>
      </c>
      <c r="F16" s="2">
        <f t="shared" si="0"/>
        <v>0</v>
      </c>
    </row>
    <row r="17" spans="1:6" ht="15.75" customHeight="1">
      <c r="A17" s="5"/>
      <c r="C17" s="1" t="s">
        <v>14</v>
      </c>
      <c r="E17" s="1">
        <v>375</v>
      </c>
      <c r="F17" s="2">
        <f t="shared" si="0"/>
        <v>375</v>
      </c>
    </row>
    <row r="18" spans="1:6" ht="15.75" customHeight="1">
      <c r="A18" s="5">
        <v>44711</v>
      </c>
      <c r="C18" s="1" t="s">
        <v>15</v>
      </c>
      <c r="E18" s="1">
        <v>4000</v>
      </c>
      <c r="F18" s="2">
        <f t="shared" si="0"/>
        <v>4375</v>
      </c>
    </row>
    <row r="19" spans="1:6" ht="15.75" customHeight="1">
      <c r="A19" s="5">
        <v>44711</v>
      </c>
      <c r="C19" s="1" t="s">
        <v>16</v>
      </c>
      <c r="E19" s="1">
        <v>-4000</v>
      </c>
      <c r="F19" s="2">
        <f t="shared" si="0"/>
        <v>375</v>
      </c>
    </row>
    <row r="20" spans="1:6" ht="15.75" customHeight="1">
      <c r="A20" s="5">
        <v>44742</v>
      </c>
      <c r="C20" s="1" t="s">
        <v>17</v>
      </c>
      <c r="E20" s="2">
        <v>4000</v>
      </c>
      <c r="F20" s="2">
        <f t="shared" si="0"/>
        <v>4375</v>
      </c>
    </row>
    <row r="21" spans="1:6" ht="15.75" customHeight="1">
      <c r="A21" s="5">
        <v>44742</v>
      </c>
      <c r="C21" s="6" t="s">
        <v>18</v>
      </c>
      <c r="D21" s="6"/>
      <c r="F21" s="2">
        <f t="shared" si="0"/>
        <v>4375</v>
      </c>
    </row>
    <row r="22" spans="1:6" ht="15.75" customHeight="1">
      <c r="A22" s="5"/>
      <c r="C22" s="7" t="s">
        <v>19</v>
      </c>
      <c r="D22" s="6">
        <v>2.37</v>
      </c>
      <c r="E22" s="2">
        <f>F21*D22/100</f>
        <v>103.6875</v>
      </c>
      <c r="F22" s="2">
        <f t="shared" si="0"/>
        <v>4478.6875</v>
      </c>
    </row>
    <row r="23" spans="1:6" ht="15.75" customHeight="1">
      <c r="A23" s="5">
        <v>44772</v>
      </c>
      <c r="C23" s="1" t="s">
        <v>20</v>
      </c>
      <c r="E23" s="2">
        <v>4000</v>
      </c>
      <c r="F23" s="2">
        <f t="shared" si="0"/>
        <v>8478.6875</v>
      </c>
    </row>
    <row r="24" spans="1:6" ht="15.75" customHeight="1">
      <c r="A24" s="5">
        <v>44772</v>
      </c>
      <c r="C24" s="6" t="s">
        <v>21</v>
      </c>
      <c r="D24" s="6"/>
      <c r="E24" s="2"/>
      <c r="F24" s="2">
        <f t="shared" si="0"/>
        <v>8478.6875</v>
      </c>
    </row>
    <row r="25" spans="1:6" ht="15.75" customHeight="1">
      <c r="A25" s="5"/>
      <c r="C25" s="7" t="s">
        <v>22</v>
      </c>
      <c r="D25" s="6">
        <v>1.46</v>
      </c>
      <c r="E25" s="2">
        <f>F24*D25/100</f>
        <v>123.78883749999999</v>
      </c>
      <c r="F25" s="2">
        <f t="shared" si="0"/>
        <v>8602.4763375000002</v>
      </c>
    </row>
    <row r="26" spans="1:6" ht="15.75" customHeight="1">
      <c r="A26" s="5">
        <v>44803</v>
      </c>
      <c r="C26" s="1" t="s">
        <v>23</v>
      </c>
      <c r="E26" s="2">
        <v>4000</v>
      </c>
      <c r="F26" s="2">
        <f t="shared" si="0"/>
        <v>12602.4763375</v>
      </c>
    </row>
    <row r="27" spans="1:6" ht="15.75" customHeight="1">
      <c r="A27" s="5">
        <v>44803</v>
      </c>
      <c r="C27" s="6" t="s">
        <v>24</v>
      </c>
      <c r="D27" s="6"/>
      <c r="E27" s="2"/>
      <c r="F27" s="2">
        <f t="shared" si="0"/>
        <v>12602.4763375</v>
      </c>
    </row>
    <row r="28" spans="1:6" ht="15.75" customHeight="1">
      <c r="A28" s="5"/>
      <c r="C28" s="7" t="s">
        <v>25</v>
      </c>
      <c r="D28" s="1">
        <v>3.08</v>
      </c>
      <c r="E28" s="2">
        <f>F27*D28/100</f>
        <v>388.15627119499999</v>
      </c>
      <c r="F28" s="2">
        <f t="shared" si="0"/>
        <v>12990.632608694999</v>
      </c>
    </row>
    <row r="29" spans="1:6" ht="15.75" customHeight="1">
      <c r="A29" s="5"/>
      <c r="C29" s="6"/>
      <c r="E29" s="2"/>
    </row>
    <row r="30" spans="1:6" ht="15.75" customHeight="1">
      <c r="A30" s="5"/>
      <c r="C30" s="6" t="s">
        <v>26</v>
      </c>
      <c r="D30" s="6"/>
      <c r="E30" s="2"/>
      <c r="F30" s="2">
        <f>F28+E30</f>
        <v>12990.632608694999</v>
      </c>
    </row>
    <row r="31" spans="1:6" ht="15.75" customHeight="1">
      <c r="A31" s="5">
        <v>44834</v>
      </c>
      <c r="C31" s="1" t="s">
        <v>27</v>
      </c>
      <c r="E31" s="2">
        <v>4000</v>
      </c>
      <c r="F31" s="2">
        <f t="shared" ref="F31:F40" si="1">F30+E31</f>
        <v>16990.632608694999</v>
      </c>
    </row>
    <row r="32" spans="1:6" ht="15.75" customHeight="1">
      <c r="A32" s="5">
        <v>44834</v>
      </c>
      <c r="C32" s="6" t="s">
        <v>28</v>
      </c>
      <c r="D32" s="6"/>
      <c r="E32" s="2"/>
      <c r="F32" s="2">
        <f t="shared" si="1"/>
        <v>16990.632608694999</v>
      </c>
    </row>
    <row r="33" spans="1:6" ht="15.75" customHeight="1">
      <c r="A33" s="5"/>
      <c r="C33" s="7" t="s">
        <v>29</v>
      </c>
      <c r="D33" s="1">
        <v>3.08</v>
      </c>
      <c r="E33" s="2">
        <f>F32*D33/100</f>
        <v>523.31148434780596</v>
      </c>
      <c r="F33" s="2">
        <f t="shared" si="1"/>
        <v>17513.944093042806</v>
      </c>
    </row>
    <row r="34" spans="1:6" ht="15.75" customHeight="1">
      <c r="A34" s="5">
        <v>44864</v>
      </c>
      <c r="C34" s="1" t="s">
        <v>30</v>
      </c>
      <c r="E34" s="2">
        <v>4000</v>
      </c>
      <c r="F34" s="2">
        <f t="shared" si="1"/>
        <v>21513.944093042806</v>
      </c>
    </row>
    <row r="35" spans="1:6" ht="15.75" customHeight="1">
      <c r="A35" s="5">
        <v>44864</v>
      </c>
      <c r="C35" s="1" t="s">
        <v>31</v>
      </c>
      <c r="E35" s="2"/>
      <c r="F35" s="2">
        <f t="shared" si="1"/>
        <v>21513.944093042806</v>
      </c>
    </row>
    <row r="36" spans="1:6" ht="15.75" customHeight="1">
      <c r="C36" s="7" t="s">
        <v>32</v>
      </c>
      <c r="D36" s="1">
        <v>3.08</v>
      </c>
      <c r="E36" s="2">
        <f>F35*D36/100</f>
        <v>662.62947806571844</v>
      </c>
      <c r="F36" s="2">
        <f t="shared" si="1"/>
        <v>22176.573571108525</v>
      </c>
    </row>
    <row r="37" spans="1:6" ht="15.75" customHeight="1">
      <c r="C37" s="8" t="s">
        <v>33</v>
      </c>
      <c r="E37" s="2">
        <v>2000</v>
      </c>
      <c r="F37" s="2">
        <f t="shared" si="1"/>
        <v>24176.573571108525</v>
      </c>
    </row>
    <row r="38" spans="1:6" ht="15.75" customHeight="1">
      <c r="A38" s="5">
        <v>44864</v>
      </c>
      <c r="C38" s="1" t="s">
        <v>34</v>
      </c>
      <c r="E38" s="2"/>
      <c r="F38" s="2">
        <f t="shared" si="1"/>
        <v>24176.573571108525</v>
      </c>
    </row>
    <row r="39" spans="1:6" ht="15.75" customHeight="1">
      <c r="A39" s="5">
        <v>44864</v>
      </c>
      <c r="C39" s="1" t="s">
        <v>35</v>
      </c>
      <c r="E39" s="2">
        <v>4000</v>
      </c>
      <c r="F39" s="2">
        <f t="shared" si="1"/>
        <v>28176.573571108525</v>
      </c>
    </row>
    <row r="40" spans="1:6" ht="15.75" customHeight="1">
      <c r="C40" s="7" t="s">
        <v>36</v>
      </c>
      <c r="D40" s="1">
        <v>3.08</v>
      </c>
      <c r="E40" s="2">
        <f>F39*D40/100</f>
        <v>867.83846599014259</v>
      </c>
      <c r="F40" s="2">
        <f t="shared" si="1"/>
        <v>29044.412037098667</v>
      </c>
    </row>
    <row r="41" spans="1:6" ht="15.75" customHeight="1">
      <c r="C41" s="8"/>
      <c r="E41" s="2"/>
    </row>
    <row r="42" spans="1:6" ht="15.75" customHeight="1">
      <c r="A42" t="s">
        <v>37</v>
      </c>
      <c r="E42" s="2"/>
    </row>
    <row r="43" spans="1:6" ht="15.75" customHeight="1">
      <c r="A43" s="9">
        <v>44650</v>
      </c>
      <c r="B43" s="10">
        <v>1</v>
      </c>
      <c r="C43" s="10" t="s">
        <v>38</v>
      </c>
      <c r="D43" s="10"/>
      <c r="E43" s="2"/>
    </row>
    <row r="44" spans="1:6" ht="15.75">
      <c r="A44" s="9">
        <v>44681</v>
      </c>
      <c r="B44" s="10">
        <v>2</v>
      </c>
      <c r="C44" s="10" t="s">
        <v>39</v>
      </c>
      <c r="D44" s="10"/>
    </row>
    <row r="45" spans="1:6" ht="15.75">
      <c r="A45" s="9">
        <v>44711</v>
      </c>
      <c r="B45" s="10">
        <v>3</v>
      </c>
      <c r="C45" s="10" t="s">
        <v>39</v>
      </c>
      <c r="D45" s="10"/>
    </row>
    <row r="46" spans="1:6" ht="15.75" customHeight="1">
      <c r="A46" s="9">
        <v>44742</v>
      </c>
      <c r="B46" s="10">
        <v>4</v>
      </c>
      <c r="C46" s="10" t="s">
        <v>39</v>
      </c>
      <c r="D46" s="10"/>
      <c r="E46" s="3"/>
    </row>
    <row r="47" spans="1:6" ht="15.75">
      <c r="A47" s="9">
        <v>44772</v>
      </c>
      <c r="B47" s="10">
        <v>5</v>
      </c>
      <c r="C47" s="10" t="s">
        <v>39</v>
      </c>
      <c r="D47" s="10"/>
    </row>
    <row r="48" spans="1:6" ht="15.75">
      <c r="A48" s="9">
        <v>44803</v>
      </c>
      <c r="B48" s="10">
        <v>6</v>
      </c>
      <c r="C48" s="10" t="s">
        <v>39</v>
      </c>
      <c r="D48" s="10"/>
    </row>
    <row r="49" spans="1:4" ht="15.75">
      <c r="A49" s="9">
        <v>44834</v>
      </c>
      <c r="B49" s="10">
        <v>7</v>
      </c>
      <c r="C49" s="10" t="s">
        <v>39</v>
      </c>
      <c r="D49" s="10"/>
    </row>
    <row r="50" spans="1:4" ht="15.75">
      <c r="A50" s="9">
        <v>44864</v>
      </c>
      <c r="B50" s="10">
        <v>8</v>
      </c>
      <c r="C50" s="10" t="s">
        <v>40</v>
      </c>
      <c r="D50" s="10"/>
    </row>
    <row r="51" spans="1:4" ht="15.75">
      <c r="A51" s="9">
        <v>44895</v>
      </c>
      <c r="B51" s="10">
        <v>9</v>
      </c>
      <c r="C51" s="10" t="s">
        <v>41</v>
      </c>
      <c r="D51" s="10"/>
    </row>
    <row r="52" spans="1:4" ht="15.75">
      <c r="A52" s="9">
        <v>44925</v>
      </c>
      <c r="B52" s="10">
        <v>10</v>
      </c>
      <c r="C52" s="10"/>
      <c r="D52" s="10"/>
    </row>
    <row r="53" spans="1:4" ht="15.75">
      <c r="A53" s="9">
        <v>44956</v>
      </c>
      <c r="B53" s="10">
        <v>11</v>
      </c>
      <c r="C53" s="10"/>
      <c r="D53" s="10"/>
    </row>
    <row r="54" spans="1:4" ht="15.75">
      <c r="A54" s="5">
        <v>44985</v>
      </c>
      <c r="B54" s="1">
        <v>12</v>
      </c>
      <c r="C54" s="10"/>
      <c r="D54" s="10"/>
    </row>
    <row r="55" spans="1:4" ht="15.75">
      <c r="A55" s="5"/>
    </row>
  </sheetData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FE02-7D8C-4C98-AB96-8AC3991535F4}">
  <dimension ref="A1:XFD12"/>
  <sheetViews>
    <sheetView workbookViewId="0"/>
  </sheetViews>
  <sheetFormatPr defaultRowHeight="15"/>
  <cols>
    <col min="1" max="1" width="4.42578125" style="13" customWidth="1"/>
    <col min="2" max="2" width="43.85546875" style="14" customWidth="1"/>
    <col min="3" max="3" width="89.7109375" style="15" customWidth="1"/>
    <col min="4" max="1024" width="11" style="13" customWidth="1"/>
  </cols>
  <sheetData>
    <row r="1" spans="1:3" ht="15.75" customHeight="1">
      <c r="A1" s="19"/>
      <c r="B1" s="11" t="s">
        <v>42</v>
      </c>
      <c r="C1" s="12"/>
    </row>
    <row r="2" spans="1:3" ht="15.75" customHeight="1">
      <c r="A2" s="19"/>
      <c r="B2" s="11" t="s">
        <v>43</v>
      </c>
      <c r="C2" s="12" t="s">
        <v>44</v>
      </c>
    </row>
    <row r="4" spans="1:3" ht="15.75" customHeight="1">
      <c r="A4" s="20" t="s">
        <v>45</v>
      </c>
      <c r="B4" s="11" t="s">
        <v>46</v>
      </c>
      <c r="C4" s="16" t="s">
        <v>47</v>
      </c>
    </row>
    <row r="5" spans="1:3" ht="15.75" customHeight="1">
      <c r="A5" s="20"/>
      <c r="B5" s="11" t="s">
        <v>48</v>
      </c>
      <c r="C5" s="16" t="s">
        <v>49</v>
      </c>
    </row>
    <row r="6" spans="1:3" ht="15.75" customHeight="1">
      <c r="A6" s="20"/>
      <c r="B6" s="11" t="s">
        <v>50</v>
      </c>
      <c r="C6" s="16"/>
    </row>
    <row r="7" spans="1:3" ht="15.75" customHeight="1">
      <c r="A7" s="20"/>
      <c r="B7" s="11" t="s">
        <v>51</v>
      </c>
      <c r="C7" s="16" t="s">
        <v>52</v>
      </c>
    </row>
    <row r="8" spans="1:3" ht="15.75" customHeight="1">
      <c r="A8" s="20"/>
      <c r="B8" s="11" t="s">
        <v>53</v>
      </c>
      <c r="C8" s="16" t="s">
        <v>54</v>
      </c>
    </row>
    <row r="9" spans="1:3" ht="15.75" customHeight="1">
      <c r="A9" s="20" t="s">
        <v>55</v>
      </c>
      <c r="B9" s="11" t="s">
        <v>48</v>
      </c>
      <c r="C9" s="16" t="s">
        <v>56</v>
      </c>
    </row>
    <row r="10" spans="1:3" ht="15.75" customHeight="1">
      <c r="A10" s="20"/>
      <c r="B10" s="11" t="s">
        <v>50</v>
      </c>
      <c r="C10" s="17" t="s">
        <v>56</v>
      </c>
    </row>
    <row r="11" spans="1:3" ht="15.75" customHeight="1">
      <c r="A11" s="20"/>
      <c r="B11" s="11" t="s">
        <v>51</v>
      </c>
      <c r="C11" s="16" t="s">
        <v>56</v>
      </c>
    </row>
    <row r="12" spans="1:3" ht="15.75" customHeight="1">
      <c r="A12" s="20"/>
      <c r="B12" s="11" t="s">
        <v>53</v>
      </c>
      <c r="C12" s="18" t="s">
        <v>56</v>
      </c>
    </row>
  </sheetData>
  <mergeCells count="3">
    <mergeCell ref="A1:A2"/>
    <mergeCell ref="A4:A8"/>
    <mergeCell ref="A9:A12"/>
  </mergeCells>
  <dataValidations count="1">
    <dataValidation type="list" allowBlank="1" showInputMessage="1" showErrorMessage="1" sqref="C4" xr:uid="{01B088E4-45FA-4EEC-A2F3-F5133DD541C2}">
      <formula1>"Gerçek Kişi,Tüzel Kişi"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46A3-940D-482D-8212-FC3C251A2733}">
  <dimension ref="A1:XFD22"/>
  <sheetViews>
    <sheetView workbookViewId="0"/>
  </sheetViews>
  <sheetFormatPr defaultRowHeight="15"/>
  <cols>
    <col min="1" max="1" width="4.42578125" style="1" customWidth="1"/>
    <col min="2" max="2" width="11" style="25" customWidth="1"/>
    <col min="3" max="3" width="26.85546875" style="25" customWidth="1"/>
    <col min="4" max="4" width="16" style="25" customWidth="1"/>
    <col min="5" max="5" width="16.7109375" style="1" customWidth="1"/>
    <col min="6" max="6" width="37.7109375" style="24" customWidth="1"/>
    <col min="7" max="7" width="20.7109375" style="25" customWidth="1"/>
    <col min="8" max="8" width="26" style="25" customWidth="1"/>
    <col min="9" max="1024" width="13.85546875" style="1" customWidth="1"/>
  </cols>
  <sheetData>
    <row r="1" spans="1:8" ht="15.75" customHeight="1">
      <c r="A1" s="31"/>
      <c r="B1" s="22"/>
      <c r="C1" s="23"/>
      <c r="D1" s="21"/>
      <c r="E1" s="13"/>
    </row>
    <row r="2" spans="1:8" ht="15.75" customHeight="1">
      <c r="A2" s="31"/>
      <c r="B2" s="22" t="s">
        <v>57</v>
      </c>
      <c r="C2" s="22" t="s">
        <v>58</v>
      </c>
      <c r="D2" s="22" t="s">
        <v>59</v>
      </c>
      <c r="E2" s="14" t="s">
        <v>60</v>
      </c>
      <c r="F2" s="26" t="s">
        <v>61</v>
      </c>
      <c r="G2" s="22" t="s">
        <v>62</v>
      </c>
      <c r="H2" s="22" t="s">
        <v>63</v>
      </c>
    </row>
    <row r="3" spans="1:8" ht="15.75" customHeight="1">
      <c r="A3" s="32">
        <v>3</v>
      </c>
      <c r="B3" s="23">
        <v>1</v>
      </c>
      <c r="C3" s="27">
        <v>44419</v>
      </c>
      <c r="D3" s="27" t="s">
        <v>56</v>
      </c>
      <c r="E3" s="28">
        <v>28000</v>
      </c>
      <c r="F3" s="26" t="str">
        <f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Krş")</f>
        <v xml:space="preserve">Yirmisekizbin TL </v>
      </c>
      <c r="G3" s="23" t="s">
        <v>64</v>
      </c>
      <c r="H3" s="23" t="s">
        <v>65</v>
      </c>
    </row>
    <row r="4" spans="1:8" ht="15.75" customHeight="1">
      <c r="A4" s="32"/>
      <c r="B4" s="25">
        <v>2</v>
      </c>
      <c r="C4" s="27">
        <v>44252</v>
      </c>
      <c r="D4" s="27">
        <v>44316</v>
      </c>
      <c r="E4" s="29"/>
      <c r="F4" s="30" t="str">
        <f>PROPER(IF(IF(LEN(SUBSTITUTE(ROUND(E4,2), ",", ""))=LEN(ROUND(E4,2)),ROUND(E4,2),TRIM(LEFT(ROUND(E4,2),FIND(",",ROUND(E4,2))-1)))*1&gt;=10^6,CHOOSE(LEFT(RIGHT(IF(LEN(SUBSTITUTE(ROUND(E4,2), ",", ""))=LEN(ROUND(E4,2)),ROUND(E4,2),TRIM(LEFT(ROUND(E4,2),FIND(",",ROUND(E4,2))-1)))*1,7),1)+1,"","birmilyon","ikimilyon","üçmilyon","dörtmilyon","beşmilyon","altımilyon","yedimilyon","sekizmilyon","dokuzmilyon"),"")&amp;IF(IF(LEN(SUBSTITUTE(ROUND(E4,2), ",", ""))=LEN(ROUND(E4,2)),ROUND(E4,2),TRIM(LEFT(ROUND(E4,2),FIND(",",ROUND(E4,2))-1)))*1&gt;=10^5,CHOOSE(LEFT(RIGHT(IF(LEN(SUBSTITUTE(ROUND(E4,2), ",", ""))=LEN(ROUND(E4,2)),ROUND(E4,2),TRIM(LEFT(ROUND(E4,2),FIND(",",ROUND(E4,2))-1)))*1,6),1)+1,"","yüz","ikiyüz","üçyüz","dörtyüz","beşyüz","altıyüz","yediyüz","sekizyüz","dokuzyüz"),"")&amp;IF(IF(LEN(SUBSTITUTE(ROUND(E4,2), ",", ""))=LEN(ROUND(E4,2)),ROUND(E4,2),TRIM(LEFT(ROUND(E4,2),FIND(",",ROUND(E4,2))-1)))*1&gt;=10^4,CHOOSE(LEFT(RIGHT(IF(LEN(SUBSTITUTE(ROUND(E4,2), ",", ""))=LEN(ROUND(E4,2)),ROUND(E4,2),TRIM(LEFT(ROUND(E4,2),FIND(",",ROUND(E4,2))-1)))*1,5),1)+1,"","on","yirmi","otuz","kırk","elli","altmış","yetmiş","seksen","doksan"),"")&amp;IF(IF(LEN(SUBSTITUTE(ROUND(E4,2), ",", ""))=LEN(ROUND(E4,2)),ROUND(E4,2),TRIM(LEFT(ROUND(E4,2),FIND(",",ROUND(E4,2))-1)))*1&gt;=10^3,CHOOSE(LEFT(RIGHT(IF(LEN(SUBSTITUTE(ROUND(E4,2), ",", ""))=LEN(ROUND(E4,2)),ROUND(E4,2),TRIM(LEFT(ROUND(E4,2),FIND(",",ROUND(E4,2))-1)))*1,4),1)+1,"","","iki","üç","dört","beş","altı","yedi","sekiz","dokuz"),"")&amp;IF(AND(IF(LEN(SUBSTITUTE(ROUND(E4,2), ",", ""))=LEN(ROUND(E4,2)),ROUND(E4,2),TRIM(LEFT(ROUND(E4,2),FIND(",",ROUND(E4,2))-1)))*1&gt;=10^3,VALUE(LEFT(RIGHT(IF(LEN(SUBSTITUTE(ROUND(E4,2), ",", ""))=LEN(ROUND(E4,2)),ROUND(E4,2),TRIM(LEFT(ROUND(E4,2),FIND(",",ROUND(E4,2))-1)))*1,6),3))&gt;0),IF(AND(IF(LEN(SUBSTITUTE(ROUND(E4,2), ",", ""))=LEN(ROUND(E4,2)),ROUND(E4,2),TRIM(LEFT(ROUND(E4,2),FIND(",",ROUND(E4,2))-1)))*1&gt;1999,LEFT(RIGHT(IF(LEN(SUBSTITUTE(ROUND(E4,2), ",", ""))=LEN(ROUND(E4,2)),ROUND(E4,2),TRIM(LEFT(ROUND(E4,2),FIND(",",ROUND(E4,2))-1)))*1,4),1)="1",LEFT(RIGHT(IF(LEN(SUBSTITUTE(ROUND(E4,2), ",", ""))=LEN(ROUND(E4,2)),ROUND(E4,2),TRIM(LEFT(ROUND(E4,2),FIND(",",ROUND(E4,2))-1)))*1,6),2)&lt;&gt;"00"),"birbin","bin"),"")&amp;IF(IF(LEN(SUBSTITUTE(ROUND(E4,2), ",", ""))=LEN(ROUND(E4,2)),ROUND(E4,2),TRIM(LEFT(ROUND(E4,2),FIND(",",ROUND(E4,2))-1)))*1&gt;=100,CHOOSE(LEFT(RIGHT(IF(LEN(SUBSTITUTE(ROUND(E4,2), ",", ""))=LEN(ROUND(E4,2)),ROUND(E4,2),TRIM(LEFT(ROUND(E4,2),FIND(",",ROUND(E4,2))-1)))*1,3),1)+1,"","yüz","ikiyüz","üçyüz","dörtyüz","beşyüz","altıyüz","yediyüz","sekizyüz","dokuzyüz"),"")&amp;IF(IF(LEN(SUBSTITUTE(ROUND(E4,2), ",", ""))=LEN(ROUND(E4,2)),ROUND(E4,2),TRIM(LEFT(ROUND(E4,2),FIND(",",ROUND(E4,2))-1)))*1&gt;=10,CHOOSE(LEFT(RIGHT(IF(LEN(SUBSTITUTE(ROUND(E4,2), ",", ""))=LEN(ROUND(E4,2)),ROUND(E4,2),TRIM(LEFT(ROUND(E4,2),FIND(",",ROUND(E4,2))-1)))*1,2),1)+1,"","on","yirmi","otuz","kırk","elli","altmış","yetmiş","seksen","doksan"),"")&amp;CHOOSE(MOD(IF(LEN(SUBSTITUTE(ROUND(E4,2), ",", ""))=LEN(ROUND(E4,2)),ROUND(E4,2),TRIM(LEFT(ROUND(E4,2),FIND(",",ROUND(E4,2))-1)))*1,10)+1,"","bir","iki","üç","dört","beş","altı","yedi","sekiz","dokuz")) &amp; " TL " &amp; IF(OR(LEN(SUBSTITUTE(E4, ",", ""))=LEN(E4),LEN(SUBSTITUTE(ROUND(E4,2), ",", ""))=LEN(ROUND(E4,2))),"", PROPER(IF(IF(LEN(TRIM(RIGHT(ROUND(E4,2),LEN(ROUND(E4,2))-FIND(",",ROUND(E4,2)))))&lt;2,TRIM(RIGHT(ROUND(E4,2),LEN(ROUND(E4,2))-FIND(",",ROUND(E4,2))))*10,TRIM(RIGHT(ROUND(E4,2),LEN(ROUND(E4,2))-FIND(",",ROUND(E4,2))))*1)&gt;=10^5,CHOOSE(LEFT(RIGHT(IF(LEN(TRIM(RIGHT(ROUND(E4,2),LEN(ROUND(E4,2))-FIND(",",ROUND(E4,2)))))&lt;2,TRIM(RIGHT(ROUND(E4,2),LEN(ROUND(E4,2))-FIND(",",ROUND(E4,2))))*10,TRIM(RIGHT(ROUND(E4,2),LEN(ROUND(E4,2))-FIND(",",ROUND(E4,2))))*1),6),1)+1,"","yüz","ikiyüz","üçyüz","dörtyüz","beşyüz","altıyüz","yediyüz","sekizyüz","dokuzyüz"),"")&amp;IF(IF(LEN(TRIM(RIGHT(ROUND(E4,2),LEN(ROUND(E4,2))-FIND(",",ROUND(E4,2)))))&lt;2,TRIM(RIGHT(ROUND(E4,2),LEN(ROUND(E4,2))-FIND(",",ROUND(E4,2))))*10,TRIM(RIGHT(ROUND(E4,2),LEN(ROUND(E4,2))-FIND(",",ROUND(E4,2))))*1)&gt;=10^4,CHOOSE(LEFT(RIGHT(IF(LEN(TRIM(RIGHT(ROUND(E4,2),LEN(ROUND(E4,2))-FIND(",",ROUND(E4,2)))))&lt;2,TRIM(RIGHT(ROUND(E4,2),LEN(ROUND(E4,2))-FIND(",",ROUND(E4,2))))*10,TRIM(RIGHT(ROUND(E4,2),LEN(ROUND(E4,2))-FIND(",",ROUND(E4,2))))*1),5),1)+1,"","on","yirmi","otuz","kırk","elli","altmış","yetmiş","seksen","doksan"),"")&amp;IF(IF(LEN(TRIM(RIGHT(ROUND(E4,2),LEN(ROUND(E4,2))-FIND(",",ROUND(E4,2)))))&lt;2,TRIM(RIGHT(ROUND(E4,2),LEN(ROUND(E4,2))-FIND(",",ROUND(E4,2))))*10,TRIM(RIGHT(ROUND(E4,2),LEN(ROUND(E4,2))-FIND(",",ROUND(E4,2))))*1)&gt;=10^3,CHOOSE(LEFT(RIGHT(IF(LEN(TRIM(RIGHT(ROUND(E4,2),LEN(ROUND(E4,2))-FIND(",",ROUND(E4,2)))))&lt;2,TRIM(RIGHT(ROUND(E4,2),LEN(ROUND(E4,2))-FIND(",",ROUND(E4,2))))*10,TRIM(RIGHT(ROUND(E4,2),LEN(ROUND(E4,2))-FIND(",",ROUND(E4,2))))*1),4),1)+1,"","","iki","üç","dört","beş","altı","yedi","sekiz","dokuz"),"")&amp;IF(IF(LEN(TRIM(RIGHT(ROUND(E4,2),LEN(ROUND(E4,2))-FIND(",",ROUND(E4,2)))))&lt;2,TRIM(RIGHT(ROUND(E4,2),LEN(ROUND(E4,2))-FIND(",",ROUND(E4,2))))*10,TRIM(RIGHT(ROUND(E4,2),LEN(ROUND(E4,2))-FIND(",",ROUND(E4,2))))*1)&gt;=10,CHOOSE(LEFT(RIGHT(IF(LEN(TRIM(RIGHT(ROUND(E4,2),LEN(ROUND(E4,2))-FIND(",",ROUND(E4,2)))))&lt;2,TRIM(RIGHT(ROUND(E4,2),LEN(ROUND(E4,2))-FIND(",",ROUND(E4,2))))*10,TRIM(RIGHT(ROUND(E4,2),LEN(ROUND(E4,2))-FIND(",",ROUND(E4,2))))*1),2),1)+1,"","on","yirmi","otuz","kırk","elli","altmış","yetmiş","seksen","doksan"),"")&amp;CHOOSE(MOD(IF(LEN(TRIM(RIGHT(ROUND(E4,2),LEN(ROUND(E4,2))-FIND(",",ROUND(E4,2)))))&lt;2,TRIM(RIGHT(ROUND(E4,2),LEN(ROUND(E4,2))-FIND(",",ROUND(E4,2))))*10,TRIM(RIGHT(ROUND(E4,2),LEN(ROUND(E4,2))-FIND(",",ROUND(E4,2))))*1),10)+1,"","bir","iki","üç","dört","beş","altı","yedi","sekiz","dokuz")) &amp; " Kr")</f>
        <v xml:space="preserve"> TL </v>
      </c>
      <c r="G4" s="25" t="str">
        <f>G3</f>
        <v>nakden</v>
      </c>
      <c r="H4" s="23" t="s">
        <v>66</v>
      </c>
    </row>
    <row r="5" spans="1:8" ht="15.75" customHeight="1">
      <c r="A5" s="32"/>
      <c r="C5" s="27"/>
      <c r="D5" s="27"/>
      <c r="E5" s="29"/>
      <c r="F5" s="30"/>
      <c r="H5" s="23"/>
    </row>
    <row r="6" spans="1:8" ht="15.75" customHeight="1">
      <c r="A6" s="32"/>
      <c r="C6" s="27"/>
      <c r="D6" s="27"/>
      <c r="E6" s="29"/>
      <c r="F6" s="30"/>
      <c r="H6" s="23"/>
    </row>
    <row r="7" spans="1:8" ht="15.75" customHeight="1">
      <c r="A7" s="32"/>
      <c r="C7" s="27"/>
      <c r="D7" s="27"/>
      <c r="E7" s="29"/>
      <c r="F7" s="30"/>
      <c r="H7" s="23"/>
    </row>
    <row r="8" spans="1:8" ht="15.75" customHeight="1">
      <c r="A8" s="32"/>
      <c r="C8" s="27"/>
      <c r="D8" s="27"/>
      <c r="E8" s="29"/>
      <c r="F8" s="30"/>
      <c r="H8" s="23"/>
    </row>
    <row r="9" spans="1:8" ht="15.75" customHeight="1">
      <c r="A9" s="32"/>
      <c r="C9" s="27"/>
      <c r="D9" s="27"/>
      <c r="E9" s="29"/>
      <c r="F9" s="30"/>
      <c r="H9" s="23"/>
    </row>
    <row r="10" spans="1:8" ht="15.75" customHeight="1">
      <c r="A10" s="13"/>
      <c r="C10" s="27"/>
      <c r="D10" s="27"/>
      <c r="E10" s="29"/>
      <c r="F10" s="30"/>
      <c r="H10" s="23"/>
    </row>
    <row r="11" spans="1:8" ht="15.75" customHeight="1">
      <c r="A11" s="31"/>
      <c r="C11" s="27"/>
      <c r="D11" s="27"/>
      <c r="E11" s="29"/>
      <c r="F11" s="30"/>
      <c r="H11" s="23"/>
    </row>
    <row r="12" spans="1:8" ht="15.75" customHeight="1">
      <c r="A12" s="31"/>
      <c r="C12" s="27"/>
      <c r="D12" s="27"/>
      <c r="E12" s="29"/>
      <c r="F12" s="30"/>
      <c r="H12" s="23"/>
    </row>
    <row r="13" spans="1:8" ht="15.75" customHeight="1">
      <c r="A13" s="31"/>
      <c r="C13" s="27"/>
      <c r="D13" s="27"/>
      <c r="E13" s="29"/>
      <c r="F13" s="30"/>
      <c r="H13" s="23"/>
    </row>
    <row r="14" spans="1:8" ht="15.75" customHeight="1">
      <c r="A14" s="31"/>
      <c r="C14" s="27"/>
      <c r="D14" s="27"/>
      <c r="E14" s="29"/>
      <c r="F14" s="30"/>
      <c r="H14" s="23"/>
    </row>
    <row r="15" spans="1:8" ht="15.75" customHeight="1">
      <c r="A15" s="31"/>
      <c r="B15" s="22"/>
      <c r="C15" s="27"/>
      <c r="D15" s="21"/>
      <c r="E15" s="13"/>
    </row>
    <row r="16" spans="1:8" ht="15.75" customHeight="1">
      <c r="A16" s="31"/>
      <c r="B16" s="22"/>
      <c r="C16" s="27"/>
      <c r="D16" s="21"/>
      <c r="E16" s="13"/>
    </row>
    <row r="17" spans="1:5" ht="15.75" customHeight="1">
      <c r="A17" s="31"/>
      <c r="B17" s="22"/>
      <c r="C17" s="27"/>
      <c r="D17" s="21"/>
      <c r="E17" s="13"/>
    </row>
    <row r="18" spans="1:5" ht="15.75" customHeight="1">
      <c r="A18" s="31"/>
      <c r="B18" s="22"/>
      <c r="C18" s="23"/>
      <c r="D18" s="21"/>
      <c r="E18" s="13"/>
    </row>
    <row r="19" spans="1:5" ht="15.75" customHeight="1">
      <c r="A19" s="31"/>
      <c r="B19" s="22"/>
      <c r="D19" s="21"/>
      <c r="E19" s="13"/>
    </row>
    <row r="20" spans="1:5" ht="15.75" customHeight="1">
      <c r="A20" s="13"/>
      <c r="B20" s="22"/>
      <c r="C20" s="21"/>
      <c r="D20" s="21"/>
      <c r="E20" s="13"/>
    </row>
    <row r="21" spans="1:5" ht="15.75" customHeight="1">
      <c r="A21" s="13"/>
      <c r="B21" s="22"/>
      <c r="C21" s="21"/>
      <c r="D21" s="21"/>
      <c r="E21" s="13"/>
    </row>
    <row r="22" spans="1:5" ht="15.75" customHeight="1">
      <c r="A22" s="13"/>
      <c r="B22" s="22"/>
      <c r="C22" s="21"/>
      <c r="D22" s="21"/>
      <c r="E22" s="13"/>
    </row>
  </sheetData>
  <mergeCells count="4">
    <mergeCell ref="A1:A2"/>
    <mergeCell ref="A3:A9"/>
    <mergeCell ref="A11:A15"/>
    <mergeCell ref="A16:A19"/>
  </mergeCells>
  <dataValidations count="1">
    <dataValidation type="list" allowBlank="1" showInputMessage="1" showErrorMessage="1" sqref="G3" xr:uid="{A6369C3A-EFD3-4DFC-9C60-E530095B088C}">
      <formula1>"Malen,Nakden"</formula1>
    </dataValidation>
  </dataValidations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34B3-3ACF-4005-A9D8-655217DDCB79}">
  <dimension ref="A1:XFD1048576"/>
  <sheetViews>
    <sheetView workbookViewId="0"/>
  </sheetViews>
  <sheetFormatPr defaultRowHeight="17.649999999999999" customHeight="1"/>
  <cols>
    <col min="1" max="1" width="22.28515625" style="34" customWidth="1"/>
    <col min="2" max="2" width="4.85546875" style="34" customWidth="1"/>
    <col min="3" max="3" width="11.28515625" style="34" customWidth="1"/>
    <col min="4" max="4" width="2.140625" style="34" customWidth="1"/>
    <col min="5" max="5" width="2.28515625" style="34" customWidth="1"/>
    <col min="6" max="6" width="37.140625" style="34" customWidth="1"/>
    <col min="7" max="7" width="2.28515625" style="34" customWidth="1"/>
    <col min="8" max="8" width="37" style="34" customWidth="1"/>
    <col min="9" max="9" width="3.140625" style="34" customWidth="1"/>
    <col min="10" max="10" width="25.5703125" style="34" customWidth="1"/>
    <col min="11" max="11" width="6.140625" style="34" customWidth="1"/>
    <col min="12" max="12" width="34.140625" style="34" customWidth="1"/>
    <col min="13" max="13" width="2" style="34" customWidth="1"/>
    <col min="14" max="1021" width="11" style="34" customWidth="1"/>
    <col min="1022" max="1022" width="12.140625" customWidth="1"/>
  </cols>
  <sheetData>
    <row r="1" spans="1:1021" ht="17.649999999999999" customHeight="1" thickBo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021" ht="17.649999999999999" customHeight="1" thickTop="1">
      <c r="A2" s="33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021" ht="17.649999999999999" customHeight="1">
      <c r="A3" s="21"/>
      <c r="B3" s="38"/>
      <c r="C3" s="88" t="str">
        <f>$H17 &amp;"    - Taksit No: " &amp; $J5&amp;"  "</f>
        <v xml:space="preserve">Emre AKTAŞ    - Taksit No: - 1 -  </v>
      </c>
      <c r="D3" s="40"/>
      <c r="E3" s="40"/>
      <c r="F3" s="41"/>
      <c r="G3" s="42"/>
      <c r="H3" s="42"/>
      <c r="I3" s="42"/>
      <c r="J3" s="42"/>
      <c r="K3" s="42"/>
      <c r="L3" s="43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  <c r="IW3" s="45"/>
      <c r="IX3" s="45"/>
      <c r="IY3" s="45"/>
      <c r="IZ3" s="45"/>
      <c r="JA3" s="45"/>
      <c r="JB3" s="45"/>
      <c r="JC3" s="45"/>
      <c r="JD3" s="45"/>
      <c r="JE3" s="45"/>
      <c r="JF3" s="45"/>
      <c r="JG3" s="45"/>
      <c r="JH3" s="45"/>
      <c r="JI3" s="45"/>
      <c r="JJ3" s="45"/>
      <c r="JK3" s="45"/>
      <c r="JL3" s="45"/>
      <c r="JM3" s="45"/>
      <c r="JN3" s="45"/>
      <c r="JO3" s="45"/>
      <c r="JP3" s="45"/>
      <c r="JQ3" s="45"/>
      <c r="JR3" s="45"/>
      <c r="JS3" s="45"/>
      <c r="JT3" s="45"/>
      <c r="JU3" s="45"/>
      <c r="JV3" s="45"/>
      <c r="JW3" s="45"/>
      <c r="JX3" s="45"/>
      <c r="JY3" s="45"/>
      <c r="JZ3" s="45"/>
      <c r="KA3" s="45"/>
      <c r="KB3" s="45"/>
      <c r="KC3" s="45"/>
      <c r="KD3" s="45"/>
      <c r="KE3" s="45"/>
      <c r="KF3" s="45"/>
      <c r="KG3" s="45"/>
      <c r="KH3" s="45"/>
      <c r="KI3" s="45"/>
      <c r="KJ3" s="45"/>
      <c r="KK3" s="45"/>
      <c r="KL3" s="45"/>
      <c r="KM3" s="45"/>
      <c r="KN3" s="45"/>
      <c r="KO3" s="45"/>
      <c r="KP3" s="45"/>
      <c r="KQ3" s="45"/>
      <c r="KR3" s="45"/>
      <c r="KS3" s="45"/>
      <c r="KT3" s="45"/>
      <c r="KU3" s="45"/>
      <c r="KV3" s="45"/>
      <c r="KW3" s="45"/>
      <c r="KX3" s="45"/>
      <c r="KY3" s="45"/>
      <c r="KZ3" s="45"/>
      <c r="LA3" s="45"/>
      <c r="LB3" s="45"/>
      <c r="LC3" s="45"/>
      <c r="LD3" s="45"/>
      <c r="LE3" s="45"/>
      <c r="LF3" s="45"/>
      <c r="LG3" s="45"/>
      <c r="LH3" s="45"/>
      <c r="LI3" s="45"/>
      <c r="LJ3" s="45"/>
      <c r="LK3" s="45"/>
      <c r="LL3" s="45"/>
      <c r="LM3" s="45"/>
      <c r="LN3" s="45"/>
      <c r="LO3" s="45"/>
      <c r="LP3" s="45"/>
      <c r="LQ3" s="45"/>
      <c r="LR3" s="45"/>
      <c r="LS3" s="45"/>
      <c r="LT3" s="45"/>
      <c r="LU3" s="45"/>
      <c r="LV3" s="45"/>
      <c r="LW3" s="45"/>
      <c r="LX3" s="45"/>
      <c r="LY3" s="45"/>
      <c r="LZ3" s="45"/>
      <c r="MA3" s="45"/>
      <c r="MB3" s="45"/>
      <c r="MC3" s="45"/>
      <c r="MD3" s="45"/>
      <c r="ME3" s="45"/>
      <c r="MF3" s="45"/>
      <c r="MG3" s="45"/>
      <c r="MH3" s="45"/>
      <c r="MI3" s="45"/>
      <c r="MJ3" s="45"/>
      <c r="MK3" s="45"/>
      <c r="ML3" s="45"/>
      <c r="MM3" s="45"/>
      <c r="MN3" s="45"/>
      <c r="MO3" s="45"/>
      <c r="MP3" s="45"/>
      <c r="MQ3" s="45"/>
      <c r="MR3" s="45"/>
      <c r="MS3" s="45"/>
      <c r="MT3" s="45"/>
      <c r="MU3" s="45"/>
      <c r="MV3" s="45"/>
      <c r="MW3" s="45"/>
      <c r="MX3" s="45"/>
      <c r="MY3" s="45"/>
      <c r="MZ3" s="45"/>
      <c r="NA3" s="45"/>
      <c r="NB3" s="45"/>
      <c r="NC3" s="45"/>
      <c r="ND3" s="45"/>
      <c r="NE3" s="45"/>
      <c r="NF3" s="45"/>
      <c r="NG3" s="45"/>
      <c r="NH3" s="45"/>
      <c r="NI3" s="45"/>
      <c r="NJ3" s="45"/>
      <c r="NK3" s="45"/>
      <c r="NL3" s="45"/>
      <c r="NM3" s="45"/>
      <c r="NN3" s="45"/>
      <c r="NO3" s="45"/>
      <c r="NP3" s="45"/>
      <c r="NQ3" s="45"/>
      <c r="NR3" s="45"/>
      <c r="NS3" s="45"/>
      <c r="NT3" s="45"/>
      <c r="NU3" s="45"/>
      <c r="NV3" s="45"/>
      <c r="NW3" s="45"/>
      <c r="NX3" s="45"/>
      <c r="NY3" s="45"/>
      <c r="NZ3" s="45"/>
      <c r="OA3" s="45"/>
      <c r="OB3" s="45"/>
      <c r="OC3" s="45"/>
      <c r="OD3" s="45"/>
      <c r="OE3" s="45"/>
      <c r="OF3" s="45"/>
      <c r="OG3" s="45"/>
      <c r="OH3" s="45"/>
      <c r="OI3" s="45"/>
      <c r="OJ3" s="45"/>
      <c r="OK3" s="45"/>
      <c r="OL3" s="45"/>
      <c r="OM3" s="45"/>
      <c r="ON3" s="45"/>
      <c r="OO3" s="45"/>
      <c r="OP3" s="45"/>
      <c r="OQ3" s="45"/>
      <c r="OR3" s="45"/>
      <c r="OS3" s="45"/>
      <c r="OT3" s="45"/>
      <c r="OU3" s="45"/>
      <c r="OV3" s="45"/>
      <c r="OW3" s="45"/>
      <c r="OX3" s="45"/>
      <c r="OY3" s="45"/>
      <c r="OZ3" s="45"/>
      <c r="PA3" s="45"/>
      <c r="PB3" s="45"/>
      <c r="PC3" s="45"/>
      <c r="PD3" s="45"/>
      <c r="PE3" s="45"/>
      <c r="PF3" s="45"/>
      <c r="PG3" s="45"/>
      <c r="PH3" s="45"/>
      <c r="PI3" s="45"/>
      <c r="PJ3" s="45"/>
      <c r="PK3" s="45"/>
      <c r="PL3" s="45"/>
      <c r="PM3" s="45"/>
      <c r="PN3" s="45"/>
      <c r="PO3" s="45"/>
      <c r="PP3" s="45"/>
      <c r="PQ3" s="45"/>
      <c r="PR3" s="45"/>
      <c r="PS3" s="45"/>
      <c r="PT3" s="45"/>
      <c r="PU3" s="45"/>
      <c r="PV3" s="45"/>
      <c r="PW3" s="45"/>
      <c r="PX3" s="45"/>
      <c r="PY3" s="45"/>
      <c r="PZ3" s="45"/>
      <c r="QA3" s="45"/>
      <c r="QB3" s="45"/>
      <c r="QC3" s="45"/>
      <c r="QD3" s="45"/>
      <c r="QE3" s="45"/>
      <c r="QF3" s="45"/>
      <c r="QG3" s="45"/>
      <c r="QH3" s="45"/>
      <c r="QI3" s="45"/>
      <c r="QJ3" s="45"/>
      <c r="QK3" s="45"/>
      <c r="QL3" s="45"/>
      <c r="QM3" s="45"/>
      <c r="QN3" s="45"/>
      <c r="QO3" s="45"/>
      <c r="QP3" s="45"/>
      <c r="QQ3" s="45"/>
      <c r="QR3" s="45"/>
      <c r="QS3" s="45"/>
      <c r="QT3" s="45"/>
      <c r="QU3" s="45"/>
      <c r="QV3" s="45"/>
      <c r="QW3" s="45"/>
      <c r="QX3" s="45"/>
      <c r="QY3" s="45"/>
      <c r="QZ3" s="45"/>
      <c r="RA3" s="45"/>
      <c r="RB3" s="45"/>
      <c r="RC3" s="45"/>
      <c r="RD3" s="45"/>
      <c r="RE3" s="45"/>
      <c r="RF3" s="45"/>
      <c r="RG3" s="45"/>
      <c r="RH3" s="45"/>
      <c r="RI3" s="45"/>
      <c r="RJ3" s="45"/>
      <c r="RK3" s="45"/>
      <c r="RL3" s="45"/>
      <c r="RM3" s="45"/>
      <c r="RN3" s="45"/>
      <c r="RO3" s="45"/>
      <c r="RP3" s="45"/>
      <c r="RQ3" s="45"/>
      <c r="RR3" s="45"/>
      <c r="RS3" s="45"/>
      <c r="RT3" s="45"/>
      <c r="RU3" s="45"/>
      <c r="RV3" s="45"/>
      <c r="RW3" s="45"/>
      <c r="RX3" s="45"/>
      <c r="RY3" s="45"/>
      <c r="RZ3" s="45"/>
      <c r="SA3" s="45"/>
      <c r="SB3" s="45"/>
      <c r="SC3" s="45"/>
      <c r="SD3" s="45"/>
      <c r="SE3" s="45"/>
      <c r="SF3" s="45"/>
      <c r="SG3" s="45"/>
      <c r="SH3" s="45"/>
      <c r="SI3" s="45"/>
      <c r="SJ3" s="45"/>
      <c r="SK3" s="45"/>
      <c r="SL3" s="45"/>
      <c r="SM3" s="45"/>
      <c r="SN3" s="45"/>
      <c r="SO3" s="45"/>
      <c r="SP3" s="45"/>
      <c r="SQ3" s="45"/>
      <c r="SR3" s="45"/>
      <c r="SS3" s="45"/>
      <c r="ST3" s="45"/>
      <c r="SU3" s="45"/>
      <c r="SV3" s="45"/>
      <c r="SW3" s="45"/>
      <c r="SX3" s="45"/>
      <c r="SY3" s="45"/>
      <c r="SZ3" s="45"/>
      <c r="TA3" s="45"/>
      <c r="TB3" s="45"/>
      <c r="TC3" s="45"/>
      <c r="TD3" s="45"/>
      <c r="TE3" s="45"/>
      <c r="TF3" s="45"/>
      <c r="TG3" s="45"/>
      <c r="TH3" s="45"/>
      <c r="TI3" s="45"/>
      <c r="TJ3" s="45"/>
      <c r="TK3" s="45"/>
      <c r="TL3" s="45"/>
      <c r="TM3" s="45"/>
      <c r="TN3" s="45"/>
      <c r="TO3" s="45"/>
      <c r="TP3" s="45"/>
      <c r="TQ3" s="45"/>
      <c r="TR3" s="45"/>
      <c r="TS3" s="45"/>
      <c r="TT3" s="45"/>
      <c r="TU3" s="45"/>
      <c r="TV3" s="45"/>
      <c r="TW3" s="45"/>
      <c r="TX3" s="45"/>
      <c r="TY3" s="45"/>
      <c r="TZ3" s="45"/>
      <c r="UA3" s="45"/>
      <c r="UB3" s="45"/>
      <c r="UC3" s="45"/>
      <c r="UD3" s="45"/>
      <c r="UE3" s="45"/>
      <c r="UF3" s="45"/>
      <c r="UG3" s="45"/>
      <c r="UH3" s="45"/>
      <c r="UI3" s="45"/>
      <c r="UJ3" s="45"/>
      <c r="UK3" s="45"/>
      <c r="UL3" s="45"/>
      <c r="UM3" s="45"/>
      <c r="UN3" s="45"/>
      <c r="UO3" s="45"/>
      <c r="UP3" s="45"/>
      <c r="UQ3" s="45"/>
      <c r="UR3" s="45"/>
      <c r="US3" s="45"/>
      <c r="UT3" s="45"/>
      <c r="UU3" s="45"/>
      <c r="UV3" s="45"/>
      <c r="UW3" s="45"/>
      <c r="UX3" s="45"/>
      <c r="UY3" s="45"/>
      <c r="UZ3" s="45"/>
      <c r="VA3" s="45"/>
      <c r="VB3" s="45"/>
      <c r="VC3" s="45"/>
      <c r="VD3" s="45"/>
      <c r="VE3" s="45"/>
      <c r="VF3" s="45"/>
      <c r="VG3" s="45"/>
      <c r="VH3" s="45"/>
      <c r="VI3" s="45"/>
      <c r="VJ3" s="45"/>
      <c r="VK3" s="45"/>
      <c r="VL3" s="45"/>
      <c r="VM3" s="45"/>
      <c r="VN3" s="45"/>
      <c r="VO3" s="45"/>
      <c r="VP3" s="45"/>
      <c r="VQ3" s="45"/>
      <c r="VR3" s="45"/>
      <c r="VS3" s="45"/>
      <c r="VT3" s="45"/>
      <c r="VU3" s="45"/>
      <c r="VV3" s="45"/>
      <c r="VW3" s="45"/>
      <c r="VX3" s="45"/>
      <c r="VY3" s="45"/>
      <c r="VZ3" s="45"/>
      <c r="WA3" s="45"/>
      <c r="WB3" s="45"/>
      <c r="WC3" s="45"/>
      <c r="WD3" s="45"/>
      <c r="WE3" s="45"/>
      <c r="WF3" s="45"/>
      <c r="WG3" s="45"/>
      <c r="WH3" s="45"/>
      <c r="WI3" s="45"/>
      <c r="WJ3" s="45"/>
      <c r="WK3" s="45"/>
      <c r="WL3" s="45"/>
      <c r="WM3" s="45"/>
      <c r="WN3" s="45"/>
      <c r="WO3" s="45"/>
      <c r="WP3" s="45"/>
      <c r="WQ3" s="45"/>
      <c r="WR3" s="45"/>
      <c r="WS3" s="45"/>
      <c r="WT3" s="45"/>
      <c r="WU3" s="45"/>
      <c r="WV3" s="45"/>
      <c r="WW3" s="45"/>
      <c r="WX3" s="45"/>
      <c r="WY3" s="45"/>
      <c r="WZ3" s="45"/>
      <c r="XA3" s="45"/>
      <c r="XB3" s="45"/>
      <c r="XC3" s="45"/>
      <c r="XD3" s="45"/>
      <c r="XE3" s="45"/>
      <c r="XF3" s="45"/>
      <c r="XG3" s="45"/>
      <c r="XH3" s="45"/>
      <c r="XI3" s="45"/>
      <c r="XJ3" s="45"/>
      <c r="XK3" s="45"/>
      <c r="XL3" s="45"/>
      <c r="XM3" s="45"/>
      <c r="XN3" s="45"/>
      <c r="XO3" s="45"/>
      <c r="XP3" s="45"/>
      <c r="XQ3" s="45"/>
      <c r="XR3" s="45"/>
      <c r="XS3" s="45"/>
      <c r="XT3" s="45"/>
      <c r="XU3" s="45"/>
      <c r="XV3" s="45"/>
      <c r="XW3" s="45"/>
      <c r="XX3" s="45"/>
      <c r="XY3" s="45"/>
      <c r="XZ3" s="45"/>
      <c r="YA3" s="45"/>
      <c r="YB3" s="45"/>
      <c r="YC3" s="45"/>
      <c r="YD3" s="45"/>
      <c r="YE3" s="45"/>
      <c r="YF3" s="45"/>
      <c r="YG3" s="45"/>
      <c r="YH3" s="45"/>
      <c r="YI3" s="45"/>
      <c r="YJ3" s="45"/>
      <c r="YK3" s="45"/>
      <c r="YL3" s="45"/>
      <c r="YM3" s="45"/>
      <c r="YN3" s="45"/>
      <c r="YO3" s="45"/>
      <c r="YP3" s="45"/>
      <c r="YQ3" s="45"/>
      <c r="YR3" s="45"/>
      <c r="YS3" s="45"/>
      <c r="YT3" s="45"/>
      <c r="YU3" s="45"/>
      <c r="YV3" s="45"/>
      <c r="YW3" s="45"/>
      <c r="YX3" s="45"/>
      <c r="YY3" s="45"/>
      <c r="YZ3" s="45"/>
      <c r="ZA3" s="45"/>
      <c r="ZB3" s="45"/>
      <c r="ZC3" s="45"/>
      <c r="ZD3" s="45"/>
      <c r="ZE3" s="45"/>
      <c r="ZF3" s="45"/>
      <c r="ZG3" s="45"/>
      <c r="ZH3" s="45"/>
      <c r="ZI3" s="45"/>
      <c r="ZJ3" s="45"/>
      <c r="ZK3" s="45"/>
      <c r="ZL3" s="45"/>
      <c r="ZM3" s="45"/>
      <c r="ZN3" s="45"/>
      <c r="ZO3" s="45"/>
      <c r="ZP3" s="45"/>
      <c r="ZQ3" s="45"/>
      <c r="ZR3" s="45"/>
      <c r="ZS3" s="45"/>
      <c r="ZT3" s="45"/>
      <c r="ZU3" s="45"/>
      <c r="ZV3" s="45"/>
      <c r="ZW3" s="45"/>
      <c r="ZX3" s="45"/>
      <c r="ZY3" s="45"/>
      <c r="ZZ3" s="45"/>
      <c r="AAA3" s="45"/>
      <c r="AAB3" s="45"/>
      <c r="AAC3" s="45"/>
      <c r="AAD3" s="45"/>
      <c r="AAE3" s="45"/>
      <c r="AAF3" s="45"/>
      <c r="AAG3" s="45"/>
      <c r="AAH3" s="45"/>
      <c r="AAI3" s="45"/>
      <c r="AAJ3" s="45"/>
      <c r="AAK3" s="45"/>
      <c r="AAL3" s="45"/>
      <c r="AAM3" s="45"/>
      <c r="AAN3" s="45"/>
      <c r="AAO3" s="45"/>
      <c r="AAP3" s="45"/>
      <c r="AAQ3" s="45"/>
      <c r="AAR3" s="45"/>
      <c r="AAS3" s="45"/>
      <c r="AAT3" s="45"/>
      <c r="AAU3" s="45"/>
      <c r="AAV3" s="45"/>
      <c r="AAW3" s="45"/>
      <c r="AAX3" s="45"/>
      <c r="AAY3" s="45"/>
      <c r="AAZ3" s="45"/>
      <c r="ABA3" s="45"/>
      <c r="ABB3" s="45"/>
      <c r="ABC3" s="45"/>
      <c r="ABD3" s="45"/>
      <c r="ABE3" s="45"/>
      <c r="ABF3" s="45"/>
      <c r="ABG3" s="45"/>
      <c r="ABH3" s="45"/>
      <c r="ABI3" s="45"/>
      <c r="ABJ3" s="45"/>
      <c r="ABK3" s="45"/>
      <c r="ABL3" s="45"/>
      <c r="ABM3" s="45"/>
      <c r="ABN3" s="45"/>
      <c r="ABO3" s="45"/>
      <c r="ABP3" s="45"/>
      <c r="ABQ3" s="45"/>
      <c r="ABR3" s="45"/>
      <c r="ABS3" s="45"/>
      <c r="ABT3" s="45"/>
      <c r="ABU3" s="45"/>
      <c r="ABV3" s="45"/>
      <c r="ABW3" s="45"/>
      <c r="ABX3" s="45"/>
      <c r="ABY3" s="45"/>
      <c r="ABZ3" s="45"/>
      <c r="ACA3" s="45"/>
      <c r="ACB3" s="45"/>
      <c r="ACC3" s="45"/>
      <c r="ACD3" s="45"/>
      <c r="ACE3" s="45"/>
      <c r="ACF3" s="45"/>
      <c r="ACG3" s="45"/>
      <c r="ACH3" s="45"/>
      <c r="ACI3" s="45"/>
      <c r="ACJ3" s="45"/>
      <c r="ACK3" s="45"/>
      <c r="ACL3" s="45"/>
      <c r="ACM3" s="45"/>
      <c r="ACN3" s="45"/>
      <c r="ACO3" s="45"/>
      <c r="ACP3" s="45"/>
      <c r="ACQ3" s="45"/>
      <c r="ACR3" s="45"/>
      <c r="ACS3" s="45"/>
      <c r="ACT3" s="45"/>
      <c r="ACU3" s="45"/>
      <c r="ACV3" s="45"/>
      <c r="ACW3" s="45"/>
      <c r="ACX3" s="45"/>
      <c r="ACY3" s="45"/>
      <c r="ACZ3" s="45"/>
      <c r="ADA3" s="45"/>
      <c r="ADB3" s="45"/>
      <c r="ADC3" s="45"/>
      <c r="ADD3" s="45"/>
      <c r="ADE3" s="45"/>
      <c r="ADF3" s="45"/>
      <c r="ADG3" s="45"/>
      <c r="ADH3" s="45"/>
      <c r="ADI3" s="45"/>
      <c r="ADJ3" s="45"/>
      <c r="ADK3" s="45"/>
      <c r="ADL3" s="45"/>
      <c r="ADM3" s="45"/>
      <c r="ADN3" s="45"/>
      <c r="ADO3" s="45"/>
      <c r="ADP3" s="45"/>
      <c r="ADQ3" s="45"/>
      <c r="ADR3" s="45"/>
      <c r="ADS3" s="45"/>
      <c r="ADT3" s="45"/>
      <c r="ADU3" s="45"/>
      <c r="ADV3" s="45"/>
      <c r="ADW3" s="45"/>
      <c r="ADX3" s="45"/>
      <c r="ADY3" s="45"/>
      <c r="ADZ3" s="45"/>
      <c r="AEA3" s="45"/>
      <c r="AEB3" s="45"/>
      <c r="AEC3" s="45"/>
      <c r="AED3" s="45"/>
      <c r="AEE3" s="45"/>
      <c r="AEF3" s="45"/>
      <c r="AEG3" s="45"/>
      <c r="AEH3" s="45"/>
      <c r="AEI3" s="45"/>
      <c r="AEJ3" s="45"/>
      <c r="AEK3" s="45"/>
      <c r="AEL3" s="45"/>
      <c r="AEM3" s="45"/>
      <c r="AEN3" s="45"/>
      <c r="AEO3" s="45"/>
      <c r="AEP3" s="45"/>
      <c r="AEQ3" s="45"/>
      <c r="AER3" s="45"/>
      <c r="AES3" s="45"/>
      <c r="AET3" s="45"/>
      <c r="AEU3" s="45"/>
      <c r="AEV3" s="45"/>
      <c r="AEW3" s="45"/>
      <c r="AEX3" s="45"/>
      <c r="AEY3" s="45"/>
      <c r="AEZ3" s="45"/>
      <c r="AFA3" s="45"/>
      <c r="AFB3" s="45"/>
      <c r="AFC3" s="45"/>
      <c r="AFD3" s="45"/>
      <c r="AFE3" s="45"/>
      <c r="AFF3" s="45"/>
      <c r="AFG3" s="45"/>
      <c r="AFH3" s="45"/>
      <c r="AFI3" s="45"/>
      <c r="AFJ3" s="45"/>
      <c r="AFK3" s="45"/>
      <c r="AFL3" s="45"/>
      <c r="AFM3" s="45"/>
      <c r="AFN3" s="45"/>
      <c r="AFO3" s="45"/>
      <c r="AFP3" s="45"/>
      <c r="AFQ3" s="45"/>
      <c r="AFR3" s="45"/>
      <c r="AFS3" s="45"/>
      <c r="AFT3" s="45"/>
      <c r="AFU3" s="45"/>
      <c r="AFV3" s="45"/>
      <c r="AFW3" s="45"/>
      <c r="AFX3" s="45"/>
      <c r="AFY3" s="45"/>
      <c r="AFZ3" s="45"/>
      <c r="AGA3" s="45"/>
      <c r="AGB3" s="45"/>
      <c r="AGC3" s="45"/>
      <c r="AGD3" s="45"/>
      <c r="AGE3" s="45"/>
      <c r="AGF3" s="45"/>
      <c r="AGG3" s="45"/>
      <c r="AGH3" s="45"/>
      <c r="AGI3" s="45"/>
      <c r="AGJ3" s="45"/>
      <c r="AGK3" s="45"/>
      <c r="AGL3" s="45"/>
      <c r="AGM3" s="45"/>
      <c r="AGN3" s="45"/>
      <c r="AGO3" s="45"/>
      <c r="AGP3" s="45"/>
      <c r="AGQ3" s="45"/>
      <c r="AGR3" s="45"/>
      <c r="AGS3" s="45"/>
      <c r="AGT3" s="45"/>
      <c r="AGU3" s="45"/>
      <c r="AGV3" s="45"/>
      <c r="AGW3" s="45"/>
      <c r="AGX3" s="45"/>
      <c r="AGY3" s="45"/>
      <c r="AGZ3" s="45"/>
      <c r="AHA3" s="45"/>
      <c r="AHB3" s="45"/>
      <c r="AHC3" s="45"/>
      <c r="AHD3" s="45"/>
      <c r="AHE3" s="45"/>
      <c r="AHF3" s="45"/>
      <c r="AHG3" s="45"/>
      <c r="AHH3" s="45"/>
      <c r="AHI3" s="45"/>
      <c r="AHJ3" s="45"/>
      <c r="AHK3" s="45"/>
      <c r="AHL3" s="45"/>
      <c r="AHM3" s="45"/>
      <c r="AHN3" s="45"/>
      <c r="AHO3" s="45"/>
      <c r="AHP3" s="45"/>
      <c r="AHQ3" s="45"/>
      <c r="AHR3" s="45"/>
      <c r="AHS3" s="45"/>
      <c r="AHT3" s="45"/>
      <c r="AHU3" s="45"/>
      <c r="AHV3" s="45"/>
      <c r="AHW3" s="45"/>
      <c r="AHX3" s="45"/>
      <c r="AHY3" s="45"/>
      <c r="AHZ3" s="45"/>
      <c r="AIA3" s="45"/>
      <c r="AIB3" s="45"/>
      <c r="AIC3" s="45"/>
      <c r="AID3" s="45"/>
      <c r="AIE3" s="45"/>
      <c r="AIF3" s="45"/>
      <c r="AIG3" s="45"/>
      <c r="AIH3" s="45"/>
      <c r="AII3" s="45"/>
      <c r="AIJ3" s="45"/>
      <c r="AIK3" s="45"/>
      <c r="AIL3" s="45"/>
      <c r="AIM3" s="45"/>
      <c r="AIN3" s="45"/>
      <c r="AIO3" s="45"/>
      <c r="AIP3" s="45"/>
      <c r="AIQ3" s="45"/>
      <c r="AIR3" s="45"/>
      <c r="AIS3" s="45"/>
      <c r="AIT3" s="45"/>
      <c r="AIU3" s="45"/>
      <c r="AIV3" s="45"/>
      <c r="AIW3" s="45"/>
      <c r="AIX3" s="45"/>
      <c r="AIY3" s="45"/>
      <c r="AIZ3" s="45"/>
      <c r="AJA3" s="45"/>
      <c r="AJB3" s="45"/>
      <c r="AJC3" s="45"/>
      <c r="AJD3" s="45"/>
      <c r="AJE3" s="45"/>
      <c r="AJF3" s="45"/>
      <c r="AJG3" s="45"/>
      <c r="AJH3" s="45"/>
      <c r="AJI3" s="45"/>
      <c r="AJJ3" s="45"/>
      <c r="AJK3" s="45"/>
      <c r="AJL3" s="45"/>
      <c r="AJM3" s="45"/>
      <c r="AJN3" s="45"/>
      <c r="AJO3" s="45"/>
      <c r="AJP3" s="45"/>
      <c r="AJQ3" s="45"/>
      <c r="AJR3" s="45"/>
      <c r="AJS3" s="45"/>
      <c r="AJT3" s="45"/>
      <c r="AJU3" s="45"/>
      <c r="AJV3" s="45"/>
      <c r="AJW3" s="45"/>
      <c r="AJX3" s="45"/>
      <c r="AJY3" s="45"/>
      <c r="AJZ3" s="45"/>
      <c r="AKA3" s="45"/>
      <c r="AKB3" s="45"/>
      <c r="AKC3" s="45"/>
      <c r="AKD3" s="45"/>
      <c r="AKE3" s="45"/>
      <c r="AKF3" s="45"/>
      <c r="AKG3" s="45"/>
      <c r="AKH3" s="45"/>
      <c r="AKI3" s="45"/>
      <c r="AKJ3" s="45"/>
      <c r="AKK3" s="45"/>
      <c r="AKL3" s="45"/>
      <c r="AKM3" s="45"/>
      <c r="AKN3" s="45"/>
      <c r="AKO3" s="45"/>
      <c r="AKP3" s="45"/>
      <c r="AKQ3" s="45"/>
      <c r="AKR3" s="45"/>
      <c r="AKS3" s="45"/>
      <c r="AKT3" s="45"/>
      <c r="AKU3" s="45"/>
      <c r="AKV3" s="45"/>
      <c r="AKW3" s="45"/>
      <c r="AKX3" s="45"/>
      <c r="AKY3" s="45"/>
      <c r="AKZ3" s="45"/>
      <c r="ALA3" s="45"/>
      <c r="ALB3" s="45"/>
      <c r="ALC3" s="45"/>
      <c r="ALD3" s="45"/>
      <c r="ALE3" s="45"/>
      <c r="ALF3" s="45"/>
      <c r="ALG3" s="45"/>
      <c r="ALH3" s="45"/>
      <c r="ALI3" s="45"/>
      <c r="ALJ3" s="45"/>
      <c r="ALK3" s="45"/>
      <c r="ALL3" s="45"/>
      <c r="ALM3" s="45"/>
      <c r="ALN3" s="45"/>
      <c r="ALO3" s="45"/>
      <c r="ALP3" s="45"/>
      <c r="ALQ3" s="45"/>
      <c r="ALR3" s="45"/>
      <c r="ALS3" s="45"/>
      <c r="ALT3" s="45"/>
      <c r="ALU3" s="45"/>
      <c r="ALV3" s="45"/>
      <c r="ALW3" s="45"/>
      <c r="ALX3" s="45"/>
      <c r="ALY3" s="45"/>
      <c r="ALZ3" s="45"/>
      <c r="AMA3" s="45"/>
      <c r="AMB3" s="45"/>
      <c r="AMC3" s="45"/>
      <c r="AMD3" s="45"/>
      <c r="AME3" s="45"/>
      <c r="AMF3" s="45"/>
      <c r="AMG3" s="45"/>
    </row>
    <row r="4" spans="1:1021" ht="17.649999999999999" customHeight="1">
      <c r="A4" s="33"/>
      <c r="B4" s="46"/>
      <c r="C4" s="88"/>
      <c r="D4" s="39"/>
      <c r="E4" s="39"/>
      <c r="F4" s="47" t="s">
        <v>67</v>
      </c>
      <c r="G4" s="48"/>
      <c r="H4" s="49" t="s">
        <v>68</v>
      </c>
      <c r="I4" s="49"/>
      <c r="J4" s="49" t="s">
        <v>69</v>
      </c>
      <c r="K4" s="50"/>
      <c r="L4" s="51" t="s">
        <v>70</v>
      </c>
      <c r="M4" s="52"/>
    </row>
    <row r="5" spans="1:1021" ht="17.649999999999999" customHeight="1">
      <c r="A5" s="33"/>
      <c r="B5" s="46"/>
      <c r="C5" s="88"/>
      <c r="D5" s="39"/>
      <c r="E5" s="39"/>
      <c r="F5" s="89" t="str">
        <f>'Senet Taksit Giriş'!D3</f>
        <v xml:space="preserve"> </v>
      </c>
      <c r="G5" s="53"/>
      <c r="H5" s="90" t="str">
        <f>"# "&amp;TEXT(('Senet Taksit Giriş'!E3),"#.##0,00")&amp;" TL #"</f>
        <v># 28.000,00 TL #</v>
      </c>
      <c r="I5" s="54"/>
      <c r="J5" s="91" t="str">
        <f>"- "&amp;TEXT(INT('Senet Taksit Giriş'!B3),"##.##0")&amp;" -"</f>
        <v>- 1 -</v>
      </c>
      <c r="K5" s="55"/>
      <c r="L5" s="92">
        <f>'Senet Taksit Giriş'!C3</f>
        <v>44419</v>
      </c>
      <c r="M5" s="52"/>
    </row>
    <row r="6" spans="1:1021" ht="17.649999999999999" customHeight="1">
      <c r="A6" s="33"/>
      <c r="B6" s="46"/>
      <c r="C6" s="88"/>
      <c r="D6" s="39"/>
      <c r="E6" s="39"/>
      <c r="F6" s="89"/>
      <c r="G6" s="53"/>
      <c r="H6" s="90"/>
      <c r="I6" s="54"/>
      <c r="J6" s="91"/>
      <c r="K6" s="55"/>
      <c r="L6" s="92"/>
      <c r="M6" s="52"/>
    </row>
    <row r="7" spans="1:1021" ht="17.649999999999999" customHeight="1">
      <c r="A7" s="33"/>
      <c r="B7" s="46"/>
      <c r="C7" s="88"/>
      <c r="D7" s="39"/>
      <c r="E7" s="39"/>
      <c r="F7" s="56"/>
      <c r="G7" s="57"/>
      <c r="H7" s="57"/>
      <c r="I7" s="57"/>
      <c r="J7" s="57"/>
      <c r="K7" s="57"/>
      <c r="L7" s="58"/>
      <c r="M7" s="52"/>
    </row>
    <row r="8" spans="1:1021" ht="17.649999999999999" customHeight="1">
      <c r="A8" s="33"/>
      <c r="B8" s="46"/>
      <c r="C8" s="88"/>
      <c r="D8" s="39"/>
      <c r="E8" s="39"/>
      <c r="F8" s="93" t="str">
        <f>"                       İş bu emre muharrer senedim"&amp;IF('Senet Borçlu Alacaklı Giriş'!$C$4="Gerçek Kişi","in","izin")&amp;" mükabilinde "&amp;IF(TEXT(F5,"dd mmmm yyyy")=" ","                                                            ",TEXT(F5,"dd mmmm yyyy"))&amp;" tarihinde; Sayın : "&amp;IF('Senet Borçlu Alacaklı Giriş'!$C$1="","                                                                                                                        ",'Senet Borçlu Alacaklı Giriş'!$C$1)&amp;"  veyahut emruhavalesine yukarıda yazılı Yalnız # "&amp;'Senet Taksit Giriş'!F3&amp;" #  kayıtsız ve şartsız ödemeyi vaadederi"&amp;IF('Senet Borçlu Alacaklı Giriş'!$C$4="Gerçek Kişi","m.","z.")&amp;" Bedeli "&amp;'Senet Taksit Giriş'!G3&amp;"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                    İş bu emre muharrer senedimin mükabilinde                                                              tarihinde; Sayın :                                                                                                                           veyahut emruhavalesine yukarıda yazılı Yalnız # Yirmisekizbin TL  #  kayıtsız ve şartsız ödemeyi vaadederim.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8" s="93"/>
      <c r="H8" s="93"/>
      <c r="I8" s="93"/>
      <c r="J8" s="93"/>
      <c r="K8" s="93"/>
      <c r="L8" s="93"/>
      <c r="M8" s="52"/>
    </row>
    <row r="9" spans="1:1021" ht="17.649999999999999" customHeight="1">
      <c r="A9" s="33"/>
      <c r="B9" s="46"/>
      <c r="C9" s="88"/>
      <c r="D9" s="39"/>
      <c r="E9" s="39"/>
      <c r="F9" s="93"/>
      <c r="G9" s="93"/>
      <c r="H9" s="93"/>
      <c r="I9" s="93"/>
      <c r="J9" s="93"/>
      <c r="K9" s="93"/>
      <c r="L9" s="93"/>
      <c r="M9" s="52"/>
    </row>
    <row r="10" spans="1:1021" ht="17.649999999999999" customHeight="1">
      <c r="A10" s="33"/>
      <c r="B10" s="59"/>
      <c r="C10" s="88"/>
      <c r="D10" s="39"/>
      <c r="E10" s="39"/>
      <c r="F10" s="93"/>
      <c r="G10" s="93"/>
      <c r="H10" s="93"/>
      <c r="I10" s="93"/>
      <c r="J10" s="93"/>
      <c r="K10" s="93"/>
      <c r="L10" s="93"/>
      <c r="M10" s="52"/>
    </row>
    <row r="11" spans="1:1021" ht="17.649999999999999" customHeight="1">
      <c r="A11" s="33"/>
      <c r="B11" s="59"/>
      <c r="C11" s="88"/>
      <c r="D11" s="39"/>
      <c r="E11" s="39"/>
      <c r="F11" s="93"/>
      <c r="G11" s="93"/>
      <c r="H11" s="93"/>
      <c r="I11" s="93"/>
      <c r="J11" s="93"/>
      <c r="K11" s="93"/>
      <c r="L11" s="93"/>
      <c r="M11" s="52"/>
    </row>
    <row r="12" spans="1:1021" ht="17.649999999999999" customHeight="1">
      <c r="A12" s="33"/>
      <c r="B12" s="59"/>
      <c r="C12" s="88"/>
      <c r="D12" s="39"/>
      <c r="E12" s="39"/>
      <c r="F12" s="93"/>
      <c r="G12" s="93"/>
      <c r="H12" s="93"/>
      <c r="I12" s="93"/>
      <c r="J12" s="93"/>
      <c r="K12" s="93"/>
      <c r="L12" s="93"/>
      <c r="M12" s="52"/>
    </row>
    <row r="13" spans="1:1021" ht="17.649999999999999" customHeight="1">
      <c r="A13" s="33"/>
      <c r="B13" s="59"/>
      <c r="C13" s="88"/>
      <c r="D13" s="39"/>
      <c r="E13" s="39"/>
      <c r="F13" s="93"/>
      <c r="G13" s="93"/>
      <c r="H13" s="93"/>
      <c r="I13" s="93"/>
      <c r="J13" s="93"/>
      <c r="K13" s="93"/>
      <c r="L13" s="93"/>
      <c r="M13" s="52"/>
    </row>
    <row r="14" spans="1:1021" ht="17.649999999999999" customHeight="1">
      <c r="A14" s="33"/>
      <c r="B14" s="59"/>
      <c r="C14" s="88"/>
      <c r="D14" s="39"/>
      <c r="E14" s="39"/>
      <c r="F14" s="93"/>
      <c r="G14" s="93"/>
      <c r="H14" s="93"/>
      <c r="I14" s="93"/>
      <c r="J14" s="93"/>
      <c r="K14" s="93"/>
      <c r="L14" s="93"/>
      <c r="M14" s="52"/>
    </row>
    <row r="15" spans="1:1021" ht="17.649999999999999" customHeight="1">
      <c r="A15" s="33"/>
      <c r="B15" s="59"/>
      <c r="C15" s="88"/>
      <c r="D15" s="39"/>
      <c r="E15" s="39"/>
      <c r="F15" s="93"/>
      <c r="G15" s="93"/>
      <c r="H15" s="93"/>
      <c r="I15" s="93"/>
      <c r="J15" s="93"/>
      <c r="K15" s="93"/>
      <c r="L15" s="93"/>
      <c r="M15" s="52"/>
    </row>
    <row r="16" spans="1:1021" ht="17.649999999999999" customHeight="1">
      <c r="A16" s="33"/>
      <c r="B16" s="59"/>
      <c r="C16" s="88"/>
      <c r="D16" s="39"/>
      <c r="E16" s="39"/>
      <c r="F16" s="93"/>
      <c r="G16" s="93"/>
      <c r="H16" s="93"/>
      <c r="I16" s="93"/>
      <c r="J16" s="93"/>
      <c r="K16" s="93"/>
      <c r="L16" s="93"/>
      <c r="M16" s="52"/>
    </row>
    <row r="17" spans="1:13" ht="17.649999999999999" customHeight="1">
      <c r="A17" s="33"/>
      <c r="B17" s="59"/>
      <c r="C17" s="88"/>
      <c r="D17" s="39"/>
      <c r="E17" s="60"/>
      <c r="F17" s="61" t="s">
        <v>71</v>
      </c>
      <c r="G17" s="62" t="s">
        <v>72</v>
      </c>
      <c r="H17" s="94" t="str">
        <f>'Senet Borçlu Alacaklı Giriş'!C5</f>
        <v>Emre AKTAŞ</v>
      </c>
      <c r="I17" s="94"/>
      <c r="J17" s="94"/>
      <c r="K17" s="94"/>
      <c r="L17" s="94"/>
      <c r="M17" s="52"/>
    </row>
    <row r="18" spans="1:13" ht="17.649999999999999" customHeight="1">
      <c r="A18" s="33"/>
      <c r="B18" s="59"/>
      <c r="C18" s="88"/>
      <c r="D18" s="39"/>
      <c r="E18" s="63"/>
      <c r="F18" s="64" t="s">
        <v>73</v>
      </c>
      <c r="G18" s="65" t="s">
        <v>72</v>
      </c>
      <c r="H18" s="66" t="str">
        <f>'Senet Borçlu Alacaklı Giriş'!$C$8</f>
        <v>251 4497 7278</v>
      </c>
      <c r="I18" s="66"/>
      <c r="J18" s="66"/>
      <c r="K18" s="66"/>
      <c r="L18" s="67"/>
      <c r="M18" s="52"/>
    </row>
    <row r="19" spans="1:13" ht="17.649999999999999" customHeight="1">
      <c r="A19" s="33"/>
      <c r="B19" s="68"/>
      <c r="C19" s="88"/>
      <c r="D19" s="39"/>
      <c r="E19" s="63"/>
      <c r="F19" s="69" t="s">
        <v>74</v>
      </c>
      <c r="G19" s="70"/>
      <c r="H19" s="70"/>
      <c r="I19"/>
      <c r="J19" s="71" t="s">
        <v>75</v>
      </c>
      <c r="K19" s="33"/>
      <c r="L19" s="72"/>
      <c r="M19" s="52"/>
    </row>
    <row r="20" spans="1:13" ht="17.649999999999999" customHeight="1">
      <c r="A20" s="33"/>
      <c r="B20" s="68"/>
      <c r="C20" s="88"/>
      <c r="D20" s="39"/>
      <c r="E20" s="63"/>
      <c r="F20" s="95">
        <f>'Senet Borçlu Alacaklı Giriş'!$C$6</f>
        <v>0</v>
      </c>
      <c r="G20" s="95"/>
      <c r="H20" s="95"/>
      <c r="I20" s="95"/>
      <c r="J20" s="70"/>
      <c r="K20" s="33"/>
      <c r="L20" s="72"/>
      <c r="M20" s="52"/>
    </row>
    <row r="21" spans="1:13" ht="17.649999999999999" customHeight="1">
      <c r="A21" s="33"/>
      <c r="B21" s="68"/>
      <c r="C21" s="88"/>
      <c r="D21" s="39"/>
      <c r="E21" s="63"/>
      <c r="F21" s="95"/>
      <c r="G21" s="95"/>
      <c r="H21" s="95"/>
      <c r="I21" s="95"/>
      <c r="J21" s="70"/>
      <c r="K21" s="33"/>
      <c r="L21" s="72"/>
      <c r="M21" s="52"/>
    </row>
    <row r="22" spans="1:13" ht="17.649999999999999" customHeight="1">
      <c r="A22" s="33"/>
      <c r="B22" s="68"/>
      <c r="C22" s="88"/>
      <c r="D22" s="39"/>
      <c r="E22" s="63"/>
      <c r="F22" s="95"/>
      <c r="G22" s="95"/>
      <c r="H22" s="95"/>
      <c r="I22" s="95"/>
      <c r="J22" s="70"/>
      <c r="K22" s="33"/>
      <c r="L22" s="72"/>
      <c r="M22" s="52"/>
    </row>
    <row r="23" spans="1:13" ht="17.649999999999999" customHeight="1">
      <c r="A23" s="33"/>
      <c r="B23" s="68"/>
      <c r="C23" s="88"/>
      <c r="D23" s="39"/>
      <c r="E23" s="63"/>
      <c r="F23" s="95"/>
      <c r="G23" s="95"/>
      <c r="H23" s="95"/>
      <c r="I23" s="95"/>
      <c r="J23" s="70"/>
      <c r="K23" s="73"/>
      <c r="L23" s="72"/>
      <c r="M23" s="52"/>
    </row>
    <row r="24" spans="1:13" ht="17.649999999999999" customHeight="1">
      <c r="A24" s="33"/>
      <c r="B24" s="68"/>
      <c r="C24" s="88"/>
      <c r="D24" s="39"/>
      <c r="E24" s="74"/>
      <c r="F24" s="75" t="str">
        <f>"Vergi Dairesi  "</f>
        <v xml:space="preserve">Vergi Dairesi  </v>
      </c>
      <c r="G24" s="76" t="s">
        <v>72</v>
      </c>
      <c r="H24" s="76" t="str">
        <f>'Senet Borçlu Alacaklı Giriş'!$C$7</f>
        <v>Tokat</v>
      </c>
      <c r="I24" s="76"/>
      <c r="J24" s="57"/>
      <c r="K24" s="57"/>
      <c r="L24" s="58"/>
      <c r="M24" s="52"/>
    </row>
    <row r="25" spans="1:13" ht="17.649999999999999" customHeight="1">
      <c r="A25" s="33"/>
      <c r="B25" s="68"/>
      <c r="C25" s="88"/>
      <c r="D25" s="39"/>
      <c r="E25" s="39"/>
      <c r="F25" s="77"/>
      <c r="G25" s="78"/>
      <c r="H25" s="78"/>
      <c r="I25" s="78"/>
      <c r="J25" s="33"/>
      <c r="K25" s="33"/>
      <c r="L25" s="33"/>
      <c r="M25" s="52"/>
    </row>
    <row r="26" spans="1:13" ht="17.649999999999999" customHeight="1">
      <c r="A26" s="33"/>
      <c r="B26" s="59"/>
      <c r="C26" s="88"/>
      <c r="D26" s="39"/>
      <c r="E26" s="60"/>
      <c r="F26" s="79" t="s">
        <v>76</v>
      </c>
      <c r="G26" s="80" t="s">
        <v>72</v>
      </c>
      <c r="H26" s="80" t="str">
        <f>'Senet Borçlu Alacaklı Giriş'!$C$9</f>
        <v xml:space="preserve"> </v>
      </c>
      <c r="I26" s="80"/>
      <c r="J26" s="81"/>
      <c r="K26" s="42"/>
      <c r="L26" s="43"/>
      <c r="M26" s="52"/>
    </row>
    <row r="27" spans="1:13" ht="17.649999999999999" customHeight="1">
      <c r="A27" s="33"/>
      <c r="B27" s="59"/>
      <c r="C27" s="88"/>
      <c r="D27" s="39"/>
      <c r="E27" s="63"/>
      <c r="F27" s="82" t="s">
        <v>77</v>
      </c>
      <c r="G27" s="83" t="s">
        <v>72</v>
      </c>
      <c r="H27" s="78" t="str">
        <f>'Senet Borçlu Alacaklı Giriş'!$C$12</f>
        <v xml:space="preserve"> </v>
      </c>
      <c r="I27" s="83"/>
      <c r="J27" s="73"/>
      <c r="K27" s="33"/>
      <c r="L27" s="72"/>
      <c r="M27" s="52"/>
    </row>
    <row r="28" spans="1:13" ht="17.649999999999999" customHeight="1">
      <c r="A28" s="33"/>
      <c r="B28" s="59"/>
      <c r="C28" s="88"/>
      <c r="D28" s="39"/>
      <c r="E28" s="63"/>
      <c r="F28" s="84" t="s">
        <v>74</v>
      </c>
      <c r="G28" s="70"/>
      <c r="H28" s="70"/>
      <c r="I28"/>
      <c r="J28" s="71" t="s">
        <v>75</v>
      </c>
      <c r="K28" s="33"/>
      <c r="L28" s="72"/>
      <c r="M28" s="52"/>
    </row>
    <row r="29" spans="1:13" ht="17.649999999999999" customHeight="1">
      <c r="A29" s="33"/>
      <c r="B29" s="59"/>
      <c r="C29" s="88"/>
      <c r="D29" s="39"/>
      <c r="E29" s="63"/>
      <c r="F29" s="96" t="str">
        <f>'Senet Borçlu Alacaklı Giriş'!$C$10</f>
        <v xml:space="preserve"> </v>
      </c>
      <c r="G29" s="96"/>
      <c r="H29" s="96"/>
      <c r="I29" s="96"/>
      <c r="J29" s="33"/>
      <c r="K29" s="33"/>
      <c r="L29" s="72"/>
      <c r="M29" s="52"/>
    </row>
    <row r="30" spans="1:13" ht="17.649999999999999" customHeight="1">
      <c r="A30" s="33"/>
      <c r="B30" s="59"/>
      <c r="C30" s="88"/>
      <c r="D30" s="39"/>
      <c r="E30" s="63"/>
      <c r="F30" s="96"/>
      <c r="G30" s="96"/>
      <c r="H30" s="96"/>
      <c r="I30" s="96"/>
      <c r="J30" s="33"/>
      <c r="K30" s="33"/>
      <c r="L30" s="72"/>
      <c r="M30" s="52"/>
    </row>
    <row r="31" spans="1:13" ht="17.649999999999999" customHeight="1">
      <c r="A31" s="33"/>
      <c r="B31" s="59"/>
      <c r="C31" s="88"/>
      <c r="D31" s="39"/>
      <c r="E31" s="63"/>
      <c r="F31" s="96"/>
      <c r="G31" s="96"/>
      <c r="H31" s="96"/>
      <c r="I31" s="96"/>
      <c r="J31" s="33"/>
      <c r="K31" s="33"/>
      <c r="L31" s="72"/>
      <c r="M31" s="52"/>
    </row>
    <row r="32" spans="1:13" ht="17.649999999999999" customHeight="1">
      <c r="A32" s="33"/>
      <c r="B32" s="59"/>
      <c r="C32" s="88"/>
      <c r="D32" s="39"/>
      <c r="E32" s="63"/>
      <c r="F32" s="96"/>
      <c r="G32" s="96"/>
      <c r="H32" s="96"/>
      <c r="I32" s="96"/>
      <c r="J32" s="33"/>
      <c r="K32" s="33"/>
      <c r="L32" s="72"/>
      <c r="M32" s="52"/>
    </row>
    <row r="33" spans="1:13" ht="17.649999999999999" customHeight="1">
      <c r="A33" s="33"/>
      <c r="B33" s="59"/>
      <c r="C33" s="88"/>
      <c r="D33" s="39"/>
      <c r="E33" s="74"/>
      <c r="F33" s="76" t="str">
        <f>"Vergi Dairesi  "</f>
        <v xml:space="preserve">Vergi Dairesi  </v>
      </c>
      <c r="G33" s="76"/>
      <c r="H33" s="76" t="str">
        <f>'Senet Borçlu Alacaklı Giriş'!$C$11</f>
        <v xml:space="preserve"> </v>
      </c>
      <c r="I33" s="76"/>
      <c r="J33" s="57"/>
      <c r="K33" s="57"/>
      <c r="L33" s="58"/>
      <c r="M33" s="52"/>
    </row>
    <row r="34" spans="1:13" ht="17.649999999999999" customHeight="1" thickBot="1">
      <c r="A34" s="33"/>
      <c r="B34" s="85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7"/>
    </row>
    <row r="35" spans="1:13" ht="17.649999999999999" customHeight="1" thickTop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7" spans="1:13" ht="17.649999999999999" customHeight="1" thickBot="1"/>
    <row r="38" spans="1:13" ht="17.649999999999999" customHeight="1" thickTop="1">
      <c r="A38" s="33"/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7"/>
    </row>
    <row r="39" spans="1:13" ht="17.649999999999999" customHeight="1">
      <c r="A39" s="21"/>
      <c r="B39" s="38"/>
      <c r="C39" s="88" t="str">
        <f>$H53 &amp;"    - Taksit No: " &amp; $J41&amp;"  "</f>
        <v xml:space="preserve">0    - Taksit No: 2  </v>
      </c>
      <c r="D39" s="40"/>
      <c r="E39" s="40"/>
      <c r="F39" s="41"/>
      <c r="G39" s="42"/>
      <c r="H39" s="42"/>
      <c r="I39" s="42"/>
      <c r="J39" s="42"/>
      <c r="K39" s="42"/>
      <c r="L39" s="43"/>
      <c r="M39" s="44"/>
    </row>
    <row r="40" spans="1:13" ht="17.649999999999999" customHeight="1">
      <c r="A40" s="33"/>
      <c r="B40" s="46"/>
      <c r="C40" s="88"/>
      <c r="D40" s="39"/>
      <c r="E40" s="39"/>
      <c r="F40" s="47" t="s">
        <v>67</v>
      </c>
      <c r="G40" s="48"/>
      <c r="H40" s="49" t="s">
        <v>68</v>
      </c>
      <c r="I40" s="49"/>
      <c r="J40" s="49" t="s">
        <v>69</v>
      </c>
      <c r="K40" s="50"/>
      <c r="L40" s="51" t="s">
        <v>70</v>
      </c>
      <c r="M40" s="52"/>
    </row>
    <row r="41" spans="1:13" ht="17.649999999999999" customHeight="1">
      <c r="A41" s="33"/>
      <c r="B41" s="46"/>
      <c r="C41" s="88"/>
      <c r="D41" s="39"/>
      <c r="E41" s="39"/>
      <c r="F41" s="89">
        <f>'Senet Taksit Giriş'!D4</f>
        <v>44316</v>
      </c>
      <c r="G41" s="53"/>
      <c r="H41" s="90">
        <f>'Senet Taksit Giriş'!E4</f>
        <v>0</v>
      </c>
      <c r="I41" s="54"/>
      <c r="J41" s="91">
        <f>'Senet Taksit Giriş'!B4</f>
        <v>2</v>
      </c>
      <c r="K41" s="55"/>
      <c r="L41" s="92">
        <f>'Senet Taksit Giriş'!C4</f>
        <v>44252</v>
      </c>
      <c r="M41" s="52"/>
    </row>
    <row r="42" spans="1:13" ht="17.649999999999999" customHeight="1">
      <c r="A42" s="33"/>
      <c r="B42" s="46"/>
      <c r="C42" s="88"/>
      <c r="D42" s="39"/>
      <c r="E42" s="39"/>
      <c r="F42" s="89"/>
      <c r="G42" s="53"/>
      <c r="H42" s="90"/>
      <c r="I42" s="54"/>
      <c r="J42" s="91"/>
      <c r="K42" s="55"/>
      <c r="L42" s="92"/>
      <c r="M42" s="52"/>
    </row>
    <row r="43" spans="1:13" ht="17.649999999999999" customHeight="1">
      <c r="A43" s="33"/>
      <c r="B43" s="46"/>
      <c r="C43" s="88"/>
      <c r="D43" s="39"/>
      <c r="E43" s="39"/>
      <c r="F43" s="56"/>
      <c r="G43" s="57"/>
      <c r="H43" s="57"/>
      <c r="I43" s="57"/>
      <c r="J43" s="57"/>
      <c r="K43" s="57"/>
      <c r="L43" s="58"/>
      <c r="M43" s="52"/>
    </row>
    <row r="44" spans="1:13" ht="17.649999999999999" customHeight="1">
      <c r="A44" s="33"/>
      <c r="B44" s="46"/>
      <c r="C44" s="88"/>
      <c r="D44" s="39"/>
      <c r="E44" s="39"/>
      <c r="F44" s="93" t="str">
        <f>"                       İş bu emre muharrer senedim"&amp;IF('Senet Borçlu Alacaklı Giriş'!$C$4="Gerçek Kişi","in","izin")&amp;" mükabilinde "&amp;IF(TEXT(F41,"dd mmmm yyyy")=" ","                                                            ",TEXT(F41,"dd mmmm yyyy"))&amp;" tarihinde; Sayın : "&amp;IF('Senet Borçlu Alacaklı Giriş'!$C$1="","                                                                                                                        ",'Senet Borçlu Alacaklı Giriş'!$C$1)&amp;"  veyahut emruhavalesine yukarıda yazılı Yalnız # "&amp;'Senet Taksit Giriş'!F40&amp;" #  kayıtsız ve şartsız ödemeyi vaadederi"&amp;IF('Senet Borçlu Alacaklı Giriş'!$C$4="Gerçek Kişi","m.","z.")&amp;" Bedeli "&amp;'Senet Taksit Giriş'!G40&amp;"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                    İş bu emre muharrer senedimin mükabilinde 00 mmmm 2021 tarihinde; Sayın :                                                                                                                           veyahut emruhavalesine yukarıda yazılı Yalnız #  #  kayıtsız ve şartsız ödemeyi vaadederim. Bedeli 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44" s="93"/>
      <c r="H44" s="93"/>
      <c r="I44" s="93"/>
      <c r="J44" s="93"/>
      <c r="K44" s="93"/>
      <c r="L44" s="93"/>
      <c r="M44" s="52"/>
    </row>
    <row r="45" spans="1:13" ht="17.649999999999999" customHeight="1">
      <c r="A45" s="33"/>
      <c r="B45" s="46"/>
      <c r="C45" s="88"/>
      <c r="D45" s="39"/>
      <c r="E45" s="39"/>
      <c r="F45" s="93"/>
      <c r="G45" s="93"/>
      <c r="H45" s="93"/>
      <c r="I45" s="93"/>
      <c r="J45" s="93"/>
      <c r="K45" s="93"/>
      <c r="L45" s="93"/>
      <c r="M45" s="52"/>
    </row>
    <row r="46" spans="1:13" ht="17.649999999999999" customHeight="1">
      <c r="A46" s="33"/>
      <c r="B46" s="59"/>
      <c r="C46" s="88"/>
      <c r="D46" s="39"/>
      <c r="E46" s="39"/>
      <c r="F46" s="93"/>
      <c r="G46" s="93"/>
      <c r="H46" s="93"/>
      <c r="I46" s="93"/>
      <c r="J46" s="93"/>
      <c r="K46" s="93"/>
      <c r="L46" s="93"/>
      <c r="M46" s="52"/>
    </row>
    <row r="47" spans="1:13" ht="17.649999999999999" customHeight="1">
      <c r="A47" s="33"/>
      <c r="B47" s="59"/>
      <c r="C47" s="88"/>
      <c r="D47" s="39"/>
      <c r="E47" s="39"/>
      <c r="F47" s="93"/>
      <c r="G47" s="93"/>
      <c r="H47" s="93"/>
      <c r="I47" s="93"/>
      <c r="J47" s="93"/>
      <c r="K47" s="93"/>
      <c r="L47" s="93"/>
      <c r="M47" s="52"/>
    </row>
    <row r="48" spans="1:13" ht="17.649999999999999" customHeight="1">
      <c r="A48" s="33"/>
      <c r="B48" s="59"/>
      <c r="C48" s="88"/>
      <c r="D48" s="39"/>
      <c r="E48" s="39"/>
      <c r="F48" s="93"/>
      <c r="G48" s="93"/>
      <c r="H48" s="93"/>
      <c r="I48" s="93"/>
      <c r="J48" s="93"/>
      <c r="K48" s="93"/>
      <c r="L48" s="93"/>
      <c r="M48" s="52"/>
    </row>
    <row r="49" spans="1:13" ht="17.649999999999999" customHeight="1">
      <c r="A49" s="33"/>
      <c r="B49" s="59"/>
      <c r="C49" s="88"/>
      <c r="D49" s="39"/>
      <c r="E49" s="39"/>
      <c r="F49" s="93"/>
      <c r="G49" s="93"/>
      <c r="H49" s="93"/>
      <c r="I49" s="93"/>
      <c r="J49" s="93"/>
      <c r="K49" s="93"/>
      <c r="L49" s="93"/>
      <c r="M49" s="52"/>
    </row>
    <row r="50" spans="1:13" ht="17.649999999999999" customHeight="1">
      <c r="A50" s="33"/>
      <c r="B50" s="59"/>
      <c r="C50" s="88"/>
      <c r="D50" s="39"/>
      <c r="E50" s="39"/>
      <c r="F50" s="93"/>
      <c r="G50" s="93"/>
      <c r="H50" s="93"/>
      <c r="I50" s="93"/>
      <c r="J50" s="93"/>
      <c r="K50" s="93"/>
      <c r="L50" s="93"/>
      <c r="M50" s="52"/>
    </row>
    <row r="51" spans="1:13" ht="17.649999999999999" customHeight="1">
      <c r="A51" s="33"/>
      <c r="B51" s="59"/>
      <c r="C51" s="88"/>
      <c r="D51" s="39"/>
      <c r="E51" s="39"/>
      <c r="F51" s="93"/>
      <c r="G51" s="93"/>
      <c r="H51" s="93"/>
      <c r="I51" s="93"/>
      <c r="J51" s="93"/>
      <c r="K51" s="93"/>
      <c r="L51" s="93"/>
      <c r="M51" s="52"/>
    </row>
    <row r="52" spans="1:13" ht="17.649999999999999" customHeight="1">
      <c r="A52" s="33"/>
      <c r="B52" s="59"/>
      <c r="C52" s="88"/>
      <c r="D52" s="39"/>
      <c r="E52" s="39"/>
      <c r="F52" s="93"/>
      <c r="G52" s="93"/>
      <c r="H52" s="93"/>
      <c r="I52" s="93"/>
      <c r="J52" s="93"/>
      <c r="K52" s="93"/>
      <c r="L52" s="93"/>
      <c r="M52" s="52"/>
    </row>
    <row r="53" spans="1:13" ht="17.649999999999999" customHeight="1">
      <c r="A53" s="33"/>
      <c r="B53" s="59"/>
      <c r="C53" s="88"/>
      <c r="D53" s="39"/>
      <c r="E53" s="60"/>
      <c r="F53" s="61" t="s">
        <v>71</v>
      </c>
      <c r="G53" s="62" t="s">
        <v>72</v>
      </c>
      <c r="H53" s="94">
        <f>'Senet Borçlu Alacaklı Giriş'!C42</f>
        <v>0</v>
      </c>
      <c r="I53" s="94"/>
      <c r="J53" s="94"/>
      <c r="K53" s="94"/>
      <c r="L53" s="94"/>
      <c r="M53" s="52"/>
    </row>
    <row r="54" spans="1:13" ht="17.649999999999999" customHeight="1">
      <c r="A54" s="33"/>
      <c r="B54" s="59"/>
      <c r="C54" s="88"/>
      <c r="D54" s="39"/>
      <c r="E54" s="63"/>
      <c r="F54" s="64" t="s">
        <v>73</v>
      </c>
      <c r="G54" s="65" t="s">
        <v>72</v>
      </c>
      <c r="H54" s="66" t="str">
        <f>'Senet Borçlu Alacaklı Giriş'!$C$8</f>
        <v>251 4497 7278</v>
      </c>
      <c r="I54" s="66"/>
      <c r="J54" s="66"/>
      <c r="K54" s="66"/>
      <c r="L54" s="67"/>
      <c r="M54" s="52"/>
    </row>
    <row r="55" spans="1:13" ht="17.649999999999999" customHeight="1">
      <c r="A55" s="33"/>
      <c r="B55" s="68"/>
      <c r="C55" s="88"/>
      <c r="D55" s="39"/>
      <c r="E55" s="63"/>
      <c r="F55" s="69" t="s">
        <v>74</v>
      </c>
      <c r="G55" s="70"/>
      <c r="H55" s="70"/>
      <c r="I55"/>
      <c r="J55" s="71" t="s">
        <v>75</v>
      </c>
      <c r="K55" s="33"/>
      <c r="L55" s="72"/>
      <c r="M55" s="52"/>
    </row>
    <row r="56" spans="1:13" ht="17.649999999999999" customHeight="1">
      <c r="A56" s="33"/>
      <c r="B56" s="68"/>
      <c r="C56" s="88"/>
      <c r="D56" s="39"/>
      <c r="E56" s="63"/>
      <c r="F56" s="95">
        <f>'Senet Borçlu Alacaklı Giriş'!$C$6</f>
        <v>0</v>
      </c>
      <c r="G56" s="95"/>
      <c r="H56" s="95"/>
      <c r="I56" s="95"/>
      <c r="J56" s="70"/>
      <c r="K56" s="33"/>
      <c r="L56" s="72"/>
      <c r="M56" s="52"/>
    </row>
    <row r="57" spans="1:13" ht="17.649999999999999" customHeight="1">
      <c r="A57" s="33"/>
      <c r="B57" s="68"/>
      <c r="C57" s="88"/>
      <c r="D57" s="39"/>
      <c r="E57" s="63"/>
      <c r="F57" s="95"/>
      <c r="G57" s="95"/>
      <c r="H57" s="95"/>
      <c r="I57" s="95"/>
      <c r="J57" s="70"/>
      <c r="K57" s="33"/>
      <c r="L57" s="72"/>
      <c r="M57" s="52"/>
    </row>
    <row r="58" spans="1:13" ht="17.649999999999999" customHeight="1">
      <c r="A58" s="33"/>
      <c r="B58" s="68"/>
      <c r="C58" s="88"/>
      <c r="D58" s="39"/>
      <c r="E58" s="63"/>
      <c r="F58" s="95"/>
      <c r="G58" s="95"/>
      <c r="H58" s="95"/>
      <c r="I58" s="95"/>
      <c r="J58" s="70"/>
      <c r="K58" s="33"/>
      <c r="L58" s="72"/>
      <c r="M58" s="52"/>
    </row>
    <row r="59" spans="1:13" ht="17.649999999999999" customHeight="1">
      <c r="A59" s="33"/>
      <c r="B59" s="68"/>
      <c r="C59" s="88"/>
      <c r="D59" s="39"/>
      <c r="E59" s="63"/>
      <c r="F59" s="95"/>
      <c r="G59" s="95"/>
      <c r="H59" s="95"/>
      <c r="I59" s="95"/>
      <c r="J59" s="70"/>
      <c r="K59" s="73"/>
      <c r="L59" s="72"/>
      <c r="M59" s="52"/>
    </row>
    <row r="60" spans="1:13" ht="17.649999999999999" customHeight="1">
      <c r="A60" s="33"/>
      <c r="B60" s="68"/>
      <c r="C60" s="88"/>
      <c r="D60" s="39"/>
      <c r="E60" s="74"/>
      <c r="F60" s="75" t="str">
        <f>"Vergi Dairesi  "</f>
        <v xml:space="preserve">Vergi Dairesi  </v>
      </c>
      <c r="G60" s="76" t="s">
        <v>72</v>
      </c>
      <c r="H60" s="76" t="str">
        <f>'Senet Borçlu Alacaklı Giriş'!$C$7</f>
        <v>Tokat</v>
      </c>
      <c r="I60" s="76"/>
      <c r="J60" s="57"/>
      <c r="K60" s="57"/>
      <c r="L60" s="58"/>
      <c r="M60" s="52"/>
    </row>
    <row r="61" spans="1:13" ht="17.649999999999999" customHeight="1">
      <c r="A61" s="33"/>
      <c r="B61" s="68"/>
      <c r="C61" s="88"/>
      <c r="D61" s="39"/>
      <c r="E61" s="39"/>
      <c r="F61" s="77"/>
      <c r="G61" s="78"/>
      <c r="H61" s="78"/>
      <c r="I61" s="78"/>
      <c r="J61" s="33"/>
      <c r="K61" s="33"/>
      <c r="L61" s="33"/>
      <c r="M61" s="52"/>
    </row>
    <row r="62" spans="1:13" ht="17.649999999999999" customHeight="1">
      <c r="A62" s="33"/>
      <c r="B62" s="59"/>
      <c r="C62" s="88"/>
      <c r="D62" s="39"/>
      <c r="E62" s="60"/>
      <c r="F62" s="79" t="s">
        <v>76</v>
      </c>
      <c r="G62" s="80" t="s">
        <v>72</v>
      </c>
      <c r="H62" s="80" t="str">
        <f>'Senet Borçlu Alacaklı Giriş'!$C$9</f>
        <v xml:space="preserve"> </v>
      </c>
      <c r="I62" s="80"/>
      <c r="J62" s="81"/>
      <c r="K62" s="42"/>
      <c r="L62" s="43"/>
      <c r="M62" s="52"/>
    </row>
    <row r="63" spans="1:13" ht="17.649999999999999" customHeight="1">
      <c r="A63" s="33"/>
      <c r="B63" s="59"/>
      <c r="C63" s="88"/>
      <c r="D63" s="39"/>
      <c r="E63" s="63"/>
      <c r="F63" s="82" t="s">
        <v>77</v>
      </c>
      <c r="G63" s="83" t="s">
        <v>72</v>
      </c>
      <c r="H63" s="78" t="str">
        <f>'Senet Borçlu Alacaklı Giriş'!$C$12</f>
        <v xml:space="preserve"> </v>
      </c>
      <c r="I63" s="83"/>
      <c r="J63" s="73"/>
      <c r="K63" s="33"/>
      <c r="L63" s="72"/>
      <c r="M63" s="52"/>
    </row>
    <row r="64" spans="1:13" ht="17.649999999999999" customHeight="1">
      <c r="A64" s="33"/>
      <c r="B64" s="59"/>
      <c r="C64" s="88"/>
      <c r="D64" s="39"/>
      <c r="E64" s="63"/>
      <c r="F64" s="84" t="s">
        <v>74</v>
      </c>
      <c r="G64" s="70"/>
      <c r="H64" s="70"/>
      <c r="I64"/>
      <c r="J64" s="71" t="s">
        <v>75</v>
      </c>
      <c r="K64" s="33"/>
      <c r="L64" s="72"/>
      <c r="M64" s="52"/>
    </row>
    <row r="65" spans="1:13" ht="17.649999999999999" customHeight="1">
      <c r="A65" s="33"/>
      <c r="B65" s="59"/>
      <c r="C65" s="88"/>
      <c r="D65" s="39"/>
      <c r="E65" s="63"/>
      <c r="F65" s="96" t="str">
        <f>'Senet Borçlu Alacaklı Giriş'!$C$10</f>
        <v xml:space="preserve"> </v>
      </c>
      <c r="G65" s="96"/>
      <c r="H65" s="96"/>
      <c r="I65" s="96"/>
      <c r="J65" s="33"/>
      <c r="K65" s="33"/>
      <c r="L65" s="72"/>
      <c r="M65" s="52"/>
    </row>
    <row r="66" spans="1:13" ht="17.649999999999999" customHeight="1">
      <c r="A66" s="33"/>
      <c r="B66" s="59"/>
      <c r="C66" s="88"/>
      <c r="D66" s="39"/>
      <c r="E66" s="63"/>
      <c r="F66" s="96"/>
      <c r="G66" s="96"/>
      <c r="H66" s="96"/>
      <c r="I66" s="96"/>
      <c r="J66" s="33"/>
      <c r="K66" s="33"/>
      <c r="L66" s="72"/>
      <c r="M66" s="52"/>
    </row>
    <row r="67" spans="1:13" ht="17.649999999999999" customHeight="1">
      <c r="A67" s="33"/>
      <c r="B67" s="59"/>
      <c r="C67" s="88"/>
      <c r="D67" s="39"/>
      <c r="E67" s="63"/>
      <c r="F67" s="96"/>
      <c r="G67" s="96"/>
      <c r="H67" s="96"/>
      <c r="I67" s="96"/>
      <c r="J67" s="33"/>
      <c r="K67" s="33"/>
      <c r="L67" s="72"/>
      <c r="M67" s="52"/>
    </row>
    <row r="68" spans="1:13" ht="17.649999999999999" customHeight="1">
      <c r="A68" s="33"/>
      <c r="B68" s="59"/>
      <c r="C68" s="88"/>
      <c r="D68" s="39"/>
      <c r="E68" s="63"/>
      <c r="F68" s="96"/>
      <c r="G68" s="96"/>
      <c r="H68" s="96"/>
      <c r="I68" s="96"/>
      <c r="J68" s="33"/>
      <c r="K68" s="33"/>
      <c r="L68" s="72"/>
      <c r="M68" s="52"/>
    </row>
    <row r="69" spans="1:13" ht="17.649999999999999" customHeight="1">
      <c r="A69" s="33"/>
      <c r="B69" s="59"/>
      <c r="C69" s="88"/>
      <c r="D69" s="39"/>
      <c r="E69" s="74"/>
      <c r="F69" s="76" t="str">
        <f>"Vergi Dairesi  "</f>
        <v xml:space="preserve">Vergi Dairesi  </v>
      </c>
      <c r="G69" s="76"/>
      <c r="H69" s="76" t="str">
        <f>'Senet Borçlu Alacaklı Giriş'!$C$11</f>
        <v xml:space="preserve"> </v>
      </c>
      <c r="I69" s="76"/>
      <c r="J69" s="57"/>
      <c r="K69" s="57"/>
      <c r="L69" s="58"/>
      <c r="M69" s="52"/>
    </row>
    <row r="70" spans="1:13" ht="17.649999999999999" customHeight="1" thickBot="1">
      <c r="A70" s="33"/>
      <c r="B70" s="85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7"/>
    </row>
    <row r="71" spans="1:13" ht="17.649999999999999" customHeight="1" thickTop="1">
      <c r="A71"/>
      <c r="B71"/>
      <c r="C71"/>
      <c r="D71"/>
      <c r="E71"/>
      <c r="F71"/>
      <c r="G71"/>
      <c r="H71"/>
      <c r="I71"/>
      <c r="J71"/>
      <c r="K71"/>
      <c r="L71"/>
      <c r="M71"/>
    </row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18">
    <mergeCell ref="C39:C69"/>
    <mergeCell ref="F41:F42"/>
    <mergeCell ref="H41:H42"/>
    <mergeCell ref="J41:J42"/>
    <mergeCell ref="L41:L42"/>
    <mergeCell ref="F44:L52"/>
    <mergeCell ref="H53:L53"/>
    <mergeCell ref="F56:I59"/>
    <mergeCell ref="F65:I68"/>
    <mergeCell ref="C3:C33"/>
    <mergeCell ref="F5:F6"/>
    <mergeCell ref="H5:H6"/>
    <mergeCell ref="J5:J6"/>
    <mergeCell ref="L5:L6"/>
    <mergeCell ref="F8:L16"/>
    <mergeCell ref="H17:L17"/>
    <mergeCell ref="F20:I23"/>
    <mergeCell ref="F29:I32"/>
  </mergeCells>
  <printOptions horizontalCentered="1"/>
  <pageMargins left="0.23622047244094491" right="0.23622047244094491" top="0.59015748031496074" bottom="1.1417322834645671" header="0.19645669291338586" footer="0.74803149606299213"/>
  <pageSetup paperSize="0"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9688-5CA6-43E0-9224-FBA6A607FA4B}">
  <dimension ref="A1:D17"/>
  <sheetViews>
    <sheetView workbookViewId="0"/>
  </sheetViews>
  <sheetFormatPr defaultRowHeight="13.9"/>
  <cols>
    <col min="1" max="1" width="12.140625" customWidth="1"/>
    <col min="2" max="2" width="39" customWidth="1"/>
    <col min="3" max="4" width="12.140625" customWidth="1"/>
  </cols>
  <sheetData>
    <row r="1" spans="1:4" ht="15"/>
    <row r="2" spans="1:4" ht="15"/>
    <row r="3" spans="1:4" ht="15">
      <c r="B3" t="s">
        <v>78</v>
      </c>
      <c r="C3">
        <v>1500</v>
      </c>
      <c r="D3">
        <f>C3</f>
        <v>1500</v>
      </c>
    </row>
    <row r="4" spans="1:4" ht="15.75">
      <c r="A4" s="5">
        <v>44692</v>
      </c>
      <c r="B4" s="1" t="s">
        <v>79</v>
      </c>
      <c r="C4" s="1">
        <v>209.53</v>
      </c>
      <c r="D4" s="2">
        <f t="shared" ref="D4:D17" si="0">D3+C4</f>
        <v>1709.53</v>
      </c>
    </row>
    <row r="5" spans="1:4" ht="15.75">
      <c r="A5" s="5"/>
      <c r="B5" s="1" t="s">
        <v>80</v>
      </c>
      <c r="C5" s="1">
        <v>-230.48</v>
      </c>
      <c r="D5" s="2">
        <f t="shared" si="0"/>
        <v>1479.05</v>
      </c>
    </row>
    <row r="6" spans="1:4" ht="15.75">
      <c r="A6" s="5">
        <v>44723</v>
      </c>
      <c r="B6" s="1" t="s">
        <v>81</v>
      </c>
      <c r="C6" s="1">
        <v>236.48</v>
      </c>
      <c r="D6" s="2">
        <f t="shared" si="0"/>
        <v>1715.53</v>
      </c>
    </row>
    <row r="7" spans="1:4" ht="15.75">
      <c r="A7" s="5"/>
      <c r="B7" s="1" t="s">
        <v>82</v>
      </c>
      <c r="C7" s="1">
        <v>-445.63</v>
      </c>
      <c r="D7" s="2">
        <f t="shared" si="0"/>
        <v>1269.9000000000001</v>
      </c>
    </row>
    <row r="8" spans="1:4" ht="15.75">
      <c r="A8" s="5">
        <v>44753</v>
      </c>
      <c r="B8" s="1" t="s">
        <v>83</v>
      </c>
      <c r="C8" s="1">
        <v>443.01</v>
      </c>
      <c r="D8" s="2">
        <f t="shared" si="0"/>
        <v>1712.91</v>
      </c>
    </row>
    <row r="9" spans="1:4" ht="15.75">
      <c r="A9" s="5"/>
      <c r="B9" s="1" t="s">
        <v>84</v>
      </c>
      <c r="C9" s="1">
        <v>-465.16</v>
      </c>
      <c r="D9" s="2">
        <f t="shared" si="0"/>
        <v>1247.75</v>
      </c>
    </row>
    <row r="10" spans="1:4" ht="15.75">
      <c r="A10" s="5">
        <v>44784</v>
      </c>
      <c r="B10" s="1" t="s">
        <v>85</v>
      </c>
      <c r="C10" s="2">
        <v>465.05</v>
      </c>
      <c r="D10" s="2">
        <f t="shared" si="0"/>
        <v>1712.8</v>
      </c>
    </row>
    <row r="11" spans="1:4" ht="15.75">
      <c r="A11" s="5"/>
      <c r="B11" s="1" t="s">
        <v>86</v>
      </c>
      <c r="C11" s="2">
        <v>-488.3</v>
      </c>
      <c r="D11" s="2">
        <f t="shared" si="0"/>
        <v>1224.5</v>
      </c>
    </row>
    <row r="12" spans="1:4" ht="15.75">
      <c r="A12" s="5">
        <v>44815</v>
      </c>
      <c r="B12" s="1" t="s">
        <v>87</v>
      </c>
      <c r="C12" s="2">
        <v>842.85</v>
      </c>
      <c r="D12" s="2">
        <f t="shared" si="0"/>
        <v>2067.35</v>
      </c>
    </row>
    <row r="13" spans="1:4" ht="15.75">
      <c r="A13" s="5"/>
      <c r="B13" s="1" t="s">
        <v>88</v>
      </c>
      <c r="C13" s="2">
        <v>-904.99</v>
      </c>
      <c r="D13" s="2">
        <f t="shared" si="0"/>
        <v>1162.3599999999999</v>
      </c>
    </row>
    <row r="14" spans="1:4" ht="15.75">
      <c r="A14" s="5">
        <v>44845</v>
      </c>
      <c r="B14" s="1" t="s">
        <v>89</v>
      </c>
      <c r="C14" s="2">
        <v>787.33</v>
      </c>
      <c r="D14" s="2">
        <f t="shared" si="0"/>
        <v>1949.69</v>
      </c>
    </row>
    <row r="15" spans="1:4" ht="15.75">
      <c r="A15" s="5"/>
      <c r="B15" s="1" t="s">
        <v>90</v>
      </c>
      <c r="C15" s="2">
        <v>-846.7</v>
      </c>
      <c r="D15" s="2">
        <f t="shared" si="0"/>
        <v>1102.99</v>
      </c>
    </row>
    <row r="16" spans="1:4" ht="15.75">
      <c r="A16" s="5">
        <v>44876</v>
      </c>
      <c r="B16" s="1" t="s">
        <v>91</v>
      </c>
      <c r="C16" s="1"/>
      <c r="D16" s="2">
        <f t="shared" si="0"/>
        <v>1102.99</v>
      </c>
    </row>
    <row r="17" spans="2:4" ht="15.75">
      <c r="B17" s="1" t="s">
        <v>92</v>
      </c>
      <c r="C17" s="2"/>
      <c r="D17" s="2">
        <f t="shared" si="0"/>
        <v>1102.99</v>
      </c>
    </row>
  </sheetData>
  <pageMargins left="0" right="0" top="0.39370078740157483" bottom="0.39370078740157483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727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Sheet4</vt:lpstr>
      <vt:lpstr>Senet Borçlu Alacaklı Giriş</vt:lpstr>
      <vt:lpstr>Senet Taksit Giriş</vt:lpstr>
      <vt:lpstr>Senet Önizleme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Ali</cp:lastModifiedBy>
  <cp:revision>38</cp:revision>
  <dcterms:created xsi:type="dcterms:W3CDTF">2018-01-01T13:28:37Z</dcterms:created>
  <dcterms:modified xsi:type="dcterms:W3CDTF">2024-10-03T08:33:22Z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