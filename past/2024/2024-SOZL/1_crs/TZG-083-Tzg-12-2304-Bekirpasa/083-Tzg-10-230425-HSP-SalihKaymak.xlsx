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3-SOZL\1_crs\083-Tzg-12-2304-Bekirpasa\"/>
    </mc:Choice>
  </mc:AlternateContent>
  <xr:revisionPtr revIDLastSave="0" documentId="8_{78E4A9DA-471E-4F09-B318-CB588EEDD8D7}" xr6:coauthVersionLast="47" xr6:coauthVersionMax="47" xr10:uidLastSave="{00000000-0000-0000-0000-000000000000}"/>
  <bookViews>
    <workbookView xWindow="-120" yWindow="-120" windowWidth="29040" windowHeight="15720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7" i="4" l="1"/>
  <c r="D247" i="4"/>
  <c r="G246" i="4"/>
  <c r="D245" i="4"/>
  <c r="G244" i="4"/>
  <c r="G243" i="4"/>
  <c r="G242" i="4"/>
  <c r="G241" i="4"/>
  <c r="G239" i="4"/>
  <c r="D235" i="4"/>
  <c r="D234" i="4"/>
  <c r="D232" i="4"/>
  <c r="G226" i="4"/>
  <c r="D226" i="4"/>
  <c r="G225" i="4"/>
  <c r="D224" i="4"/>
  <c r="G210" i="4" s="1"/>
  <c r="G223" i="4"/>
  <c r="G222" i="4"/>
  <c r="G221" i="4"/>
  <c r="G220" i="4"/>
  <c r="G218" i="4"/>
  <c r="D214" i="4"/>
  <c r="J210" i="4" s="1"/>
  <c r="D213" i="4"/>
  <c r="I210" i="4" s="1"/>
  <c r="D211" i="4"/>
  <c r="G205" i="4"/>
  <c r="D205" i="4"/>
  <c r="O189" i="4" s="1"/>
  <c r="G204" i="4"/>
  <c r="D203" i="4"/>
  <c r="G202" i="4"/>
  <c r="G201" i="4"/>
  <c r="G200" i="4"/>
  <c r="G199" i="4"/>
  <c r="G197" i="4"/>
  <c r="D193" i="4"/>
  <c r="D192" i="4"/>
  <c r="D190" i="4"/>
  <c r="G185" i="4"/>
  <c r="D185" i="4"/>
  <c r="G184" i="4"/>
  <c r="D183" i="4"/>
  <c r="G182" i="4"/>
  <c r="G181" i="4"/>
  <c r="G180" i="4"/>
  <c r="G179" i="4"/>
  <c r="G177" i="4"/>
  <c r="D173" i="4"/>
  <c r="D172" i="4"/>
  <c r="D170" i="4"/>
  <c r="M169" i="4" s="1"/>
  <c r="G164" i="4"/>
  <c r="D164" i="4"/>
  <c r="G163" i="4"/>
  <c r="D162" i="4"/>
  <c r="G148" i="4" s="1"/>
  <c r="G161" i="4"/>
  <c r="G160" i="4"/>
  <c r="G159" i="4"/>
  <c r="G158" i="4"/>
  <c r="G156" i="4"/>
  <c r="D152" i="4"/>
  <c r="D151" i="4"/>
  <c r="D149" i="4"/>
  <c r="M148" i="4" s="1"/>
  <c r="G143" i="4"/>
  <c r="D143" i="4"/>
  <c r="G142" i="4"/>
  <c r="D141" i="4"/>
  <c r="G140" i="4"/>
  <c r="G139" i="4"/>
  <c r="G138" i="4"/>
  <c r="G137" i="4"/>
  <c r="G135" i="4"/>
  <c r="D131" i="4"/>
  <c r="J127" i="4" s="1"/>
  <c r="D130" i="4"/>
  <c r="I127" i="4" s="1"/>
  <c r="D128" i="4"/>
  <c r="M127" i="4" s="1"/>
  <c r="G123" i="4"/>
  <c r="D123" i="4"/>
  <c r="O107" i="4" s="1"/>
  <c r="G122" i="4"/>
  <c r="D121" i="4"/>
  <c r="G120" i="4"/>
  <c r="G119" i="4"/>
  <c r="G118" i="4"/>
  <c r="G117" i="4"/>
  <c r="G115" i="4"/>
  <c r="D111" i="4"/>
  <c r="D110" i="4"/>
  <c r="D108" i="4"/>
  <c r="G102" i="4"/>
  <c r="D102" i="4"/>
  <c r="O86" i="4" s="1"/>
  <c r="G101" i="4"/>
  <c r="D100" i="4"/>
  <c r="G86" i="4" s="1"/>
  <c r="G99" i="4"/>
  <c r="G98" i="4"/>
  <c r="G97" i="4"/>
  <c r="G96" i="4"/>
  <c r="G94" i="4"/>
  <c r="D90" i="4"/>
  <c r="J86" i="4" s="1"/>
  <c r="D89" i="4"/>
  <c r="I86" i="4" s="1"/>
  <c r="D87" i="4"/>
  <c r="E85" i="4" s="1"/>
  <c r="G81" i="4"/>
  <c r="D81" i="4"/>
  <c r="G80" i="4"/>
  <c r="D79" i="4"/>
  <c r="G78" i="4"/>
  <c r="G77" i="4"/>
  <c r="G76" i="4"/>
  <c r="G75" i="4"/>
  <c r="G73" i="4"/>
  <c r="D69" i="4"/>
  <c r="J65" i="4" s="1"/>
  <c r="D68" i="4"/>
  <c r="D66" i="4"/>
  <c r="E64" i="4" s="1"/>
  <c r="G61" i="4"/>
  <c r="D61" i="4"/>
  <c r="G60" i="4"/>
  <c r="D59" i="4"/>
  <c r="G58" i="4"/>
  <c r="G57" i="4"/>
  <c r="G56" i="4"/>
  <c r="G55" i="4"/>
  <c r="G53" i="4"/>
  <c r="D49" i="4"/>
  <c r="J45" i="4" s="1"/>
  <c r="D48" i="4"/>
  <c r="I45" i="4" s="1"/>
  <c r="D46" i="4"/>
  <c r="G40" i="4"/>
  <c r="D40" i="4"/>
  <c r="G39" i="4"/>
  <c r="D38" i="4"/>
  <c r="G37" i="4"/>
  <c r="G36" i="4"/>
  <c r="G35" i="4"/>
  <c r="G34" i="4"/>
  <c r="G32" i="4"/>
  <c r="D28" i="4"/>
  <c r="J24" i="4" s="1"/>
  <c r="D27" i="4"/>
  <c r="I24" i="4" s="1"/>
  <c r="D25" i="4"/>
  <c r="E23" i="4" s="1"/>
  <c r="G19" i="4"/>
  <c r="D19" i="4"/>
  <c r="O3" i="4" s="1"/>
  <c r="G18" i="4"/>
  <c r="D17" i="4"/>
  <c r="G16" i="4"/>
  <c r="G15" i="4"/>
  <c r="G14" i="4"/>
  <c r="G13" i="4"/>
  <c r="G11" i="4"/>
  <c r="D9" i="4"/>
  <c r="D7" i="4"/>
  <c r="D6" i="4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D237" i="4"/>
  <c r="G238" i="4" s="1"/>
  <c r="O231" i="4"/>
  <c r="M231" i="4"/>
  <c r="J231" i="4"/>
  <c r="I231" i="4"/>
  <c r="G231" i="4"/>
  <c r="D216" i="4"/>
  <c r="G217" i="4" s="1"/>
  <c r="O210" i="4"/>
  <c r="M210" i="4"/>
  <c r="E209" i="4"/>
  <c r="D195" i="4"/>
  <c r="G196" i="4" s="1"/>
  <c r="M189" i="4"/>
  <c r="J189" i="4"/>
  <c r="I189" i="4"/>
  <c r="G189" i="4"/>
  <c r="E188" i="4"/>
  <c r="D175" i="4"/>
  <c r="G176" i="4" s="1"/>
  <c r="O169" i="4"/>
  <c r="J169" i="4"/>
  <c r="I169" i="4"/>
  <c r="G169" i="4"/>
  <c r="F171" i="4" s="1"/>
  <c r="D154" i="4"/>
  <c r="G155" i="4" s="1"/>
  <c r="O148" i="4"/>
  <c r="J148" i="4"/>
  <c r="I148" i="4"/>
  <c r="E147" i="4"/>
  <c r="D133" i="4"/>
  <c r="G134" i="4" s="1"/>
  <c r="O127" i="4"/>
  <c r="G127" i="4"/>
  <c r="E126" i="4"/>
  <c r="D113" i="4"/>
  <c r="G114" i="4" s="1"/>
  <c r="M107" i="4"/>
  <c r="J107" i="4"/>
  <c r="I107" i="4"/>
  <c r="G107" i="4"/>
  <c r="D92" i="4"/>
  <c r="G93" i="4" s="1"/>
  <c r="D71" i="4"/>
  <c r="G72" i="4" s="1"/>
  <c r="O65" i="4"/>
  <c r="I65" i="4"/>
  <c r="G65" i="4"/>
  <c r="D51" i="4"/>
  <c r="G52" i="4" s="1"/>
  <c r="O45" i="4"/>
  <c r="M45" i="4"/>
  <c r="G45" i="4"/>
  <c r="F47" i="4" s="1"/>
  <c r="D30" i="4"/>
  <c r="G31" i="4" s="1"/>
  <c r="O24" i="4"/>
  <c r="G24" i="4"/>
  <c r="G10" i="4"/>
  <c r="M3" i="4"/>
  <c r="J3" i="4"/>
  <c r="I3" i="4"/>
  <c r="G3" i="4"/>
  <c r="F5" i="4" s="1"/>
  <c r="E2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F4" i="3"/>
  <c r="F26" i="4" s="1"/>
  <c r="F3" i="3"/>
  <c r="E142" i="1"/>
  <c r="F142" i="1" s="1"/>
  <c r="E141" i="1"/>
  <c r="F141" i="1" s="1"/>
  <c r="G24" i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E22" i="1"/>
  <c r="F22" i="1" s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F67" i="4" l="1"/>
  <c r="F88" i="4"/>
  <c r="E126" i="1"/>
  <c r="F126" i="1"/>
  <c r="E127" i="1"/>
  <c r="F127" i="1" s="1"/>
  <c r="F233" i="4"/>
  <c r="F150" i="4"/>
  <c r="F191" i="4"/>
  <c r="F212" i="4"/>
  <c r="F109" i="4"/>
  <c r="F129" i="4"/>
  <c r="M65" i="4"/>
  <c r="M24" i="4"/>
  <c r="M86" i="4"/>
  <c r="E44" i="4"/>
  <c r="E106" i="4"/>
  <c r="E168" i="4"/>
  <c r="E230" i="4"/>
  <c r="E112" i="1" l="1"/>
  <c r="F112" i="1"/>
  <c r="F111" i="1"/>
  <c r="E111" i="1"/>
  <c r="E96" i="1" l="1"/>
  <c r="F96" i="1" s="1"/>
  <c r="E97" i="1"/>
  <c r="F97" i="1" s="1"/>
  <c r="E82" i="1" l="1"/>
  <c r="F82" i="1" s="1"/>
  <c r="E81" i="1"/>
  <c r="F81" i="1"/>
  <c r="E67" i="1" l="1"/>
  <c r="F67" i="1" s="1"/>
  <c r="E66" i="1"/>
  <c r="F66" i="1"/>
  <c r="E52" i="1" l="1"/>
  <c r="F52" i="1" s="1"/>
  <c r="E51" i="1"/>
  <c r="F51" i="1" s="1"/>
  <c r="E36" i="1" l="1"/>
  <c r="F36" i="1" s="1"/>
  <c r="E37" i="1"/>
  <c r="F37" i="1"/>
  <c r="E21" i="1" l="1"/>
  <c r="F21" i="1"/>
</calcChain>
</file>

<file path=xl/sharedStrings.xml><?xml version="1.0" encoding="utf-8"?>
<sst xmlns="http://schemas.openxmlformats.org/spreadsheetml/2006/main" count="396" uniqueCount="81">
  <si>
    <t>SALİH KAYMAK</t>
  </si>
  <si>
    <t>KİRA HESAP ÖZETİ</t>
  </si>
  <si>
    <t>Kira Bedeli</t>
  </si>
  <si>
    <t>Ödeme</t>
  </si>
  <si>
    <t>Bakiye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</si>
  <si>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</si>
  <si>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</si>
  <si>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</si>
  <si>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</si>
  <si>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</si>
  <si>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</si>
  <si>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</si>
  <si>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</si>
  <si>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</si>
  <si>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Ocak</t>
  </si>
  <si>
    <t>Şubat</t>
  </si>
  <si>
    <t>Mart</t>
  </si>
  <si>
    <t>Kira Bedeli + Mart Tüfe Ort 12</t>
  </si>
  <si>
    <t>Kira Bedeli + Mart Tüfe</t>
  </si>
  <si>
    <t>Alacaklı Adı Soyadı / Unvanı</t>
  </si>
  <si>
    <t>HACI MURAT BALCI</t>
  </si>
  <si>
    <t>İl</t>
  </si>
  <si>
    <t>TOKAT</t>
  </si>
  <si>
    <t>BORÇLU</t>
  </si>
  <si>
    <t>Kişilik</t>
  </si>
  <si>
    <t>Tüzel Kişi</t>
  </si>
  <si>
    <t>Adı Soyadı / Unvanı</t>
  </si>
  <si>
    <t>Bursa Fabrika Satış Mağazası – Adem Duman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</si>
  <si>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</si>
  <si>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</si>
  <si>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</si>
  <si>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</si>
  <si>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</si>
  <si>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</si>
  <si>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</si>
  <si>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</si>
  <si>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</si>
  <si>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</si>
  <si>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</si>
  <si>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</si>
  <si>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</si>
  <si>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</si>
  <si>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</si>
  <si>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</si>
  <si>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</si>
  <si>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</si>
  <si>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</si>
  <si>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</si>
  <si>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</si>
  <si>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</si>
  <si>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</si>
  <si>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</si>
  <si>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</si>
  <si>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</si>
  <si>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</si>
  <si>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</si>
  <si>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12.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</si>
  <si>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</si>
  <si>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</si>
  <si>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</si>
  <si>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</si>
  <si>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</si>
  <si>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</si>
  <si>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</si>
  <si>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</si>
  <si>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</si>
  <si>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</si>
  <si>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</si>
  <si>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</si>
  <si>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</si>
  <si>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</si>
  <si>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Nakit  3000 TL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</si>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</sst>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&quot;.&quot;mm&quot;.&quot;yyyy"/>
    <numFmt numFmtId="165" formatCode="#,##0&quot; &quot;;&quot;-&quot;#,##0&quot; &quot;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21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80">
    <xf numFmtId="0" fontId="0" fillId="0" borderId="0" xfId="0"/>
    <xf numFmtId="4" fontId="0" fillId="0" borderId="0" xfId="0" applyNumberFormat="1"/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5" fillId="0" borderId="0" xfId="0" applyNumberFormat="1" applyFont="1"/>
    <xf numFmtId="0" fontId="16" fillId="0" borderId="2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6" fillId="0" borderId="0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0" xfId="0" applyFont="1" applyAlignment="1">
      <alignment horizontal="justify"/>
    </xf>
    <xf numFmtId="0" fontId="17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hidden="1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6" fillId="0" borderId="0" xfId="0" applyFont="1" applyBorder="1" applyAlignment="1" applyProtection="1">
      <alignment horizontal="right" vertical="center"/>
      <protection hidden="1"/>
    </xf>
    <xf numFmtId="164" fontId="17" fillId="0" borderId="0" xfId="0" applyNumberFormat="1" applyFont="1" applyBorder="1" applyAlignment="1" applyProtection="1">
      <alignment horizontal="center" vertical="center"/>
      <protection locked="0"/>
    </xf>
    <xf numFmtId="4" fontId="17" fillId="0" borderId="0" xfId="8" applyNumberFormat="1" applyFont="1" applyBorder="1" applyAlignment="1" applyProtection="1">
      <alignment horizontal="right" vertical="center"/>
      <protection locked="0"/>
    </xf>
    <xf numFmtId="0" fontId="17" fillId="0" borderId="0" xfId="0" applyFont="1" applyBorder="1" applyAlignment="1" applyProtection="1">
      <alignment horizontal="right" vertical="center"/>
      <protection hidden="1"/>
    </xf>
    <xf numFmtId="4" fontId="17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8" fillId="0" borderId="8" xfId="0" applyFont="1" applyBorder="1" applyAlignment="1">
      <alignment horizontal="center"/>
    </xf>
    <xf numFmtId="164" fontId="18" fillId="0" borderId="0" xfId="0" applyNumberFormat="1" applyFont="1" applyBorder="1" applyAlignment="1" applyProtection="1">
      <alignment horizontal="center"/>
      <protection hidden="1"/>
    </xf>
    <xf numFmtId="0" fontId="18" fillId="0" borderId="0" xfId="0" applyFont="1" applyBorder="1" applyProtection="1">
      <protection hidden="1"/>
    </xf>
    <xf numFmtId="165" fontId="18" fillId="0" borderId="0" xfId="7" applyNumberFormat="1" applyFont="1" applyBorder="1" applyAlignment="1" applyProtection="1">
      <alignment horizontal="center" vertical="center"/>
      <protection hidden="1"/>
    </xf>
    <xf numFmtId="1" fontId="18" fillId="0" borderId="0" xfId="0" applyNumberFormat="1" applyFont="1" applyBorder="1" applyAlignment="1" applyProtection="1">
      <alignment horizontal="center"/>
      <protection hidden="1"/>
    </xf>
    <xf numFmtId="0" fontId="18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8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0" fontId="19" fillId="0" borderId="0" xfId="0" applyFont="1" applyFill="1" applyBorder="1" applyAlignment="1" applyProtection="1">
      <alignment horizontal="center" vertical="center" textRotation="90" wrapText="1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8" fillId="0" borderId="4" xfId="0" applyFont="1" applyFill="1" applyBorder="1" applyAlignment="1" applyProtection="1">
      <alignment horizontal="left" readingOrder="1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18" fillId="0" borderId="4" xfId="0" applyFont="1" applyFill="1" applyBorder="1" applyAlignment="1" applyProtection="1">
      <alignment horizontal="left"/>
      <protection hidden="1"/>
    </xf>
    <xf numFmtId="164" fontId="0" fillId="0" borderId="0" xfId="0" applyNumberFormat="1"/>
    <xf numFmtId="164" fontId="0" fillId="0" borderId="12" xfId="0" applyNumberFormat="1" applyBorder="1"/>
    <xf numFmtId="0" fontId="0" fillId="0" borderId="12" xfId="0" applyBorder="1"/>
  </cellXfs>
  <cellStyles count="21">
    <cellStyle name="Accent" xfId="1"/>
    <cellStyle name="Accent 1" xfId="2"/>
    <cellStyle name="Accent 2" xfId="3"/>
    <cellStyle name="Accent 3" xfId="4"/>
    <cellStyle name="Bad" xfId="5"/>
    <cellStyle name="Error" xfId="6"/>
    <cellStyle name="Excel Built-in Comma" xfId="7"/>
    <cellStyle name="Excel Built-in Currency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eutral" xfId="15"/>
    <cellStyle name="Normal" xfId="0" builtinId="0" customBuiltin="1"/>
    <cellStyle name="Note" xfId="16"/>
    <cellStyle name="Result" xfId="17"/>
    <cellStyle name="Status" xfId="18"/>
    <cellStyle name="Text" xfId="19"/>
    <cellStyle name="Warning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0"/>
  <sheetViews>
    <sheetView tabSelected="1" zoomScale="160" zoomScaleNormal="160" workbookViewId="0">
      <selection activeCell="C15" sqref="C15"/>
    </sheetView>
  </sheetViews>
  <sheetFormatPr defaultRowHeight="13.9" x14ac:dyDescent="0.25"/>
  <cols>
    <col min="1" max="1" width="6.42578125" customWidth="1"/>
    <col min="2" max="2" width="11.7109375" customWidth="1"/>
    <col min="3" max="3" width="30.7109375" customWidth="1"/>
    <col min="4" max="4" width="5.7109375" customWidth="1"/>
    <col min="5" max="5" width="13.42578125" customWidth="1"/>
    <col min="6" max="6" width="11.140625" style="1" customWidth="1"/>
    <col min="7" max="64" width="15.42578125" customWidth="1"/>
  </cols>
  <sheetData>
    <row r="2" spans="2:7" ht="15" x14ac:dyDescent="0.25">
      <c r="B2" s="2" t="s">
        <v>0</v>
      </c>
    </row>
    <row r="3" spans="2:7" ht="15" x14ac:dyDescent="0.25">
      <c r="B3" s="3"/>
      <c r="C3" s="2"/>
    </row>
    <row r="4" spans="2:7" ht="15" x14ac:dyDescent="0.25">
      <c r="C4" s="2" t="s">
        <v>1</v>
      </c>
    </row>
    <row r="5" spans="2:7" ht="15" x14ac:dyDescent="0.25">
      <c r="E5" s="4" t="s">
        <v>2</v>
      </c>
      <c r="F5" s="5" t="s">
        <v>3</v>
      </c>
      <c r="G5" s="4" t="s">
        <v>4</v>
      </c>
    </row>
    <row r="6" spans="2:7" ht="15" x14ac:dyDescent="0.25">
      <c r="E6" s="4"/>
      <c r="F6" s="5"/>
      <c r="G6" s="4"/>
    </row>
    <row r="7" spans="2:7" ht="15" x14ac:dyDescent="0.25">
      <c r="B7" s="3"/>
      <c r="C7" s="3"/>
      <c r="D7" s="3"/>
      <c r="E7" s="6"/>
      <c r="F7" s="3"/>
    </row>
    <row r="8" spans="2:7" ht="15" x14ac:dyDescent="0.25">
      <c r="B8" s="3"/>
      <c r="C8" s="3"/>
      <c r="D8" s="3"/>
      <c r="E8" s="6"/>
      <c r="F8" s="6"/>
    </row>
    <row r="9" spans="2:7" ht="15" x14ac:dyDescent="0.25">
      <c r="B9">
        <v>2023</v>
      </c>
      <c r="C9" t="s">
        <v>5</v>
      </c>
      <c r="E9">
        <v>2800</v>
      </c>
      <c r="F9" s="1">
        <v>2800</v>
      </c>
      <c r="G9">
        <f t="shared" ref="G9:G20" si="0">G8+E9-F9</f>
        <v>0</v>
      </c>
    </row>
    <row r="10" spans="2:7" ht="15" x14ac:dyDescent="0.25">
      <c r="C10" t="s">
        <v>6</v>
      </c>
      <c r="E10">
        <v>2800</v>
      </c>
      <c r="F10" s="1">
        <v>2800</v>
      </c>
      <c r="G10">
        <f t="shared" si="0"/>
        <v>0</v>
      </c>
    </row>
    <row r="11" spans="2:7" ht="15" x14ac:dyDescent="0.25">
      <c r="C11" t="s">
        <v>7</v>
      </c>
      <c r="E11">
        <v>2800</v>
      </c>
      <c r="F11" s="1">
        <v>2800</v>
      </c>
      <c r="G11">
        <f t="shared" si="0"/>
        <v>0</v>
      </c>
    </row>
    <row r="12" spans="2:7" ht="15" x14ac:dyDescent="0.25">
      <c r="C12" t="s">
        <v>8</v>
      </c>
      <c r="E12">
        <v>2800</v>
      </c>
      <c r="F12" s="1">
        <v>2800</v>
      </c>
      <c r="G12">
        <f t="shared" si="0"/>
        <v>0</v>
      </c>
    </row>
    <row r="13" spans="2:7" ht="15" x14ac:dyDescent="0.25">
      <c r="C13" t="s">
        <v>9</v>
      </c>
      <c r="E13">
        <v>2800</v>
      </c>
      <c r="F13" s="1">
        <v>2800</v>
      </c>
      <c r="G13">
        <f t="shared" si="0"/>
        <v>0</v>
      </c>
    </row>
    <row r="14" spans="2:7" ht="15" x14ac:dyDescent="0.25">
      <c r="C14" t="s">
        <v>10</v>
      </c>
      <c r="E14">
        <v>2800</v>
      </c>
      <c r="F14" s="1">
        <v>2800</v>
      </c>
      <c r="G14">
        <f t="shared" si="0"/>
        <v>0</v>
      </c>
    </row>
    <row r="15" spans="2:7" ht="15" x14ac:dyDescent="0.25">
      <c r="C15" t="s">
        <v>11</v>
      </c>
      <c r="E15">
        <v>2800</v>
      </c>
      <c r="F15" s="1">
        <v>2800</v>
      </c>
      <c r="G15">
        <f t="shared" si="0"/>
        <v>0</v>
      </c>
    </row>
    <row r="16" spans="2:7" ht="15" x14ac:dyDescent="0.25">
      <c r="C16" t="s">
        <v>12</v>
      </c>
      <c r="E16">
        <v>2800</v>
      </c>
      <c r="F16" s="1">
        <v>2800</v>
      </c>
      <c r="G16">
        <f t="shared" si="0"/>
        <v>0</v>
      </c>
    </row>
    <row r="17" spans="2:7" ht="15" x14ac:dyDescent="0.25">
      <c r="C17" t="s">
        <v>13</v>
      </c>
      <c r="E17">
        <v>2800</v>
      </c>
      <c r="F17" s="1">
        <v>2800</v>
      </c>
      <c r="G17">
        <f t="shared" si="0"/>
        <v>0</v>
      </c>
    </row>
    <row r="18" spans="2:7" ht="15" x14ac:dyDescent="0.25">
      <c r="C18" t="s">
        <v>14</v>
      </c>
      <c r="E18">
        <v>2800</v>
      </c>
      <c r="F18" s="1">
        <v>2800</v>
      </c>
      <c r="G18">
        <f t="shared" si="0"/>
        <v>0</v>
      </c>
    </row>
    <row r="19" spans="2:7" ht="15" x14ac:dyDescent="0.25">
      <c r="C19" t="s">
        <v>15</v>
      </c>
      <c r="E19">
        <v>2800</v>
      </c>
      <c r="F19" s="1">
        <v>2800</v>
      </c>
      <c r="G19">
        <f t="shared" si="0"/>
        <v>0</v>
      </c>
    </row>
    <row r="20" spans="2:7" ht="15" x14ac:dyDescent="0.25">
      <c r="C20" t="s">
        <v>16</v>
      </c>
      <c r="E20">
        <v>2800</v>
      </c>
      <c r="F20" s="1">
        <v>2800</v>
      </c>
      <c r="G20">
        <f t="shared" si="0"/>
        <v>0</v>
      </c>
    </row>
    <row r="21" spans="2:7" ht="15" x14ac:dyDescent="0.25">
      <c r="B21" s="3">
        <v>2023</v>
      </c>
      <c r="C21" s="3" t="s">
        <v>17</v>
      </c>
      <c r="D21" s="3">
        <v>55</v>
      </c>
      <c r="E21" s="6">
        <f>F37*D21/100</f>
        <v>782.44794647246965</v>
      </c>
      <c r="F21" s="6">
        <f>F37+E21</f>
        <v>2205.0805764224142</v>
      </c>
    </row>
    <row r="22" spans="2:7" ht="15" x14ac:dyDescent="0.25">
      <c r="B22" s="3">
        <v>2023</v>
      </c>
      <c r="C22" s="3" t="s">
        <v>18</v>
      </c>
      <c r="D22" s="3">
        <v>70</v>
      </c>
      <c r="E22" s="6">
        <f>F39*D22/100</f>
        <v>700</v>
      </c>
      <c r="F22" s="6">
        <f>F39+E22</f>
        <v>1700</v>
      </c>
    </row>
    <row r="23" spans="2:7" ht="15" x14ac:dyDescent="0.25">
      <c r="B23" s="3"/>
      <c r="C23" s="3"/>
      <c r="D23" s="3"/>
      <c r="E23" s="6"/>
      <c r="F23" s="6"/>
    </row>
    <row r="24" spans="2:7" ht="15" x14ac:dyDescent="0.25">
      <c r="B24">
        <v>2022</v>
      </c>
      <c r="C24" t="s">
        <v>5</v>
      </c>
      <c r="E24">
        <v>1650</v>
      </c>
      <c r="F24">
        <v>1650</v>
      </c>
      <c r="G24">
        <f>G21+E24-F24</f>
        <v>0</v>
      </c>
    </row>
    <row r="25" spans="2:7" ht="15" x14ac:dyDescent="0.25">
      <c r="C25" t="s">
        <v>6</v>
      </c>
      <c r="E25">
        <v>1650</v>
      </c>
      <c r="F25">
        <v>1650</v>
      </c>
      <c r="G25">
        <f t="shared" ref="G25:G35" si="1">G24+E25-F25</f>
        <v>0</v>
      </c>
    </row>
    <row r="26" spans="2:7" ht="15" x14ac:dyDescent="0.25">
      <c r="C26" t="s">
        <v>7</v>
      </c>
      <c r="E26">
        <v>1650</v>
      </c>
      <c r="F26">
        <v>1650</v>
      </c>
      <c r="G26">
        <f t="shared" si="1"/>
        <v>0</v>
      </c>
    </row>
    <row r="27" spans="2:7" ht="15" x14ac:dyDescent="0.25">
      <c r="C27" t="s">
        <v>8</v>
      </c>
      <c r="E27">
        <v>1650</v>
      </c>
      <c r="F27">
        <v>1650</v>
      </c>
      <c r="G27">
        <f t="shared" si="1"/>
        <v>0</v>
      </c>
    </row>
    <row r="28" spans="2:7" ht="15" x14ac:dyDescent="0.25">
      <c r="C28" t="s">
        <v>9</v>
      </c>
      <c r="E28">
        <v>1650</v>
      </c>
      <c r="F28">
        <v>1650</v>
      </c>
      <c r="G28">
        <f t="shared" si="1"/>
        <v>0</v>
      </c>
    </row>
    <row r="29" spans="2:7" ht="15" x14ac:dyDescent="0.25">
      <c r="C29" t="s">
        <v>10</v>
      </c>
      <c r="E29">
        <v>1650</v>
      </c>
      <c r="F29">
        <v>1650</v>
      </c>
      <c r="G29">
        <f t="shared" si="1"/>
        <v>0</v>
      </c>
    </row>
    <row r="30" spans="2:7" ht="15" x14ac:dyDescent="0.25">
      <c r="C30" t="s">
        <v>11</v>
      </c>
      <c r="E30">
        <v>1650</v>
      </c>
      <c r="F30">
        <v>1650</v>
      </c>
      <c r="G30">
        <f t="shared" si="1"/>
        <v>0</v>
      </c>
    </row>
    <row r="31" spans="2:7" ht="15" x14ac:dyDescent="0.25">
      <c r="C31" t="s">
        <v>12</v>
      </c>
      <c r="E31">
        <v>1650</v>
      </c>
      <c r="F31">
        <v>1650</v>
      </c>
      <c r="G31">
        <f t="shared" si="1"/>
        <v>0</v>
      </c>
    </row>
    <row r="32" spans="2:7" ht="15" x14ac:dyDescent="0.25">
      <c r="C32" t="s">
        <v>13</v>
      </c>
      <c r="E32">
        <v>1650</v>
      </c>
      <c r="F32">
        <v>1650</v>
      </c>
      <c r="G32">
        <f t="shared" si="1"/>
        <v>0</v>
      </c>
    </row>
    <row r="33" spans="2:7" ht="15" x14ac:dyDescent="0.25">
      <c r="C33" t="s">
        <v>14</v>
      </c>
      <c r="E33">
        <v>1650</v>
      </c>
      <c r="F33">
        <v>1650</v>
      </c>
      <c r="G33">
        <f t="shared" si="1"/>
        <v>0</v>
      </c>
    </row>
    <row r="34" spans="2:7" ht="15" x14ac:dyDescent="0.25">
      <c r="C34" t="s">
        <v>15</v>
      </c>
      <c r="E34">
        <v>1650</v>
      </c>
      <c r="F34">
        <v>1650</v>
      </c>
      <c r="G34">
        <f t="shared" si="1"/>
        <v>0</v>
      </c>
    </row>
    <row r="35" spans="2:7" ht="15" x14ac:dyDescent="0.25">
      <c r="C35" t="s">
        <v>16</v>
      </c>
      <c r="E35">
        <v>1650</v>
      </c>
      <c r="F35">
        <v>1650</v>
      </c>
      <c r="G35">
        <f t="shared" si="1"/>
        <v>0</v>
      </c>
    </row>
    <row r="36" spans="2:7" ht="15" x14ac:dyDescent="0.25">
      <c r="B36" s="3">
        <v>2022</v>
      </c>
      <c r="C36" s="3" t="s">
        <v>17</v>
      </c>
      <c r="D36" s="3">
        <v>29.88</v>
      </c>
      <c r="E36" s="6">
        <f>F51*D36/100</f>
        <v>256.82428709400602</v>
      </c>
      <c r="F36" s="6">
        <f>F51+E36</f>
        <v>1116.3433202064759</v>
      </c>
    </row>
    <row r="37" spans="2:7" ht="15" x14ac:dyDescent="0.25">
      <c r="B37" s="3">
        <v>2022</v>
      </c>
      <c r="C37" s="3" t="s">
        <v>18</v>
      </c>
      <c r="D37" s="3">
        <v>61.14</v>
      </c>
      <c r="E37" s="6">
        <f>F52*D37/100</f>
        <v>539.77757847300245</v>
      </c>
      <c r="F37" s="6">
        <f>F52+E37</f>
        <v>1422.6326299499447</v>
      </c>
    </row>
    <row r="38" spans="2:7" ht="15" x14ac:dyDescent="0.25">
      <c r="B38" s="3"/>
      <c r="C38" s="3"/>
      <c r="D38" s="3"/>
      <c r="E38" s="6"/>
      <c r="F38" s="6"/>
    </row>
    <row r="39" spans="2:7" ht="15" x14ac:dyDescent="0.25">
      <c r="B39">
        <v>2021</v>
      </c>
      <c r="C39" t="s">
        <v>5</v>
      </c>
      <c r="E39">
        <v>1000</v>
      </c>
      <c r="F39">
        <v>1000</v>
      </c>
      <c r="G39">
        <f>G35+E39-F39</f>
        <v>0</v>
      </c>
    </row>
    <row r="40" spans="2:7" ht="15" x14ac:dyDescent="0.25">
      <c r="C40" t="s">
        <v>6</v>
      </c>
      <c r="E40">
        <v>1000</v>
      </c>
      <c r="F40">
        <v>1000</v>
      </c>
      <c r="G40">
        <f t="shared" ref="G40:G50" si="2">G39+E40-F40</f>
        <v>0</v>
      </c>
    </row>
    <row r="41" spans="2:7" ht="15" x14ac:dyDescent="0.25">
      <c r="C41" t="s">
        <v>7</v>
      </c>
      <c r="E41">
        <v>1000</v>
      </c>
      <c r="F41">
        <v>1000</v>
      </c>
      <c r="G41">
        <f t="shared" si="2"/>
        <v>0</v>
      </c>
    </row>
    <row r="42" spans="2:7" ht="15" x14ac:dyDescent="0.25">
      <c r="C42" t="s">
        <v>8</v>
      </c>
      <c r="E42">
        <v>1000</v>
      </c>
      <c r="F42">
        <v>1000</v>
      </c>
      <c r="G42">
        <f t="shared" si="2"/>
        <v>0</v>
      </c>
    </row>
    <row r="43" spans="2:7" ht="15" x14ac:dyDescent="0.25">
      <c r="C43" t="s">
        <v>9</v>
      </c>
      <c r="E43">
        <v>1000</v>
      </c>
      <c r="F43">
        <v>1000</v>
      </c>
      <c r="G43">
        <f t="shared" si="2"/>
        <v>0</v>
      </c>
    </row>
    <row r="44" spans="2:7" ht="15" x14ac:dyDescent="0.25">
      <c r="C44" t="s">
        <v>10</v>
      </c>
      <c r="E44">
        <v>1000</v>
      </c>
      <c r="F44">
        <v>1000</v>
      </c>
      <c r="G44">
        <f t="shared" si="2"/>
        <v>0</v>
      </c>
    </row>
    <row r="45" spans="2:7" ht="15" x14ac:dyDescent="0.25">
      <c r="C45" t="s">
        <v>11</v>
      </c>
      <c r="E45">
        <v>1000</v>
      </c>
      <c r="F45">
        <v>1000</v>
      </c>
      <c r="G45">
        <f t="shared" si="2"/>
        <v>0</v>
      </c>
    </row>
    <row r="46" spans="2:7" ht="15" x14ac:dyDescent="0.25">
      <c r="C46" t="s">
        <v>12</v>
      </c>
      <c r="E46">
        <v>1000</v>
      </c>
      <c r="F46">
        <v>1000</v>
      </c>
      <c r="G46">
        <f t="shared" si="2"/>
        <v>0</v>
      </c>
    </row>
    <row r="47" spans="2:7" ht="15" x14ac:dyDescent="0.25">
      <c r="C47" t="s">
        <v>13</v>
      </c>
      <c r="E47">
        <v>1000</v>
      </c>
      <c r="F47">
        <v>1000</v>
      </c>
      <c r="G47">
        <f t="shared" si="2"/>
        <v>0</v>
      </c>
    </row>
    <row r="48" spans="2:7" ht="15" x14ac:dyDescent="0.25">
      <c r="C48" t="s">
        <v>14</v>
      </c>
      <c r="E48">
        <v>1000</v>
      </c>
      <c r="F48">
        <v>1000</v>
      </c>
      <c r="G48">
        <f t="shared" si="2"/>
        <v>0</v>
      </c>
    </row>
    <row r="49" spans="2:7" ht="15" x14ac:dyDescent="0.25">
      <c r="C49" t="s">
        <v>15</v>
      </c>
      <c r="E49">
        <v>1000</v>
      </c>
      <c r="F49">
        <v>1000</v>
      </c>
      <c r="G49">
        <f t="shared" si="2"/>
        <v>0</v>
      </c>
    </row>
    <row r="50" spans="2:7" ht="15" x14ac:dyDescent="0.25">
      <c r="C50" t="s">
        <v>16</v>
      </c>
      <c r="E50">
        <v>1000</v>
      </c>
      <c r="F50">
        <v>1000</v>
      </c>
      <c r="G50">
        <f t="shared" si="2"/>
        <v>0</v>
      </c>
    </row>
    <row r="51" spans="2:7" ht="15" x14ac:dyDescent="0.25">
      <c r="B51" s="3">
        <v>2021</v>
      </c>
      <c r="C51" s="3" t="s">
        <v>17</v>
      </c>
      <c r="D51" s="3">
        <v>13.18</v>
      </c>
      <c r="E51" s="6">
        <f>F66*D51/100</f>
        <v>100.09242672223321</v>
      </c>
      <c r="F51" s="6">
        <f>F66+E51</f>
        <v>859.51903311246997</v>
      </c>
    </row>
    <row r="52" spans="2:7" ht="15" x14ac:dyDescent="0.25">
      <c r="B52" s="3">
        <v>2021</v>
      </c>
      <c r="C52" s="3" t="s">
        <v>18</v>
      </c>
      <c r="D52" s="3">
        <v>16.190000000000001</v>
      </c>
      <c r="E52" s="6">
        <f>F67*D52/100</f>
        <v>123.01767177391939</v>
      </c>
      <c r="F52" s="6">
        <f>F67+E52</f>
        <v>882.85505147694209</v>
      </c>
    </row>
    <row r="53" spans="2:7" ht="15" x14ac:dyDescent="0.25">
      <c r="B53" s="3"/>
      <c r="C53" s="3"/>
      <c r="D53" s="3"/>
      <c r="E53" s="6"/>
      <c r="F53" s="6"/>
    </row>
    <row r="54" spans="2:7" ht="15" x14ac:dyDescent="0.25">
      <c r="B54">
        <v>2020</v>
      </c>
      <c r="C54" t="s">
        <v>5</v>
      </c>
      <c r="E54">
        <v>900</v>
      </c>
      <c r="F54">
        <v>900</v>
      </c>
      <c r="G54">
        <f>G50+E54-F54</f>
        <v>0</v>
      </c>
    </row>
    <row r="55" spans="2:7" ht="15" x14ac:dyDescent="0.25">
      <c r="C55" t="s">
        <v>6</v>
      </c>
      <c r="E55">
        <v>900</v>
      </c>
      <c r="F55">
        <v>900</v>
      </c>
      <c r="G55">
        <f t="shared" ref="G55:G65" si="3">G54+E55-F55</f>
        <v>0</v>
      </c>
    </row>
    <row r="56" spans="2:7" ht="15" x14ac:dyDescent="0.25">
      <c r="C56" t="s">
        <v>7</v>
      </c>
      <c r="E56">
        <v>900</v>
      </c>
      <c r="F56">
        <v>900</v>
      </c>
      <c r="G56">
        <f t="shared" si="3"/>
        <v>0</v>
      </c>
    </row>
    <row r="57" spans="2:7" ht="15" x14ac:dyDescent="0.25">
      <c r="C57" t="s">
        <v>8</v>
      </c>
      <c r="E57">
        <v>900</v>
      </c>
      <c r="F57">
        <v>900</v>
      </c>
      <c r="G57">
        <f t="shared" si="3"/>
        <v>0</v>
      </c>
    </row>
    <row r="58" spans="2:7" ht="15" x14ac:dyDescent="0.25">
      <c r="C58" t="s">
        <v>9</v>
      </c>
      <c r="E58">
        <v>900</v>
      </c>
      <c r="F58">
        <v>900</v>
      </c>
      <c r="G58">
        <f t="shared" si="3"/>
        <v>0</v>
      </c>
    </row>
    <row r="59" spans="2:7" ht="15" x14ac:dyDescent="0.25">
      <c r="C59" t="s">
        <v>10</v>
      </c>
      <c r="E59">
        <v>900</v>
      </c>
      <c r="F59">
        <v>900</v>
      </c>
      <c r="G59">
        <f t="shared" si="3"/>
        <v>0</v>
      </c>
    </row>
    <row r="60" spans="2:7" ht="15" x14ac:dyDescent="0.25">
      <c r="C60" t="s">
        <v>11</v>
      </c>
      <c r="E60">
        <v>900</v>
      </c>
      <c r="F60">
        <v>900</v>
      </c>
      <c r="G60">
        <f t="shared" si="3"/>
        <v>0</v>
      </c>
    </row>
    <row r="61" spans="2:7" ht="15" x14ac:dyDescent="0.25">
      <c r="C61" t="s">
        <v>12</v>
      </c>
      <c r="E61">
        <v>900</v>
      </c>
      <c r="F61">
        <v>900</v>
      </c>
      <c r="G61">
        <f t="shared" si="3"/>
        <v>0</v>
      </c>
    </row>
    <row r="62" spans="2:7" ht="15" x14ac:dyDescent="0.25">
      <c r="C62" t="s">
        <v>13</v>
      </c>
      <c r="E62">
        <v>900</v>
      </c>
      <c r="F62">
        <v>900</v>
      </c>
      <c r="G62">
        <f t="shared" si="3"/>
        <v>0</v>
      </c>
    </row>
    <row r="63" spans="2:7" ht="15" x14ac:dyDescent="0.25">
      <c r="C63" t="s">
        <v>14</v>
      </c>
      <c r="E63">
        <v>900</v>
      </c>
      <c r="F63">
        <v>900</v>
      </c>
      <c r="G63">
        <f t="shared" si="3"/>
        <v>0</v>
      </c>
    </row>
    <row r="64" spans="2:7" ht="15" x14ac:dyDescent="0.25">
      <c r="C64" t="s">
        <v>15</v>
      </c>
      <c r="E64">
        <v>900</v>
      </c>
      <c r="F64">
        <v>900</v>
      </c>
      <c r="G64">
        <f t="shared" si="3"/>
        <v>0</v>
      </c>
    </row>
    <row r="65" spans="2:7" ht="15" x14ac:dyDescent="0.25">
      <c r="C65" t="s">
        <v>16</v>
      </c>
      <c r="E65">
        <v>900</v>
      </c>
      <c r="F65">
        <v>900</v>
      </c>
      <c r="G65">
        <f t="shared" si="3"/>
        <v>0</v>
      </c>
    </row>
    <row r="66" spans="2:7" ht="15" x14ac:dyDescent="0.25">
      <c r="B66" s="3">
        <v>2020</v>
      </c>
      <c r="C66" s="3" t="s">
        <v>17</v>
      </c>
      <c r="D66" s="3">
        <v>13.33</v>
      </c>
      <c r="E66" s="6">
        <f>F81*D66/100</f>
        <v>89.324597751538477</v>
      </c>
      <c r="F66" s="6">
        <f>F81+E66</f>
        <v>759.42660639023677</v>
      </c>
    </row>
    <row r="67" spans="2:7" ht="15" x14ac:dyDescent="0.25">
      <c r="B67" s="3">
        <v>2020</v>
      </c>
      <c r="C67" s="3" t="s">
        <v>18</v>
      </c>
      <c r="D67" s="3">
        <v>11.86</v>
      </c>
      <c r="E67" s="6">
        <f>F82*D67/100</f>
        <v>80.562053667779807</v>
      </c>
      <c r="F67" s="6">
        <f>F82+E67</f>
        <v>759.83737970302275</v>
      </c>
    </row>
    <row r="68" spans="2:7" ht="15" x14ac:dyDescent="0.25">
      <c r="B68" s="3"/>
      <c r="C68" s="3"/>
      <c r="D68" s="3"/>
      <c r="E68" s="6"/>
      <c r="F68" s="6"/>
    </row>
    <row r="69" spans="2:7" ht="15" x14ac:dyDescent="0.25">
      <c r="B69">
        <v>2019</v>
      </c>
      <c r="C69" t="s">
        <v>5</v>
      </c>
      <c r="E69">
        <v>800</v>
      </c>
      <c r="F69">
        <v>800</v>
      </c>
      <c r="G69">
        <f>G65+E69-F69</f>
        <v>0</v>
      </c>
    </row>
    <row r="70" spans="2:7" ht="15" x14ac:dyDescent="0.25">
      <c r="C70" t="s">
        <v>6</v>
      </c>
      <c r="E70">
        <v>800</v>
      </c>
      <c r="F70">
        <v>800</v>
      </c>
      <c r="G70">
        <f t="shared" ref="G70:G80" si="4">G69+E70-F70</f>
        <v>0</v>
      </c>
    </row>
    <row r="71" spans="2:7" ht="15" x14ac:dyDescent="0.25">
      <c r="C71" t="s">
        <v>7</v>
      </c>
      <c r="E71">
        <v>800</v>
      </c>
      <c r="F71">
        <v>800</v>
      </c>
      <c r="G71">
        <f t="shared" si="4"/>
        <v>0</v>
      </c>
    </row>
    <row r="72" spans="2:7" ht="15" x14ac:dyDescent="0.25">
      <c r="C72" t="s">
        <v>8</v>
      </c>
      <c r="E72">
        <v>800</v>
      </c>
      <c r="F72">
        <v>800</v>
      </c>
      <c r="G72">
        <f t="shared" si="4"/>
        <v>0</v>
      </c>
    </row>
    <row r="73" spans="2:7" ht="15" x14ac:dyDescent="0.25">
      <c r="C73" t="s">
        <v>9</v>
      </c>
      <c r="E73">
        <v>800</v>
      </c>
      <c r="F73">
        <v>800</v>
      </c>
      <c r="G73">
        <f t="shared" si="4"/>
        <v>0</v>
      </c>
    </row>
    <row r="74" spans="2:7" ht="15" x14ac:dyDescent="0.25">
      <c r="C74" t="s">
        <v>10</v>
      </c>
      <c r="E74">
        <v>800</v>
      </c>
      <c r="F74">
        <v>800</v>
      </c>
      <c r="G74">
        <f t="shared" si="4"/>
        <v>0</v>
      </c>
    </row>
    <row r="75" spans="2:7" ht="15" x14ac:dyDescent="0.25">
      <c r="C75" t="s">
        <v>11</v>
      </c>
      <c r="E75">
        <v>800</v>
      </c>
      <c r="F75">
        <v>800</v>
      </c>
      <c r="G75">
        <f t="shared" si="4"/>
        <v>0</v>
      </c>
    </row>
    <row r="76" spans="2:7" ht="15" x14ac:dyDescent="0.25">
      <c r="C76" t="s">
        <v>12</v>
      </c>
      <c r="E76">
        <v>800</v>
      </c>
      <c r="F76">
        <v>800</v>
      </c>
      <c r="G76">
        <f t="shared" si="4"/>
        <v>0</v>
      </c>
    </row>
    <row r="77" spans="2:7" ht="15" x14ac:dyDescent="0.25">
      <c r="C77" t="s">
        <v>13</v>
      </c>
      <c r="E77">
        <v>800</v>
      </c>
      <c r="F77">
        <v>800</v>
      </c>
      <c r="G77">
        <f t="shared" si="4"/>
        <v>0</v>
      </c>
    </row>
    <row r="78" spans="2:7" ht="15" x14ac:dyDescent="0.25">
      <c r="C78" t="s">
        <v>14</v>
      </c>
      <c r="E78">
        <v>800</v>
      </c>
      <c r="F78">
        <v>800</v>
      </c>
      <c r="G78">
        <f t="shared" si="4"/>
        <v>0</v>
      </c>
    </row>
    <row r="79" spans="2:7" ht="15" x14ac:dyDescent="0.25">
      <c r="C79" t="s">
        <v>15</v>
      </c>
      <c r="E79">
        <v>800</v>
      </c>
      <c r="F79">
        <v>800</v>
      </c>
      <c r="G79">
        <f t="shared" si="4"/>
        <v>0</v>
      </c>
    </row>
    <row r="80" spans="2:7" ht="15" x14ac:dyDescent="0.25">
      <c r="C80" t="s">
        <v>16</v>
      </c>
      <c r="E80">
        <v>800</v>
      </c>
      <c r="F80">
        <v>800</v>
      </c>
      <c r="G80">
        <f t="shared" si="4"/>
        <v>0</v>
      </c>
    </row>
    <row r="81" spans="2:7" ht="15" x14ac:dyDescent="0.25">
      <c r="B81" s="3">
        <v>2019</v>
      </c>
      <c r="C81" s="3" t="s">
        <v>17</v>
      </c>
      <c r="D81" s="3">
        <v>18.7</v>
      </c>
      <c r="E81" s="6">
        <f>F96*D81/100</f>
        <v>105.56788173162306</v>
      </c>
      <c r="F81" s="6">
        <f>F96+E81</f>
        <v>670.10200863869829</v>
      </c>
    </row>
    <row r="82" spans="2:7" ht="15" x14ac:dyDescent="0.25">
      <c r="B82" s="3">
        <v>2019</v>
      </c>
      <c r="C82" s="3" t="s">
        <v>18</v>
      </c>
      <c r="D82" s="3">
        <v>19.71</v>
      </c>
      <c r="E82" s="6">
        <f>F97*D82/100</f>
        <v>111.84125533501496</v>
      </c>
      <c r="F82" s="6">
        <f>F97+E82</f>
        <v>679.27532603524298</v>
      </c>
    </row>
    <row r="83" spans="2:7" ht="15" x14ac:dyDescent="0.25">
      <c r="B83" s="3"/>
      <c r="C83" s="3"/>
      <c r="D83" s="3"/>
      <c r="E83" s="6"/>
      <c r="F83" s="6"/>
    </row>
    <row r="84" spans="2:7" ht="15" x14ac:dyDescent="0.25">
      <c r="B84">
        <v>2018</v>
      </c>
      <c r="C84" t="s">
        <v>5</v>
      </c>
      <c r="E84">
        <v>625</v>
      </c>
      <c r="F84">
        <v>625</v>
      </c>
      <c r="G84">
        <f>G80+E84-F84</f>
        <v>0</v>
      </c>
    </row>
    <row r="85" spans="2:7" ht="15" x14ac:dyDescent="0.25">
      <c r="C85" t="s">
        <v>6</v>
      </c>
      <c r="E85">
        <v>625</v>
      </c>
      <c r="F85">
        <v>625</v>
      </c>
      <c r="G85">
        <f t="shared" ref="G85:G95" si="5">G84+E85-F85</f>
        <v>0</v>
      </c>
    </row>
    <row r="86" spans="2:7" ht="15" x14ac:dyDescent="0.25">
      <c r="C86" t="s">
        <v>7</v>
      </c>
      <c r="E86">
        <v>625</v>
      </c>
      <c r="F86">
        <v>625</v>
      </c>
      <c r="G86">
        <f t="shared" si="5"/>
        <v>0</v>
      </c>
    </row>
    <row r="87" spans="2:7" ht="15" x14ac:dyDescent="0.25">
      <c r="C87" t="s">
        <v>8</v>
      </c>
      <c r="E87">
        <v>625</v>
      </c>
      <c r="F87">
        <v>625</v>
      </c>
      <c r="G87">
        <f t="shared" si="5"/>
        <v>0</v>
      </c>
    </row>
    <row r="88" spans="2:7" ht="15" x14ac:dyDescent="0.25">
      <c r="C88" t="s">
        <v>9</v>
      </c>
      <c r="E88">
        <v>625</v>
      </c>
      <c r="F88">
        <v>625</v>
      </c>
      <c r="G88">
        <f t="shared" si="5"/>
        <v>0</v>
      </c>
    </row>
    <row r="89" spans="2:7" ht="15" x14ac:dyDescent="0.25">
      <c r="C89" t="s">
        <v>10</v>
      </c>
      <c r="E89">
        <v>625</v>
      </c>
      <c r="F89">
        <v>625</v>
      </c>
      <c r="G89">
        <f t="shared" si="5"/>
        <v>0</v>
      </c>
    </row>
    <row r="90" spans="2:7" ht="15" x14ac:dyDescent="0.25">
      <c r="C90" t="s">
        <v>11</v>
      </c>
      <c r="E90">
        <v>625</v>
      </c>
      <c r="F90">
        <v>625</v>
      </c>
      <c r="G90">
        <f t="shared" si="5"/>
        <v>0</v>
      </c>
    </row>
    <row r="91" spans="2:7" ht="15" x14ac:dyDescent="0.25">
      <c r="C91" t="s">
        <v>12</v>
      </c>
      <c r="E91">
        <v>625</v>
      </c>
      <c r="F91">
        <v>625</v>
      </c>
      <c r="G91">
        <f t="shared" si="5"/>
        <v>0</v>
      </c>
    </row>
    <row r="92" spans="2:7" ht="15" x14ac:dyDescent="0.25">
      <c r="C92" t="s">
        <v>13</v>
      </c>
      <c r="E92">
        <v>625</v>
      </c>
      <c r="F92">
        <v>625</v>
      </c>
      <c r="G92">
        <f t="shared" si="5"/>
        <v>0</v>
      </c>
    </row>
    <row r="93" spans="2:7" ht="15" x14ac:dyDescent="0.25">
      <c r="C93" t="s">
        <v>14</v>
      </c>
      <c r="E93">
        <v>625</v>
      </c>
      <c r="F93">
        <v>625</v>
      </c>
      <c r="G93">
        <f t="shared" si="5"/>
        <v>0</v>
      </c>
    </row>
    <row r="94" spans="2:7" ht="15" x14ac:dyDescent="0.25">
      <c r="C94" t="s">
        <v>15</v>
      </c>
      <c r="E94">
        <v>625</v>
      </c>
      <c r="F94">
        <v>625</v>
      </c>
      <c r="G94">
        <f t="shared" si="5"/>
        <v>0</v>
      </c>
    </row>
    <row r="95" spans="2:7" ht="15" x14ac:dyDescent="0.25">
      <c r="C95" t="s">
        <v>16</v>
      </c>
      <c r="E95">
        <v>625</v>
      </c>
      <c r="F95">
        <v>625</v>
      </c>
      <c r="G95">
        <f t="shared" si="5"/>
        <v>0</v>
      </c>
    </row>
    <row r="96" spans="2:7" ht="15" x14ac:dyDescent="0.25">
      <c r="B96" s="3">
        <v>2018</v>
      </c>
      <c r="C96" s="3" t="s">
        <v>17</v>
      </c>
      <c r="D96" s="3">
        <v>11.14</v>
      </c>
      <c r="E96" s="6">
        <f>F111*D96/100</f>
        <v>56.585479339075199</v>
      </c>
      <c r="F96" s="6">
        <f>F111+E96</f>
        <v>564.53412690707523</v>
      </c>
    </row>
    <row r="97" spans="2:7" ht="15" x14ac:dyDescent="0.25">
      <c r="B97" s="3">
        <v>2018</v>
      </c>
      <c r="C97" s="3" t="s">
        <v>18</v>
      </c>
      <c r="D97" s="3">
        <v>10.23</v>
      </c>
      <c r="E97" s="6">
        <f>F112*D97/100</f>
        <v>52.661258670628087</v>
      </c>
      <c r="F97" s="6">
        <f>F112+E97</f>
        <v>567.43407070022806</v>
      </c>
    </row>
    <row r="98" spans="2:7" ht="15" x14ac:dyDescent="0.25">
      <c r="B98" s="3"/>
      <c r="C98" s="3"/>
      <c r="D98" s="3"/>
      <c r="E98" s="6"/>
      <c r="F98" s="6"/>
    </row>
    <row r="99" spans="2:7" ht="15" x14ac:dyDescent="0.25">
      <c r="B99">
        <v>2017</v>
      </c>
      <c r="C99" t="s">
        <v>5</v>
      </c>
      <c r="E99">
        <v>550</v>
      </c>
      <c r="F99">
        <v>550</v>
      </c>
      <c r="G99">
        <f>G95+E99-F99</f>
        <v>0</v>
      </c>
    </row>
    <row r="100" spans="2:7" ht="15" x14ac:dyDescent="0.25">
      <c r="C100" t="s">
        <v>6</v>
      </c>
      <c r="E100">
        <v>550</v>
      </c>
      <c r="F100">
        <v>550</v>
      </c>
      <c r="G100">
        <f t="shared" ref="G100:G110" si="6">G99+E100-F100</f>
        <v>0</v>
      </c>
    </row>
    <row r="101" spans="2:7" ht="15" x14ac:dyDescent="0.25">
      <c r="C101" t="s">
        <v>7</v>
      </c>
      <c r="E101">
        <v>550</v>
      </c>
      <c r="F101">
        <v>550</v>
      </c>
      <c r="G101">
        <f t="shared" si="6"/>
        <v>0</v>
      </c>
    </row>
    <row r="102" spans="2:7" ht="15" x14ac:dyDescent="0.25">
      <c r="C102" t="s">
        <v>8</v>
      </c>
      <c r="E102">
        <v>550</v>
      </c>
      <c r="F102">
        <v>550</v>
      </c>
      <c r="G102">
        <f t="shared" si="6"/>
        <v>0</v>
      </c>
    </row>
    <row r="103" spans="2:7" ht="15" x14ac:dyDescent="0.25">
      <c r="C103" t="s">
        <v>9</v>
      </c>
      <c r="E103">
        <v>550</v>
      </c>
      <c r="F103">
        <v>550</v>
      </c>
      <c r="G103">
        <f t="shared" si="6"/>
        <v>0</v>
      </c>
    </row>
    <row r="104" spans="2:7" ht="15" x14ac:dyDescent="0.25">
      <c r="C104" t="s">
        <v>10</v>
      </c>
      <c r="E104">
        <v>550</v>
      </c>
      <c r="F104">
        <v>550</v>
      </c>
      <c r="G104">
        <f t="shared" si="6"/>
        <v>0</v>
      </c>
    </row>
    <row r="105" spans="2:7" ht="15" x14ac:dyDescent="0.25">
      <c r="C105" t="s">
        <v>11</v>
      </c>
      <c r="E105">
        <v>550</v>
      </c>
      <c r="F105">
        <v>550</v>
      </c>
      <c r="G105">
        <f t="shared" si="6"/>
        <v>0</v>
      </c>
    </row>
    <row r="106" spans="2:7" ht="15" x14ac:dyDescent="0.25">
      <c r="C106" t="s">
        <v>12</v>
      </c>
      <c r="E106">
        <v>550</v>
      </c>
      <c r="F106">
        <v>550</v>
      </c>
      <c r="G106">
        <f t="shared" si="6"/>
        <v>0</v>
      </c>
    </row>
    <row r="107" spans="2:7" ht="15" x14ac:dyDescent="0.25">
      <c r="C107" t="s">
        <v>13</v>
      </c>
      <c r="E107">
        <v>550</v>
      </c>
      <c r="F107">
        <v>550</v>
      </c>
      <c r="G107">
        <f t="shared" si="6"/>
        <v>0</v>
      </c>
    </row>
    <row r="108" spans="2:7" ht="15" x14ac:dyDescent="0.25">
      <c r="C108" t="s">
        <v>14</v>
      </c>
      <c r="E108">
        <v>550</v>
      </c>
      <c r="F108">
        <v>550</v>
      </c>
      <c r="G108">
        <f t="shared" si="6"/>
        <v>0</v>
      </c>
    </row>
    <row r="109" spans="2:7" ht="15" x14ac:dyDescent="0.25">
      <c r="C109" t="s">
        <v>15</v>
      </c>
      <c r="E109">
        <v>550</v>
      </c>
      <c r="F109">
        <v>550</v>
      </c>
      <c r="G109">
        <f t="shared" si="6"/>
        <v>0</v>
      </c>
    </row>
    <row r="110" spans="2:7" ht="15" x14ac:dyDescent="0.25">
      <c r="C110" t="s">
        <v>16</v>
      </c>
      <c r="E110">
        <v>550</v>
      </c>
      <c r="F110">
        <v>550</v>
      </c>
      <c r="G110">
        <f t="shared" si="6"/>
        <v>0</v>
      </c>
    </row>
    <row r="111" spans="2:7" ht="15" x14ac:dyDescent="0.25">
      <c r="B111" s="3">
        <v>2017</v>
      </c>
      <c r="C111" s="3" t="s">
        <v>17</v>
      </c>
      <c r="D111" s="3">
        <v>8.2100000000000009</v>
      </c>
      <c r="E111" s="6">
        <f>F126*D111/100</f>
        <v>38.538567568000005</v>
      </c>
      <c r="F111" s="6">
        <f>F126+E111</f>
        <v>507.94864756800001</v>
      </c>
    </row>
    <row r="112" spans="2:7" ht="15" x14ac:dyDescent="0.25">
      <c r="B112" s="3">
        <v>2017</v>
      </c>
      <c r="C112" s="3" t="s">
        <v>18</v>
      </c>
      <c r="D112" s="3">
        <v>11.29</v>
      </c>
      <c r="E112" s="6">
        <f>F127*D112/100</f>
        <v>52.221988029599999</v>
      </c>
      <c r="F112" s="6">
        <f>F127+E112</f>
        <v>514.7728120296</v>
      </c>
    </row>
    <row r="113" spans="2:7" ht="15" x14ac:dyDescent="0.25">
      <c r="B113" s="3"/>
      <c r="C113" s="3"/>
      <c r="D113" s="3"/>
      <c r="E113" s="6"/>
      <c r="F113" s="6"/>
    </row>
    <row r="114" spans="2:7" ht="15" x14ac:dyDescent="0.25">
      <c r="B114">
        <v>2016</v>
      </c>
      <c r="C114" t="s">
        <v>5</v>
      </c>
      <c r="E114">
        <v>500</v>
      </c>
      <c r="F114">
        <v>500</v>
      </c>
      <c r="G114">
        <f>G110+E114-F114</f>
        <v>0</v>
      </c>
    </row>
    <row r="115" spans="2:7" ht="15" x14ac:dyDescent="0.25">
      <c r="C115" t="s">
        <v>6</v>
      </c>
      <c r="E115">
        <v>500</v>
      </c>
      <c r="F115">
        <v>500</v>
      </c>
      <c r="G115">
        <f t="shared" ref="G115:G125" si="7">G114+E115-F115</f>
        <v>0</v>
      </c>
    </row>
    <row r="116" spans="2:7" ht="15" x14ac:dyDescent="0.25">
      <c r="C116" t="s">
        <v>7</v>
      </c>
      <c r="E116">
        <v>500</v>
      </c>
      <c r="F116">
        <v>500</v>
      </c>
      <c r="G116">
        <f t="shared" si="7"/>
        <v>0</v>
      </c>
    </row>
    <row r="117" spans="2:7" ht="15" x14ac:dyDescent="0.25">
      <c r="C117" t="s">
        <v>8</v>
      </c>
      <c r="E117">
        <v>500</v>
      </c>
      <c r="F117">
        <v>500</v>
      </c>
      <c r="G117">
        <f t="shared" si="7"/>
        <v>0</v>
      </c>
    </row>
    <row r="118" spans="2:7" ht="15" x14ac:dyDescent="0.25">
      <c r="C118" t="s">
        <v>9</v>
      </c>
      <c r="E118">
        <v>500</v>
      </c>
      <c r="F118">
        <v>500</v>
      </c>
      <c r="G118">
        <f t="shared" si="7"/>
        <v>0</v>
      </c>
    </row>
    <row r="119" spans="2:7" ht="15" x14ac:dyDescent="0.25">
      <c r="C119" t="s">
        <v>10</v>
      </c>
      <c r="E119">
        <v>500</v>
      </c>
      <c r="F119">
        <v>500</v>
      </c>
      <c r="G119">
        <f t="shared" si="7"/>
        <v>0</v>
      </c>
    </row>
    <row r="120" spans="2:7" ht="15" x14ac:dyDescent="0.25">
      <c r="C120" t="s">
        <v>11</v>
      </c>
      <c r="E120">
        <v>500</v>
      </c>
      <c r="F120">
        <v>500</v>
      </c>
      <c r="G120">
        <f t="shared" si="7"/>
        <v>0</v>
      </c>
    </row>
    <row r="121" spans="2:7" ht="15" x14ac:dyDescent="0.25">
      <c r="C121" t="s">
        <v>12</v>
      </c>
      <c r="E121">
        <v>500</v>
      </c>
      <c r="F121">
        <v>500</v>
      </c>
      <c r="G121">
        <f t="shared" si="7"/>
        <v>0</v>
      </c>
    </row>
    <row r="122" spans="2:7" ht="15" x14ac:dyDescent="0.25">
      <c r="C122" t="s">
        <v>13</v>
      </c>
      <c r="E122">
        <v>500</v>
      </c>
      <c r="F122">
        <v>500</v>
      </c>
      <c r="G122">
        <f t="shared" si="7"/>
        <v>0</v>
      </c>
    </row>
    <row r="123" spans="2:7" ht="15" x14ac:dyDescent="0.25">
      <c r="C123" t="s">
        <v>14</v>
      </c>
      <c r="E123">
        <v>500</v>
      </c>
      <c r="F123">
        <v>500</v>
      </c>
      <c r="G123">
        <f t="shared" si="7"/>
        <v>0</v>
      </c>
    </row>
    <row r="124" spans="2:7" ht="15" x14ac:dyDescent="0.25">
      <c r="C124" t="s">
        <v>15</v>
      </c>
      <c r="E124">
        <v>500</v>
      </c>
      <c r="F124">
        <v>500</v>
      </c>
      <c r="G124">
        <f t="shared" si="7"/>
        <v>0</v>
      </c>
    </row>
    <row r="125" spans="2:7" ht="15" x14ac:dyDescent="0.25">
      <c r="C125" t="s">
        <v>16</v>
      </c>
      <c r="E125">
        <v>500</v>
      </c>
      <c r="F125">
        <v>500</v>
      </c>
      <c r="G125">
        <f t="shared" si="7"/>
        <v>0</v>
      </c>
    </row>
    <row r="126" spans="2:7" ht="15" x14ac:dyDescent="0.25">
      <c r="B126" s="3">
        <v>2016</v>
      </c>
      <c r="C126" s="3" t="s">
        <v>17</v>
      </c>
      <c r="D126" s="3">
        <v>7.96</v>
      </c>
      <c r="E126" s="6">
        <f>F141*D126/100</f>
        <v>34.610080000000004</v>
      </c>
      <c r="F126" s="6">
        <f>F141+E126</f>
        <v>469.41007999999999</v>
      </c>
    </row>
    <row r="127" spans="2:7" ht="15" x14ac:dyDescent="0.25">
      <c r="B127" s="3">
        <v>2016</v>
      </c>
      <c r="C127" s="3" t="s">
        <v>18</v>
      </c>
      <c r="D127" s="3">
        <v>7.46</v>
      </c>
      <c r="E127" s="6">
        <f>F142*D127/100</f>
        <v>32.110824000000001</v>
      </c>
      <c r="F127" s="6">
        <f>F142+E127</f>
        <v>462.55082399999998</v>
      </c>
    </row>
    <row r="128" spans="2:7" ht="15" x14ac:dyDescent="0.25">
      <c r="B128" s="3"/>
      <c r="C128" s="3"/>
      <c r="D128" s="3"/>
      <c r="E128" s="6"/>
      <c r="F128" s="6"/>
    </row>
    <row r="129" spans="2:7" ht="15" x14ac:dyDescent="0.25">
      <c r="B129">
        <v>2015</v>
      </c>
      <c r="C129" t="s">
        <v>5</v>
      </c>
      <c r="E129">
        <v>450</v>
      </c>
      <c r="F129">
        <v>450</v>
      </c>
      <c r="G129">
        <f>G125+E129-F129</f>
        <v>0</v>
      </c>
    </row>
    <row r="130" spans="2:7" ht="15" x14ac:dyDescent="0.25">
      <c r="C130" t="s">
        <v>6</v>
      </c>
      <c r="E130">
        <v>450</v>
      </c>
      <c r="F130">
        <v>450</v>
      </c>
      <c r="G130">
        <f t="shared" ref="G130:G140" si="8">G129+E130-F130</f>
        <v>0</v>
      </c>
    </row>
    <row r="131" spans="2:7" ht="15" x14ac:dyDescent="0.25">
      <c r="C131" t="s">
        <v>7</v>
      </c>
      <c r="E131">
        <v>450</v>
      </c>
      <c r="F131">
        <v>450</v>
      </c>
      <c r="G131">
        <f t="shared" si="8"/>
        <v>0</v>
      </c>
    </row>
    <row r="132" spans="2:7" ht="15" x14ac:dyDescent="0.25">
      <c r="C132" t="s">
        <v>8</v>
      </c>
      <c r="E132">
        <v>450</v>
      </c>
      <c r="F132">
        <v>450</v>
      </c>
      <c r="G132">
        <f t="shared" si="8"/>
        <v>0</v>
      </c>
    </row>
    <row r="133" spans="2:7" ht="15" x14ac:dyDescent="0.25">
      <c r="C133" t="s">
        <v>9</v>
      </c>
      <c r="E133">
        <v>450</v>
      </c>
      <c r="F133">
        <v>450</v>
      </c>
      <c r="G133">
        <f t="shared" si="8"/>
        <v>0</v>
      </c>
    </row>
    <row r="134" spans="2:7" ht="15" x14ac:dyDescent="0.25">
      <c r="C134" t="s">
        <v>10</v>
      </c>
      <c r="E134">
        <v>450</v>
      </c>
      <c r="F134">
        <v>450</v>
      </c>
      <c r="G134">
        <f t="shared" si="8"/>
        <v>0</v>
      </c>
    </row>
    <row r="135" spans="2:7" ht="15" x14ac:dyDescent="0.25">
      <c r="C135" t="s">
        <v>11</v>
      </c>
      <c r="E135">
        <v>450</v>
      </c>
      <c r="F135">
        <v>450</v>
      </c>
      <c r="G135">
        <f t="shared" si="8"/>
        <v>0</v>
      </c>
    </row>
    <row r="136" spans="2:7" ht="15" x14ac:dyDescent="0.25">
      <c r="C136" t="s">
        <v>12</v>
      </c>
      <c r="E136">
        <v>450</v>
      </c>
      <c r="F136">
        <v>450</v>
      </c>
      <c r="G136">
        <f t="shared" si="8"/>
        <v>0</v>
      </c>
    </row>
    <row r="137" spans="2:7" ht="15" x14ac:dyDescent="0.25">
      <c r="C137" t="s">
        <v>13</v>
      </c>
      <c r="E137">
        <v>450</v>
      </c>
      <c r="F137">
        <v>450</v>
      </c>
      <c r="G137">
        <f t="shared" si="8"/>
        <v>0</v>
      </c>
    </row>
    <row r="138" spans="2:7" ht="15" x14ac:dyDescent="0.25">
      <c r="C138" t="s">
        <v>14</v>
      </c>
      <c r="E138">
        <v>450</v>
      </c>
      <c r="F138">
        <v>450</v>
      </c>
      <c r="G138">
        <f t="shared" si="8"/>
        <v>0</v>
      </c>
    </row>
    <row r="139" spans="2:7" ht="15" x14ac:dyDescent="0.25">
      <c r="C139" t="s">
        <v>15</v>
      </c>
      <c r="E139">
        <v>450</v>
      </c>
      <c r="F139">
        <v>450</v>
      </c>
      <c r="G139">
        <f t="shared" si="8"/>
        <v>0</v>
      </c>
    </row>
    <row r="140" spans="2:7" ht="15" x14ac:dyDescent="0.25">
      <c r="C140" t="s">
        <v>16</v>
      </c>
      <c r="E140">
        <v>450</v>
      </c>
      <c r="F140">
        <v>450</v>
      </c>
      <c r="G140">
        <f t="shared" si="8"/>
        <v>0</v>
      </c>
    </row>
    <row r="141" spans="2:7" ht="15" x14ac:dyDescent="0.25">
      <c r="B141" s="3">
        <v>2015</v>
      </c>
      <c r="C141" s="3" t="s">
        <v>17</v>
      </c>
      <c r="D141" s="3">
        <v>8.6999999999999993</v>
      </c>
      <c r="E141" s="3">
        <f>E144*D141/100</f>
        <v>34.799999999999997</v>
      </c>
      <c r="F141" s="3">
        <f>E144+E141</f>
        <v>434.8</v>
      </c>
    </row>
    <row r="142" spans="2:7" ht="15" x14ac:dyDescent="0.25">
      <c r="B142" s="3">
        <v>2015</v>
      </c>
      <c r="C142" s="3" t="s">
        <v>18</v>
      </c>
      <c r="D142" s="3">
        <v>7.61</v>
      </c>
      <c r="E142" s="3">
        <f>E144*D142/100</f>
        <v>30.44</v>
      </c>
      <c r="F142" s="3">
        <f>E144+E142</f>
        <v>430.44</v>
      </c>
    </row>
    <row r="143" spans="2:7" ht="15" x14ac:dyDescent="0.25">
      <c r="B143" s="3"/>
      <c r="C143" s="3"/>
      <c r="D143" s="3"/>
      <c r="E143" s="3"/>
      <c r="F143" s="3"/>
    </row>
    <row r="144" spans="2:7" ht="15" x14ac:dyDescent="0.25">
      <c r="B144">
        <v>2014</v>
      </c>
      <c r="C144" t="s">
        <v>5</v>
      </c>
      <c r="E144">
        <v>400</v>
      </c>
      <c r="F144">
        <v>400</v>
      </c>
      <c r="G144">
        <f>G140+E144-F144</f>
        <v>0</v>
      </c>
    </row>
    <row r="145" spans="3:7" ht="15" x14ac:dyDescent="0.25">
      <c r="C145" t="s">
        <v>6</v>
      </c>
      <c r="E145">
        <v>400</v>
      </c>
      <c r="F145">
        <v>400</v>
      </c>
      <c r="G145">
        <f t="shared" ref="G145:G155" si="9">G144+E145-F145</f>
        <v>0</v>
      </c>
    </row>
    <row r="146" spans="3:7" ht="15" x14ac:dyDescent="0.25">
      <c r="C146" t="s">
        <v>7</v>
      </c>
      <c r="E146">
        <v>400</v>
      </c>
      <c r="F146">
        <v>400</v>
      </c>
      <c r="G146">
        <f t="shared" si="9"/>
        <v>0</v>
      </c>
    </row>
    <row r="147" spans="3:7" ht="15" x14ac:dyDescent="0.25">
      <c r="C147" t="s">
        <v>8</v>
      </c>
      <c r="E147">
        <v>400</v>
      </c>
      <c r="F147">
        <v>400</v>
      </c>
      <c r="G147">
        <f t="shared" si="9"/>
        <v>0</v>
      </c>
    </row>
    <row r="148" spans="3:7" ht="15" x14ac:dyDescent="0.25">
      <c r="C148" t="s">
        <v>9</v>
      </c>
      <c r="E148">
        <v>400</v>
      </c>
      <c r="F148">
        <v>400</v>
      </c>
      <c r="G148">
        <f t="shared" si="9"/>
        <v>0</v>
      </c>
    </row>
    <row r="149" spans="3:7" ht="15" x14ac:dyDescent="0.25">
      <c r="C149" t="s">
        <v>10</v>
      </c>
      <c r="E149">
        <v>400</v>
      </c>
      <c r="F149">
        <v>400</v>
      </c>
      <c r="G149">
        <f t="shared" si="9"/>
        <v>0</v>
      </c>
    </row>
    <row r="150" spans="3:7" ht="15" x14ac:dyDescent="0.25">
      <c r="C150" t="s">
        <v>11</v>
      </c>
      <c r="E150">
        <v>400</v>
      </c>
      <c r="F150">
        <v>400</v>
      </c>
      <c r="G150">
        <f t="shared" si="9"/>
        <v>0</v>
      </c>
    </row>
    <row r="151" spans="3:7" ht="15" x14ac:dyDescent="0.25">
      <c r="C151" t="s">
        <v>12</v>
      </c>
      <c r="E151">
        <v>400</v>
      </c>
      <c r="F151">
        <v>400</v>
      </c>
      <c r="G151">
        <f t="shared" si="9"/>
        <v>0</v>
      </c>
    </row>
    <row r="152" spans="3:7" ht="15" x14ac:dyDescent="0.25">
      <c r="C152" t="s">
        <v>13</v>
      </c>
      <c r="E152">
        <v>400</v>
      </c>
      <c r="F152">
        <v>400</v>
      </c>
      <c r="G152">
        <f t="shared" si="9"/>
        <v>0</v>
      </c>
    </row>
    <row r="153" spans="3:7" ht="15" x14ac:dyDescent="0.25">
      <c r="C153" t="s">
        <v>14</v>
      </c>
      <c r="E153">
        <v>400</v>
      </c>
      <c r="F153">
        <v>400</v>
      </c>
      <c r="G153">
        <f t="shared" si="9"/>
        <v>0</v>
      </c>
    </row>
    <row r="154" spans="3:7" ht="15" x14ac:dyDescent="0.25">
      <c r="C154" t="s">
        <v>15</v>
      </c>
      <c r="E154">
        <v>400</v>
      </c>
      <c r="F154">
        <v>400</v>
      </c>
      <c r="G154">
        <f t="shared" si="9"/>
        <v>0</v>
      </c>
    </row>
    <row r="155" spans="3:7" ht="15" x14ac:dyDescent="0.25">
      <c r="C155" t="s">
        <v>16</v>
      </c>
      <c r="E155">
        <v>400</v>
      </c>
      <c r="F155">
        <v>400</v>
      </c>
      <c r="G155">
        <f t="shared" si="9"/>
        <v>0</v>
      </c>
    </row>
    <row r="156" spans="3:7" ht="15" x14ac:dyDescent="0.25">
      <c r="F156"/>
    </row>
    <row r="157" spans="3:7" ht="15" x14ac:dyDescent="0.25">
      <c r="F157"/>
    </row>
    <row r="158" spans="3:7" ht="15" x14ac:dyDescent="0.25">
      <c r="F158"/>
    </row>
    <row r="159" spans="3:7" ht="15" x14ac:dyDescent="0.25">
      <c r="F159"/>
    </row>
    <row r="160" spans="3:7" ht="15" x14ac:dyDescent="0.25">
      <c r="F160"/>
    </row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"/>
  <sheetViews>
    <sheetView workbookViewId="0"/>
  </sheetViews>
  <sheetFormatPr defaultRowHeight="13.9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16"/>
      <c r="B1" s="7" t="s">
        <v>19</v>
      </c>
      <c r="C1" s="8" t="s">
        <v>20</v>
      </c>
      <c r="D1" s="9"/>
      <c r="E1" s="9"/>
    </row>
    <row r="2" spans="1:5" ht="25.35" customHeight="1" x14ac:dyDescent="0.25">
      <c r="A2" s="16"/>
      <c r="B2" s="7" t="s">
        <v>21</v>
      </c>
      <c r="C2" s="8" t="s">
        <v>22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17" t="s">
        <v>23</v>
      </c>
      <c r="B4" s="7" t="s">
        <v>24</v>
      </c>
      <c r="C4" s="12" t="s">
        <v>25</v>
      </c>
      <c r="D4" s="9"/>
      <c r="E4" s="9"/>
    </row>
    <row r="5" spans="1:5" ht="25.35" customHeight="1" x14ac:dyDescent="0.25">
      <c r="A5" s="17"/>
      <c r="B5" s="7" t="s">
        <v>26</v>
      </c>
      <c r="C5" s="12" t="s">
        <v>27</v>
      </c>
      <c r="D5" s="9"/>
      <c r="E5" s="9"/>
    </row>
    <row r="6" spans="1:5" ht="25.35" customHeight="1" x14ac:dyDescent="0.25">
      <c r="A6" s="17"/>
      <c r="B6" s="7" t="s">
        <v>28</v>
      </c>
      <c r="C6" s="12" t="s">
        <v>29</v>
      </c>
      <c r="D6" s="9"/>
      <c r="E6" s="9"/>
    </row>
    <row r="7" spans="1:5" ht="25.35" customHeight="1" x14ac:dyDescent="0.25">
      <c r="A7" s="17"/>
      <c r="B7" s="7" t="s">
        <v>30</v>
      </c>
      <c r="C7" s="12" t="s">
        <v>31</v>
      </c>
      <c r="D7" s="9"/>
      <c r="E7" s="9"/>
    </row>
    <row r="8" spans="1:5" ht="25.35" customHeight="1" x14ac:dyDescent="0.25">
      <c r="A8" s="17"/>
      <c r="B8" s="7" t="s">
        <v>32</v>
      </c>
      <c r="C8" s="12" t="s">
        <v>33</v>
      </c>
      <c r="D8" s="9"/>
      <c r="E8" s="9"/>
    </row>
    <row r="9" spans="1:5" ht="25.35" customHeight="1" x14ac:dyDescent="0.25">
      <c r="A9" s="17" t="s">
        <v>34</v>
      </c>
      <c r="B9" s="7" t="s">
        <v>26</v>
      </c>
      <c r="C9" s="12" t="s">
        <v>35</v>
      </c>
      <c r="D9" s="9"/>
      <c r="E9" s="9"/>
    </row>
    <row r="10" spans="1:5" ht="25.35" customHeight="1" x14ac:dyDescent="0.3">
      <c r="A10" s="17"/>
      <c r="B10" s="7" t="s">
        <v>28</v>
      </c>
      <c r="C10" s="13" t="s">
        <v>36</v>
      </c>
      <c r="D10" s="9"/>
      <c r="E10" s="9"/>
    </row>
    <row r="11" spans="1:5" ht="25.35" customHeight="1" x14ac:dyDescent="0.25">
      <c r="A11" s="17"/>
      <c r="B11" s="7" t="s">
        <v>30</v>
      </c>
      <c r="C11" s="12" t="s">
        <v>31</v>
      </c>
      <c r="D11" s="9"/>
      <c r="E11" s="9"/>
    </row>
    <row r="12" spans="1:5" ht="25.35" customHeight="1" x14ac:dyDescent="0.3">
      <c r="A12" s="17"/>
      <c r="B12" s="7" t="s">
        <v>32</v>
      </c>
      <c r="C12" s="14" t="s">
        <v>33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3.9" x14ac:dyDescent="0.25"/>
  <cols>
    <col min="1" max="1" width="4.85546875" customWidth="1"/>
    <col min="2" max="2" width="12.28515625" style="31" customWidth="1"/>
    <col min="3" max="3" width="21" style="31" customWidth="1"/>
    <col min="4" max="4" width="17.85546875" style="31" customWidth="1"/>
    <col min="5" max="5" width="18.5703125" customWidth="1"/>
    <col min="6" max="6" width="27.5703125" style="30" customWidth="1"/>
    <col min="7" max="7" width="23.140625" style="31" customWidth="1"/>
    <col min="8" max="8" width="28.85546875" style="31" customWidth="1"/>
    <col min="9" max="64" width="15.42578125" customWidth="1"/>
  </cols>
  <sheetData>
    <row r="1" spans="1:8" ht="18.75" x14ac:dyDescent="0.3">
      <c r="A1" s="32"/>
      <c r="B1" s="19"/>
      <c r="C1" s="20"/>
      <c r="D1" s="21"/>
      <c r="E1" s="9"/>
      <c r="F1" s="22"/>
      <c r="G1" s="23"/>
      <c r="H1" s="23"/>
    </row>
    <row r="2" spans="1:8" ht="18.75" x14ac:dyDescent="0.25">
      <c r="A2" s="32"/>
      <c r="B2" s="19" t="s">
        <v>37</v>
      </c>
      <c r="C2" s="19" t="s">
        <v>38</v>
      </c>
      <c r="D2" s="19" t="s">
        <v>39</v>
      </c>
      <c r="E2" s="11" t="s">
        <v>40</v>
      </c>
      <c r="F2" s="24" t="s">
        <v>41</v>
      </c>
      <c r="G2" s="19" t="s">
        <v>42</v>
      </c>
      <c r="H2" s="19" t="s">
        <v>43</v>
      </c>
    </row>
    <row r="3" spans="1:8" ht="18.75" x14ac:dyDescent="0.25">
      <c r="A3" s="33">
        <v>3</v>
      </c>
      <c r="B3" s="20">
        <v>1</v>
      </c>
      <c r="C3" s="25">
        <v>44252</v>
      </c>
      <c r="D3" s="25">
        <v>44285</v>
      </c>
      <c r="E3" s="26">
        <v>2000</v>
      </c>
      <c r="F3" s="27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İkibin TL </v>
      </c>
      <c r="G3" s="20" t="s">
        <v>44</v>
      </c>
      <c r="H3" s="20" t="s">
        <v>45</v>
      </c>
    </row>
    <row r="4" spans="1:8" ht="18.75" x14ac:dyDescent="0.3">
      <c r="A4" s="33"/>
      <c r="B4" s="23">
        <v>2</v>
      </c>
      <c r="C4" s="25">
        <v>44252</v>
      </c>
      <c r="D4" s="25">
        <v>44316</v>
      </c>
      <c r="E4" s="28">
        <v>2000</v>
      </c>
      <c r="F4" s="27" t="str">
        <f t="shared" si="0"/>
        <v xml:space="preserve">İkibin TL </v>
      </c>
      <c r="G4" s="23" t="str">
        <f t="shared" ref="G4:G14" si="1">G3</f>
        <v>NAKDEN</v>
      </c>
      <c r="H4" s="20" t="s">
        <v>46</v>
      </c>
    </row>
    <row r="5" spans="1:8" ht="18.75" x14ac:dyDescent="0.3">
      <c r="A5" s="33"/>
      <c r="B5" s="23">
        <v>3</v>
      </c>
      <c r="C5" s="25">
        <v>44252</v>
      </c>
      <c r="D5" s="25">
        <v>44346</v>
      </c>
      <c r="E5" s="28">
        <v>2000</v>
      </c>
      <c r="F5" s="27" t="str">
        <f t="shared" si="0"/>
        <v xml:space="preserve">İkibin TL </v>
      </c>
      <c r="G5" s="23" t="str">
        <f t="shared" si="1"/>
        <v>NAKDEN</v>
      </c>
      <c r="H5" s="20" t="s">
        <v>47</v>
      </c>
    </row>
    <row r="6" spans="1:8" ht="18.75" x14ac:dyDescent="0.3">
      <c r="A6" s="33"/>
      <c r="B6" s="23">
        <v>4</v>
      </c>
      <c r="C6" s="25">
        <v>44252</v>
      </c>
      <c r="D6" s="25">
        <v>44377</v>
      </c>
      <c r="E6" s="28">
        <v>2000</v>
      </c>
      <c r="F6" s="27" t="str">
        <f t="shared" si="0"/>
        <v xml:space="preserve">İkibin TL </v>
      </c>
      <c r="G6" s="23" t="str">
        <f t="shared" si="1"/>
        <v>NAKDEN</v>
      </c>
      <c r="H6" s="20" t="s">
        <v>48</v>
      </c>
    </row>
    <row r="7" spans="1:8" ht="18.75" x14ac:dyDescent="0.3">
      <c r="A7" s="33"/>
      <c r="B7" s="23">
        <v>5</v>
      </c>
      <c r="C7" s="25">
        <v>44252</v>
      </c>
      <c r="D7" s="25">
        <v>44407</v>
      </c>
      <c r="E7" s="28">
        <v>14000</v>
      </c>
      <c r="F7" s="27" t="str">
        <f t="shared" si="0"/>
        <v xml:space="preserve">Ondörtbin TL </v>
      </c>
      <c r="G7" s="23" t="str">
        <f t="shared" si="1"/>
        <v>NAKDEN</v>
      </c>
      <c r="H7" s="20" t="s">
        <v>49</v>
      </c>
    </row>
    <row r="8" spans="1:8" ht="18.75" x14ac:dyDescent="0.3">
      <c r="A8" s="33"/>
      <c r="B8" s="23">
        <v>6</v>
      </c>
      <c r="C8" s="25">
        <v>44252</v>
      </c>
      <c r="D8" s="25">
        <v>44438</v>
      </c>
      <c r="E8" s="28">
        <v>2000</v>
      </c>
      <c r="F8" s="27" t="str">
        <f t="shared" si="0"/>
        <v xml:space="preserve">İkibin TL </v>
      </c>
      <c r="G8" s="23" t="str">
        <f t="shared" si="1"/>
        <v>NAKDEN</v>
      </c>
      <c r="H8" s="20" t="s">
        <v>50</v>
      </c>
    </row>
    <row r="9" spans="1:8" ht="18.75" x14ac:dyDescent="0.3">
      <c r="A9" s="33"/>
      <c r="B9" s="23">
        <v>7</v>
      </c>
      <c r="C9" s="25">
        <v>44252</v>
      </c>
      <c r="D9" s="25">
        <v>44469</v>
      </c>
      <c r="E9" s="28">
        <v>2000</v>
      </c>
      <c r="F9" s="27" t="str">
        <f t="shared" si="0"/>
        <v xml:space="preserve">İkibin TL </v>
      </c>
      <c r="G9" s="23" t="str">
        <f t="shared" si="1"/>
        <v>NAKDEN</v>
      </c>
      <c r="H9" s="20" t="s">
        <v>51</v>
      </c>
    </row>
    <row r="10" spans="1:8" ht="18.75" x14ac:dyDescent="0.3">
      <c r="A10" s="10"/>
      <c r="B10" s="23">
        <v>8</v>
      </c>
      <c r="C10" s="25">
        <v>44252</v>
      </c>
      <c r="D10" s="25">
        <v>44499</v>
      </c>
      <c r="E10" s="28">
        <v>2000</v>
      </c>
      <c r="F10" s="27" t="str">
        <f t="shared" si="0"/>
        <v xml:space="preserve">İkibin TL </v>
      </c>
      <c r="G10" s="23" t="str">
        <f t="shared" si="1"/>
        <v>NAKDEN</v>
      </c>
      <c r="H10" s="20" t="s">
        <v>52</v>
      </c>
    </row>
    <row r="11" spans="1:8" ht="18.75" x14ac:dyDescent="0.3">
      <c r="A11" s="32"/>
      <c r="B11" s="23">
        <v>9</v>
      </c>
      <c r="C11" s="25">
        <v>44252</v>
      </c>
      <c r="D11" s="25">
        <v>44530</v>
      </c>
      <c r="E11" s="28">
        <v>2000</v>
      </c>
      <c r="F11" s="27" t="str">
        <f t="shared" si="0"/>
        <v xml:space="preserve">İkibin TL </v>
      </c>
      <c r="G11" s="23" t="str">
        <f t="shared" si="1"/>
        <v>NAKDEN</v>
      </c>
      <c r="H11" s="20" t="s">
        <v>53</v>
      </c>
    </row>
    <row r="12" spans="1:8" ht="18.75" x14ac:dyDescent="0.3">
      <c r="A12" s="32"/>
      <c r="B12" s="23">
        <v>10</v>
      </c>
      <c r="C12" s="25">
        <v>44252</v>
      </c>
      <c r="D12" s="25">
        <v>44560</v>
      </c>
      <c r="E12" s="28">
        <v>2000</v>
      </c>
      <c r="F12" s="27" t="str">
        <f t="shared" si="0"/>
        <v xml:space="preserve">İkibin TL </v>
      </c>
      <c r="G12" s="23" t="str">
        <f t="shared" si="1"/>
        <v>NAKDEN</v>
      </c>
      <c r="H12" s="20" t="s">
        <v>54</v>
      </c>
    </row>
    <row r="13" spans="1:8" ht="18.75" x14ac:dyDescent="0.3">
      <c r="A13" s="32"/>
      <c r="B13" s="23">
        <v>11</v>
      </c>
      <c r="C13" s="25">
        <v>44252</v>
      </c>
      <c r="D13" s="25">
        <v>44591</v>
      </c>
      <c r="E13" s="28">
        <v>2000</v>
      </c>
      <c r="F13" s="27" t="str">
        <f t="shared" si="0"/>
        <v xml:space="preserve">İkibin TL </v>
      </c>
      <c r="G13" s="23" t="str">
        <f t="shared" si="1"/>
        <v>NAKDEN</v>
      </c>
      <c r="H13" s="20" t="s">
        <v>55</v>
      </c>
    </row>
    <row r="14" spans="1:8" ht="18.75" x14ac:dyDescent="0.3">
      <c r="A14" s="32"/>
      <c r="B14" s="23">
        <v>12</v>
      </c>
      <c r="C14" s="25">
        <v>44252</v>
      </c>
      <c r="D14" s="25">
        <v>44620</v>
      </c>
      <c r="E14" s="28">
        <v>2000</v>
      </c>
      <c r="F14" s="27" t="str">
        <f t="shared" si="0"/>
        <v xml:space="preserve">İkibin TL </v>
      </c>
      <c r="G14" s="23" t="str">
        <f t="shared" si="1"/>
        <v>NAKDEN</v>
      </c>
      <c r="H14" s="20" t="s">
        <v>56</v>
      </c>
    </row>
    <row r="15" spans="1:8" ht="18.75" x14ac:dyDescent="0.3">
      <c r="A15" s="32"/>
      <c r="B15" s="19"/>
      <c r="C15" s="25"/>
      <c r="D15" s="21"/>
      <c r="E15" s="9"/>
      <c r="F15" s="22"/>
      <c r="G15" s="23"/>
      <c r="H15" s="23"/>
    </row>
    <row r="16" spans="1:8" ht="18.75" x14ac:dyDescent="0.3">
      <c r="A16" s="32"/>
      <c r="B16" s="19"/>
      <c r="C16" s="25"/>
      <c r="D16" s="21"/>
      <c r="E16" s="9"/>
      <c r="F16" s="22"/>
      <c r="G16" s="23"/>
      <c r="H16" s="23"/>
    </row>
    <row r="17" spans="1:8" ht="18.75" x14ac:dyDescent="0.3">
      <c r="A17" s="32"/>
      <c r="B17" s="19"/>
      <c r="C17" s="25"/>
      <c r="D17" s="21"/>
      <c r="E17" s="9"/>
      <c r="F17" s="22"/>
      <c r="G17" s="23"/>
      <c r="H17" s="23"/>
    </row>
    <row r="18" spans="1:8" ht="18.75" x14ac:dyDescent="0.3">
      <c r="A18" s="32"/>
      <c r="B18" s="19"/>
      <c r="C18" s="20"/>
      <c r="D18" s="21"/>
      <c r="E18" s="9"/>
      <c r="F18" s="22"/>
      <c r="G18" s="23"/>
      <c r="H18" s="23"/>
    </row>
    <row r="19" spans="1:8" ht="18.75" x14ac:dyDescent="0.3">
      <c r="A19" s="32"/>
      <c r="B19" s="19"/>
      <c r="C19" s="23"/>
      <c r="D19" s="21"/>
      <c r="E19" s="9"/>
      <c r="F19" s="22"/>
      <c r="G19" s="23"/>
      <c r="H19" s="23"/>
    </row>
    <row r="20" spans="1:8" ht="15" x14ac:dyDescent="0.25">
      <c r="A20" s="10"/>
      <c r="B20" s="29"/>
      <c r="C20" s="18"/>
      <c r="D20" s="18"/>
      <c r="E20" s="10"/>
    </row>
    <row r="21" spans="1:8" ht="15" x14ac:dyDescent="0.25">
      <c r="A21" s="10"/>
      <c r="B21" s="29"/>
      <c r="C21" s="18"/>
      <c r="D21" s="18"/>
      <c r="E21" s="10"/>
    </row>
    <row r="22" spans="1:8" ht="15" x14ac:dyDescent="0.25">
      <c r="A22" s="10"/>
      <c r="B22" s="29"/>
      <c r="C22" s="18"/>
      <c r="D22" s="18"/>
      <c r="E22" s="10"/>
    </row>
  </sheetData>
  <mergeCells count="4">
    <mergeCell ref="A1:A2"/>
    <mergeCell ref="A3:A9"/>
    <mergeCell ref="A11:A15"/>
    <mergeCell ref="A16:A19"/>
  </mergeCells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48576"/>
  <sheetViews>
    <sheetView workbookViewId="0"/>
  </sheetViews>
  <sheetFormatPr defaultRowHeight="22.15" x14ac:dyDescent="0.35"/>
  <cols>
    <col min="1" max="1" width="2.28515625" style="38" customWidth="1"/>
    <col min="2" max="2" width="5.28515625" style="38" customWidth="1"/>
    <col min="3" max="3" width="2.140625" style="38" customWidth="1"/>
    <col min="4" max="4" width="27.5703125" style="38" customWidth="1"/>
    <col min="5" max="5" width="28.42578125" style="38" customWidth="1"/>
    <col min="6" max="6" width="6.42578125" style="38" customWidth="1"/>
    <col min="7" max="7" width="36.140625" style="38" customWidth="1"/>
    <col min="8" max="8" width="8" style="38" customWidth="1"/>
    <col min="9" max="9" width="26.28515625" style="38" customWidth="1"/>
    <col min="10" max="10" width="34.42578125" style="38" customWidth="1"/>
    <col min="11" max="11" width="14.42578125" style="38" customWidth="1"/>
    <col min="12" max="12" width="9.7109375" style="38" customWidth="1"/>
    <col min="13" max="13" width="9.5703125" style="38" customWidth="1"/>
    <col min="14" max="14" width="3.85546875" style="38" customWidth="1"/>
    <col min="15" max="15" width="38" style="38" customWidth="1"/>
    <col min="16" max="16" width="2.28515625" style="38" customWidth="1"/>
    <col min="17" max="1024" width="12.140625" style="38" customWidth="1"/>
  </cols>
  <sheetData>
    <row r="1" spans="1:16" ht="23.85" customHeight="1" x14ac:dyDescent="0.35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6" s="45" customFormat="1" ht="23.85" customHeight="1" x14ac:dyDescent="0.35">
      <c r="A2" s="39"/>
      <c r="B2" s="40"/>
      <c r="C2" s="39"/>
      <c r="D2" s="41" t="s">
        <v>57</v>
      </c>
      <c r="E2" s="67" t="str">
        <f>$D9 &amp;"    - Taksit No: " &amp; $D4&amp;"  "</f>
        <v xml:space="preserve">Bursa Fabrika Satış Mağazası – Adem Duman    - Taksit No: # 1 #  </v>
      </c>
      <c r="F2" s="39"/>
      <c r="G2" s="42" t="s">
        <v>58</v>
      </c>
      <c r="H2" s="39"/>
      <c r="I2" s="42" t="s">
        <v>59</v>
      </c>
      <c r="J2" s="42" t="s">
        <v>60</v>
      </c>
      <c r="K2"/>
      <c r="L2" s="39"/>
      <c r="M2" s="42" t="s">
        <v>61</v>
      </c>
      <c r="N2" s="43"/>
      <c r="O2" s="42" t="s">
        <v>38</v>
      </c>
      <c r="P2" s="44"/>
    </row>
    <row r="3" spans="1:16" ht="23.85" customHeight="1" x14ac:dyDescent="0.35">
      <c r="A3" s="34"/>
      <c r="B3" s="46"/>
      <c r="C3" s="47"/>
      <c r="D3" s="48" t="s">
        <v>62</v>
      </c>
      <c r="E3" s="67"/>
      <c r="F3" s="34"/>
      <c r="G3" s="49">
        <f>D17</f>
        <v>44285</v>
      </c>
      <c r="H3" s="50"/>
      <c r="I3" s="51" t="str">
        <f>D6</f>
        <v># 2.000 TL #</v>
      </c>
      <c r="J3" s="52" t="str">
        <f>D7</f>
        <v>#   Krş #</v>
      </c>
      <c r="K3"/>
      <c r="L3" s="50"/>
      <c r="M3" s="53" t="str">
        <f>D4</f>
        <v># 1 #</v>
      </c>
      <c r="N3" s="43"/>
      <c r="O3" s="54">
        <f>D19</f>
        <v>44252</v>
      </c>
      <c r="P3" s="55"/>
    </row>
    <row r="4" spans="1:16" ht="23.85" customHeight="1" x14ac:dyDescent="0.35">
      <c r="A4" s="34"/>
      <c r="B4" s="46"/>
      <c r="C4" s="47"/>
      <c r="D4" s="56" t="str">
        <f>"# "&amp;TEXT(INT('Senet Taksit Giriş'!B3),"##.##0")&amp;" #"</f>
        <v># 1 #</v>
      </c>
      <c r="E4" s="67"/>
      <c r="F4" s="34"/>
      <c r="G4" s="34"/>
      <c r="H4" s="34"/>
      <c r="I4" s="34"/>
      <c r="J4" s="34"/>
      <c r="K4" s="34"/>
      <c r="L4" s="34"/>
      <c r="M4" s="34"/>
      <c r="N4" s="34"/>
      <c r="O4" s="34"/>
      <c r="P4" s="55"/>
    </row>
    <row r="5" spans="1:16" ht="23.85" customHeight="1" x14ac:dyDescent="0.35">
      <c r="A5" s="34"/>
      <c r="B5" s="46"/>
      <c r="C5" s="47"/>
      <c r="D5" s="57" t="s">
        <v>63</v>
      </c>
      <c r="E5" s="67"/>
      <c r="F5" s="68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5" s="68"/>
      <c r="H5" s="68"/>
      <c r="I5" s="68"/>
      <c r="J5" s="68"/>
      <c r="K5" s="68"/>
      <c r="L5" s="68"/>
      <c r="M5" s="68"/>
      <c r="N5" s="68"/>
      <c r="O5" s="68"/>
      <c r="P5" s="55"/>
    </row>
    <row r="6" spans="1:16" ht="23.85" customHeight="1" x14ac:dyDescent="0.35">
      <c r="A6" s="34"/>
      <c r="B6" s="46"/>
      <c r="C6" s="47"/>
      <c r="D6" s="58" t="str">
        <f>"# "&amp;TEXT(INT('Senet Taksit Giriş'!E3),"##.##0")&amp;" TL #"</f>
        <v># 2.000 TL #</v>
      </c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  <c r="P6" s="55"/>
    </row>
    <row r="7" spans="1:16" ht="23.85" customHeight="1" x14ac:dyDescent="0.35">
      <c r="A7" s="34"/>
      <c r="B7" s="46"/>
      <c r="C7" s="34"/>
      <c r="D7" s="56" t="str">
        <f>"# "&amp;TEXT(('Senet Taksit Giriş'!E3-INT('Senet Taksit Giriş'!E3))*100,"##.##")&amp;"  Krş #"</f>
        <v>#   Krş #</v>
      </c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55"/>
    </row>
    <row r="8" spans="1:16" ht="23.85" customHeight="1" x14ac:dyDescent="0.35">
      <c r="A8" s="34"/>
      <c r="B8" s="46"/>
      <c r="C8" s="34"/>
      <c r="D8" s="57" t="s">
        <v>64</v>
      </c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55"/>
    </row>
    <row r="9" spans="1:16" ht="23.85" customHeight="1" x14ac:dyDescent="0.35">
      <c r="A9" s="34"/>
      <c r="B9" s="59"/>
      <c r="C9" s="34"/>
      <c r="D9" s="69" t="str">
        <f>'Senet Borçlu Alacaklı Giriş'!C5</f>
        <v>Bursa Fabrika Satış Mağazası – Adem Duman</v>
      </c>
      <c r="E9" s="67"/>
      <c r="F9" s="43"/>
      <c r="G9" s="43"/>
      <c r="H9" s="43"/>
      <c r="I9" s="43"/>
      <c r="J9" s="43"/>
      <c r="K9" s="43"/>
      <c r="L9" s="43"/>
      <c r="M9" s="43"/>
      <c r="N9" s="43"/>
      <c r="O9" s="43"/>
      <c r="P9" s="55"/>
    </row>
    <row r="10" spans="1:16" ht="23.85" customHeight="1" x14ac:dyDescent="0.35">
      <c r="A10" s="34"/>
      <c r="B10" s="46"/>
      <c r="C10" s="34"/>
      <c r="D10" s="69"/>
      <c r="E10" s="67"/>
      <c r="F10" s="70" t="s">
        <v>65</v>
      </c>
      <c r="G10" s="71" t="str">
        <f>"İsim : "&amp;$D9</f>
        <v>İsim : Bursa Fabrika Satış Mağazası – Adem Duman</v>
      </c>
      <c r="H10" s="71"/>
      <c r="I10" s="71"/>
      <c r="J10" s="71"/>
      <c r="K10" s="72"/>
      <c r="L10" s="72"/>
      <c r="M10" s="72"/>
      <c r="N10" s="72"/>
      <c r="O10" s="37"/>
      <c r="P10" s="55"/>
    </row>
    <row r="11" spans="1:16" ht="23.85" customHeight="1" x14ac:dyDescent="0.35">
      <c r="A11" s="34"/>
      <c r="B11" s="60"/>
      <c r="C11" s="61"/>
      <c r="D11" s="69"/>
      <c r="E11" s="67"/>
      <c r="F11" s="70"/>
      <c r="G11" s="73" t="str">
        <f>"Adres : " &amp;'Senet Borçlu Alacaklı Giriş'!$C$6</f>
        <v>Adres : Hızarhane Cad. No:5 TOKAT</v>
      </c>
      <c r="H11" s="73"/>
      <c r="I11" s="73"/>
      <c r="J11" s="73"/>
      <c r="K11" s="73"/>
      <c r="L11" s="34"/>
      <c r="M11" s="34"/>
      <c r="N11" s="34"/>
      <c r="O11" s="55"/>
      <c r="P11" s="55"/>
    </row>
    <row r="12" spans="1:16" ht="23.85" customHeight="1" x14ac:dyDescent="0.35">
      <c r="A12" s="34"/>
      <c r="B12" s="60"/>
      <c r="C12" s="61"/>
      <c r="D12" s="69"/>
      <c r="E12" s="67"/>
      <c r="F12" s="70"/>
      <c r="G12" s="73"/>
      <c r="H12" s="73"/>
      <c r="I12" s="73"/>
      <c r="J12" s="73"/>
      <c r="K12" s="73"/>
      <c r="L12" s="47" t="s">
        <v>66</v>
      </c>
      <c r="M12" s="47"/>
      <c r="N12" s="43"/>
      <c r="O12" s="55"/>
      <c r="P12" s="55"/>
    </row>
    <row r="13" spans="1:16" ht="23.85" customHeight="1" x14ac:dyDescent="0.35">
      <c r="A13" s="34"/>
      <c r="B13" s="60"/>
      <c r="C13" s="61"/>
      <c r="D13" s="69"/>
      <c r="E13" s="67"/>
      <c r="F13" s="70"/>
      <c r="G13" s="74" t="str">
        <f>"Vergi Dairesi : "&amp;'Senet Borçlu Alacaklı Giriş'!$C$7</f>
        <v>Vergi Dairesi : Tokat</v>
      </c>
      <c r="H13" s="74"/>
      <c r="I13" s="74"/>
      <c r="J13" s="74"/>
      <c r="K13" s="34"/>
      <c r="L13" s="34"/>
      <c r="M13" s="34"/>
      <c r="N13" s="34"/>
      <c r="O13" s="55"/>
      <c r="P13" s="55"/>
    </row>
    <row r="14" spans="1:16" ht="23.85" customHeight="1" x14ac:dyDescent="0.35">
      <c r="A14" s="34"/>
      <c r="B14" s="46"/>
      <c r="C14" s="34"/>
      <c r="D14" s="69"/>
      <c r="E14" s="67"/>
      <c r="F14" s="70"/>
      <c r="G14" s="75" t="str">
        <f>"Vergi No / TC Kimlik No : "&amp;'Senet Borçlu Alacaklı Giriş'!$C$8</f>
        <v>Vergi No / TC Kimlik No : 341 3267 6260</v>
      </c>
      <c r="H14" s="75"/>
      <c r="I14" s="75"/>
      <c r="J14" s="75"/>
      <c r="K14" s="62"/>
      <c r="L14" s="62"/>
      <c r="M14" s="62"/>
      <c r="N14" s="62"/>
      <c r="O14" s="63"/>
      <c r="P14" s="55"/>
    </row>
    <row r="15" spans="1:16" ht="23.85" customHeight="1" x14ac:dyDescent="0.35">
      <c r="A15" s="34"/>
      <c r="B15" s="59"/>
      <c r="C15" s="34"/>
      <c r="D15" s="69"/>
      <c r="E15" s="67"/>
      <c r="F15" s="70" t="s">
        <v>34</v>
      </c>
      <c r="G15" s="76" t="str">
        <f>"İsim Unvan : "&amp;'Senet Borçlu Alacaklı Giriş'!$C$9</f>
        <v>İsim Unvan : Adem Duman</v>
      </c>
      <c r="H15" s="76"/>
      <c r="I15" s="76"/>
      <c r="J15" s="76"/>
      <c r="K15" s="36"/>
      <c r="L15" s="64"/>
      <c r="M15" s="36"/>
      <c r="N15" s="36"/>
      <c r="O15" s="37"/>
      <c r="P15" s="55"/>
    </row>
    <row r="16" spans="1:16" ht="23.85" customHeight="1" x14ac:dyDescent="0.35">
      <c r="A16" s="34"/>
      <c r="B16" s="46"/>
      <c r="C16" s="34"/>
      <c r="D16" s="57" t="s">
        <v>67</v>
      </c>
      <c r="E16" s="67"/>
      <c r="F16" s="70"/>
      <c r="G16" s="73" t="str">
        <f>"Adres : " &amp;'Senet Borçlu Alacaklı Giriş'!$C$10</f>
        <v>Adres : Esentepe Mah. Şehit Ulaşar Cad. Belde Sitesi B Blk. K1: D:3 TOKAT</v>
      </c>
      <c r="H16" s="73"/>
      <c r="I16" s="73"/>
      <c r="J16" s="73"/>
      <c r="K16" s="34"/>
      <c r="L16" s="34"/>
      <c r="M16" s="34"/>
      <c r="N16" s="34"/>
      <c r="O16" s="55"/>
      <c r="P16" s="55"/>
    </row>
    <row r="17" spans="1:16" ht="23.85" customHeight="1" x14ac:dyDescent="0.35">
      <c r="A17" s="34"/>
      <c r="B17" s="59"/>
      <c r="C17" s="34"/>
      <c r="D17" s="65">
        <f>'Senet Taksit Giriş'!D3</f>
        <v>44285</v>
      </c>
      <c r="E17" s="67"/>
      <c r="F17" s="70"/>
      <c r="G17" s="73"/>
      <c r="H17" s="73"/>
      <c r="I17" s="73"/>
      <c r="J17" s="73"/>
      <c r="K17" s="34"/>
      <c r="L17" s="47" t="s">
        <v>66</v>
      </c>
      <c r="M17" s="34"/>
      <c r="N17" s="34"/>
      <c r="O17" s="55"/>
      <c r="P17" s="55"/>
    </row>
    <row r="18" spans="1:16" ht="23.85" customHeight="1" x14ac:dyDescent="0.35">
      <c r="A18" s="34"/>
      <c r="B18" s="46"/>
      <c r="C18" s="34"/>
      <c r="D18" s="57" t="s">
        <v>68</v>
      </c>
      <c r="E18" s="67"/>
      <c r="F18" s="70"/>
      <c r="G18" s="74" t="str">
        <f>"Vergi Dairesi : "&amp;'Senet Borçlu Alacaklı Giriş'!$C$11</f>
        <v>Vergi Dairesi : Tokat</v>
      </c>
      <c r="H18" s="74"/>
      <c r="I18" s="74"/>
      <c r="J18" s="74"/>
      <c r="K18" s="34"/>
      <c r="L18" s="34"/>
      <c r="M18" s="34"/>
      <c r="N18" s="34"/>
      <c r="O18" s="55"/>
      <c r="P18" s="55"/>
    </row>
    <row r="19" spans="1:16" ht="23.85" customHeight="1" x14ac:dyDescent="0.35">
      <c r="A19" s="34"/>
      <c r="B19" s="46"/>
      <c r="C19" s="34"/>
      <c r="D19" s="65">
        <f>'Senet Taksit Giriş'!C3</f>
        <v>44252</v>
      </c>
      <c r="E19" s="67"/>
      <c r="F19" s="70"/>
      <c r="G19" s="75" t="str">
        <f>"Vergi No / TC Kimlik No : "&amp;'Senet Borçlu Alacaklı Giriş'!$C$12</f>
        <v>Vergi No / TC Kimlik No : 341 3267 6260</v>
      </c>
      <c r="H19" s="75"/>
      <c r="I19" s="75"/>
      <c r="J19" s="75"/>
      <c r="K19" s="62"/>
      <c r="L19" s="62"/>
      <c r="M19" s="62"/>
      <c r="N19" s="62"/>
      <c r="O19" s="63"/>
      <c r="P19" s="55"/>
    </row>
    <row r="20" spans="1:16" ht="23.85" customHeight="1" x14ac:dyDescent="0.35">
      <c r="A20" s="34"/>
      <c r="B20" s="66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16" ht="23.85" customHeight="1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16" ht="23.85" customHeight="1" x14ac:dyDescent="0.35">
      <c r="A22" s="34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ht="23.85" customHeight="1" x14ac:dyDescent="0.35">
      <c r="A23" s="39"/>
      <c r="B23" s="40"/>
      <c r="C23" s="39"/>
      <c r="D23" s="41" t="s">
        <v>57</v>
      </c>
      <c r="E23" s="67" t="str">
        <f>$D30 &amp;"    - Taksit No: " &amp; $D25&amp;"  "</f>
        <v xml:space="preserve">Bursa Fabrika Satış Mağazası – Adem Duman    - Taksit No: # 2 #  </v>
      </c>
      <c r="F23" s="39"/>
      <c r="G23" s="42" t="s">
        <v>58</v>
      </c>
      <c r="H23" s="39"/>
      <c r="I23" s="42" t="s">
        <v>59</v>
      </c>
      <c r="J23" s="42" t="s">
        <v>60</v>
      </c>
      <c r="K23"/>
      <c r="L23" s="39"/>
      <c r="M23" s="42" t="s">
        <v>61</v>
      </c>
      <c r="N23" s="43"/>
      <c r="O23" s="42" t="s">
        <v>38</v>
      </c>
      <c r="P23" s="44"/>
    </row>
    <row r="24" spans="1:16" ht="23.85" customHeight="1" x14ac:dyDescent="0.35">
      <c r="A24" s="34"/>
      <c r="B24" s="46"/>
      <c r="C24" s="47"/>
      <c r="D24" s="48" t="s">
        <v>62</v>
      </c>
      <c r="E24" s="67"/>
      <c r="F24" s="34"/>
      <c r="G24" s="49">
        <f>D38</f>
        <v>44316</v>
      </c>
      <c r="H24" s="50"/>
      <c r="I24" s="51" t="str">
        <f>D27</f>
        <v># 2.000 TL #</v>
      </c>
      <c r="J24" s="52" t="str">
        <f>D28</f>
        <v>#   Krş #</v>
      </c>
      <c r="K24"/>
      <c r="L24" s="50"/>
      <c r="M24" s="53" t="str">
        <f>D25</f>
        <v># 2 #</v>
      </c>
      <c r="N24" s="43"/>
      <c r="O24" s="54">
        <f>D40</f>
        <v>44252</v>
      </c>
      <c r="P24" s="55"/>
    </row>
    <row r="25" spans="1:16" ht="23.85" customHeight="1" x14ac:dyDescent="0.35">
      <c r="A25" s="34"/>
      <c r="B25" s="46"/>
      <c r="C25" s="47"/>
      <c r="D25" s="56" t="str">
        <f>"# "&amp;TEXT(INT('Senet Taksit Giriş'!B4),"##.##0")&amp;" #"</f>
        <v># 2 #</v>
      </c>
      <c r="E25" s="67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55"/>
    </row>
    <row r="26" spans="1:16" ht="23.85" customHeight="1" x14ac:dyDescent="0.35">
      <c r="A26" s="34"/>
      <c r="B26" s="46"/>
      <c r="C26" s="47"/>
      <c r="D26" s="57" t="s">
        <v>63</v>
      </c>
      <c r="E26" s="67"/>
      <c r="F26" s="68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6" s="68"/>
      <c r="H26" s="68"/>
      <c r="I26" s="68"/>
      <c r="J26" s="68"/>
      <c r="K26" s="68"/>
      <c r="L26" s="68"/>
      <c r="M26" s="68"/>
      <c r="N26" s="68"/>
      <c r="O26" s="68"/>
      <c r="P26" s="55"/>
    </row>
    <row r="27" spans="1:16" ht="23.85" customHeight="1" x14ac:dyDescent="0.35">
      <c r="A27" s="34"/>
      <c r="B27" s="46"/>
      <c r="C27" s="47"/>
      <c r="D27" s="58" t="str">
        <f>"# "&amp;TEXT(INT('Senet Taksit Giriş'!E4),"##.##0")&amp;" TL #"</f>
        <v># 2.000 TL #</v>
      </c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55"/>
    </row>
    <row r="28" spans="1:16" ht="23.85" customHeight="1" x14ac:dyDescent="0.35">
      <c r="A28" s="34"/>
      <c r="B28" s="46"/>
      <c r="C28" s="34"/>
      <c r="D28" s="56" t="str">
        <f>"# "&amp;TEXT(('Senet Taksit Giriş'!E24-INT('Senet Taksit Giriş'!E24))*100,"##.##")&amp;"  Krş #"</f>
        <v>#   Krş #</v>
      </c>
      <c r="E28" s="67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55"/>
    </row>
    <row r="29" spans="1:16" ht="23.85" customHeight="1" x14ac:dyDescent="0.35">
      <c r="A29" s="34"/>
      <c r="B29" s="46"/>
      <c r="C29" s="34"/>
      <c r="D29" s="57" t="s">
        <v>64</v>
      </c>
      <c r="E29" s="67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55"/>
    </row>
    <row r="30" spans="1:16" ht="23.85" customHeight="1" x14ac:dyDescent="0.35">
      <c r="A30" s="34"/>
      <c r="B30" s="59"/>
      <c r="C30" s="34"/>
      <c r="D30" s="69" t="str">
        <f>$D$9</f>
        <v>Bursa Fabrika Satış Mağazası – Adem Duman</v>
      </c>
      <c r="E30" s="67"/>
      <c r="F30"/>
      <c r="G30"/>
      <c r="H30"/>
      <c r="I30"/>
      <c r="J30"/>
      <c r="K30"/>
      <c r="L30"/>
      <c r="M30"/>
      <c r="N30"/>
      <c r="O30"/>
      <c r="P30" s="55"/>
    </row>
    <row r="31" spans="1:16" ht="23.85" customHeight="1" x14ac:dyDescent="0.35">
      <c r="A31" s="34"/>
      <c r="B31" s="46"/>
      <c r="C31" s="34"/>
      <c r="D31" s="69"/>
      <c r="E31" s="67"/>
      <c r="F31" s="70" t="s">
        <v>65</v>
      </c>
      <c r="G31" s="76" t="str">
        <f>"İsim : "&amp;$D30</f>
        <v>İsim : Bursa Fabrika Satış Mağazası – Adem Duman</v>
      </c>
      <c r="H31" s="76"/>
      <c r="I31" s="76"/>
      <c r="J31" s="76"/>
      <c r="K31" s="36"/>
      <c r="L31" s="36"/>
      <c r="M31" s="72"/>
      <c r="N31" s="72"/>
      <c r="O31" s="37"/>
      <c r="P31" s="55"/>
    </row>
    <row r="32" spans="1:16" ht="23.85" customHeight="1" x14ac:dyDescent="0.35">
      <c r="A32" s="34"/>
      <c r="B32" s="60"/>
      <c r="C32" s="61"/>
      <c r="D32" s="69"/>
      <c r="E32" s="67"/>
      <c r="F32" s="70"/>
      <c r="G32" s="73" t="str">
        <f>"Adres : " &amp;'Senet Borçlu Alacaklı Giriş'!$C$6</f>
        <v>Adres : Hızarhane Cad. No:5 TOKAT</v>
      </c>
      <c r="H32" s="73"/>
      <c r="I32" s="73"/>
      <c r="J32" s="73"/>
      <c r="K32" s="73"/>
      <c r="L32" s="34"/>
      <c r="M32" s="34"/>
      <c r="N32" s="34"/>
      <c r="O32" s="55"/>
      <c r="P32" s="55"/>
    </row>
    <row r="33" spans="1:16" ht="23.85" customHeight="1" x14ac:dyDescent="0.35">
      <c r="A33" s="34"/>
      <c r="B33" s="60"/>
      <c r="C33" s="61"/>
      <c r="D33" s="69"/>
      <c r="E33" s="67"/>
      <c r="F33" s="70"/>
      <c r="G33" s="73"/>
      <c r="H33" s="73"/>
      <c r="I33" s="73"/>
      <c r="J33" s="73"/>
      <c r="K33" s="73"/>
      <c r="L33" s="47" t="s">
        <v>66</v>
      </c>
      <c r="M33" s="47"/>
      <c r="N33" s="43"/>
      <c r="O33" s="55"/>
      <c r="P33" s="55"/>
    </row>
    <row r="34" spans="1:16" ht="23.85" customHeight="1" x14ac:dyDescent="0.35">
      <c r="A34" s="34"/>
      <c r="B34" s="60"/>
      <c r="C34" s="61"/>
      <c r="D34" s="69"/>
      <c r="E34" s="67"/>
      <c r="F34" s="70"/>
      <c r="G34" s="74" t="str">
        <f>"Vergi Dairesi : "&amp;'Senet Borçlu Alacaklı Giriş'!$C$7</f>
        <v>Vergi Dairesi : Tokat</v>
      </c>
      <c r="H34" s="74"/>
      <c r="I34" s="74"/>
      <c r="J34" s="74"/>
      <c r="K34" s="34"/>
      <c r="L34" s="34"/>
      <c r="M34" s="34"/>
      <c r="N34" s="34"/>
      <c r="O34" s="55"/>
      <c r="P34" s="55"/>
    </row>
    <row r="35" spans="1:16" ht="23.85" customHeight="1" x14ac:dyDescent="0.35">
      <c r="A35" s="34"/>
      <c r="B35" s="46"/>
      <c r="C35" s="34"/>
      <c r="D35" s="69"/>
      <c r="E35" s="67"/>
      <c r="F35" s="70"/>
      <c r="G35" s="75" t="str">
        <f>"Vergi No / TC Kimlik No : "&amp;'Senet Borçlu Alacaklı Giriş'!$C$8</f>
        <v>Vergi No / TC Kimlik No : 341 3267 6260</v>
      </c>
      <c r="H35" s="75"/>
      <c r="I35" s="75"/>
      <c r="J35" s="75"/>
      <c r="K35" s="62"/>
      <c r="L35" s="62"/>
      <c r="M35" s="62"/>
      <c r="N35" s="62"/>
      <c r="O35" s="63"/>
      <c r="P35" s="55"/>
    </row>
    <row r="36" spans="1:16" ht="23.85" customHeight="1" x14ac:dyDescent="0.35">
      <c r="A36" s="34"/>
      <c r="B36" s="59"/>
      <c r="C36" s="34"/>
      <c r="D36" s="69"/>
      <c r="E36" s="67"/>
      <c r="F36" s="70" t="s">
        <v>34</v>
      </c>
      <c r="G36" s="76" t="str">
        <f>"İsim Unvan : "&amp;'Senet Borçlu Alacaklı Giriş'!$C$9</f>
        <v>İsim Unvan : Adem Duman</v>
      </c>
      <c r="H36" s="76"/>
      <c r="I36" s="76"/>
      <c r="J36" s="76"/>
      <c r="K36" s="36"/>
      <c r="L36" s="64"/>
      <c r="M36" s="36"/>
      <c r="N36" s="36"/>
      <c r="O36" s="37"/>
      <c r="P36" s="55"/>
    </row>
    <row r="37" spans="1:16" ht="23.85" customHeight="1" x14ac:dyDescent="0.35">
      <c r="A37" s="34"/>
      <c r="B37" s="46"/>
      <c r="C37" s="34"/>
      <c r="D37" s="57" t="s">
        <v>67</v>
      </c>
      <c r="E37" s="67"/>
      <c r="F37" s="70"/>
      <c r="G37" s="73" t="str">
        <f>"Adres : " &amp;'Senet Borçlu Alacaklı Giriş'!$C$10</f>
        <v>Adres : Esentepe Mah. Şehit Ulaşar Cad. Belde Sitesi B Blk. K1: D:3 TOKAT</v>
      </c>
      <c r="H37" s="73"/>
      <c r="I37" s="73"/>
      <c r="J37" s="73"/>
      <c r="K37" s="34"/>
      <c r="L37" s="34"/>
      <c r="M37" s="34"/>
      <c r="N37" s="34"/>
      <c r="O37" s="55"/>
      <c r="P37" s="55"/>
    </row>
    <row r="38" spans="1:16" ht="23.85" customHeight="1" x14ac:dyDescent="0.35">
      <c r="A38" s="34"/>
      <c r="B38" s="59"/>
      <c r="C38" s="34"/>
      <c r="D38" s="65">
        <f>'Senet Taksit Giriş'!D4</f>
        <v>44316</v>
      </c>
      <c r="E38" s="67"/>
      <c r="F38" s="70"/>
      <c r="G38" s="73"/>
      <c r="H38" s="73"/>
      <c r="I38" s="73"/>
      <c r="J38" s="73"/>
      <c r="K38" s="34"/>
      <c r="L38" s="47" t="s">
        <v>66</v>
      </c>
      <c r="M38" s="34"/>
      <c r="N38" s="34"/>
      <c r="O38" s="55"/>
      <c r="P38" s="55"/>
    </row>
    <row r="39" spans="1:16" ht="23.85" customHeight="1" x14ac:dyDescent="0.35">
      <c r="A39" s="34"/>
      <c r="B39" s="46"/>
      <c r="C39" s="34"/>
      <c r="D39" s="57" t="s">
        <v>68</v>
      </c>
      <c r="E39" s="67"/>
      <c r="F39" s="70"/>
      <c r="G39" s="74" t="str">
        <f>"Vergi Dairesi : "&amp;'Senet Borçlu Alacaklı Giriş'!$C$11</f>
        <v>Vergi Dairesi : Tokat</v>
      </c>
      <c r="H39" s="74"/>
      <c r="I39" s="74"/>
      <c r="J39" s="74"/>
      <c r="K39" s="34"/>
      <c r="L39" s="34"/>
      <c r="M39" s="34"/>
      <c r="N39" s="34"/>
      <c r="O39" s="55"/>
      <c r="P39" s="55"/>
    </row>
    <row r="40" spans="1:16" ht="23.85" customHeight="1" x14ac:dyDescent="0.35">
      <c r="A40" s="34"/>
      <c r="B40" s="46"/>
      <c r="C40" s="34"/>
      <c r="D40" s="65">
        <f>'Senet Taksit Giriş'!C4</f>
        <v>44252</v>
      </c>
      <c r="E40" s="67"/>
      <c r="F40" s="70"/>
      <c r="G40" s="75" t="str">
        <f>"Vergi No / TC Kimlik No : "&amp;'Senet Borçlu Alacaklı Giriş'!$C$12</f>
        <v>Vergi No / TC Kimlik No : 341 3267 6260</v>
      </c>
      <c r="H40" s="75"/>
      <c r="I40" s="75"/>
      <c r="J40" s="75"/>
      <c r="K40" s="62"/>
      <c r="L40" s="62"/>
      <c r="M40" s="62"/>
      <c r="N40" s="62"/>
      <c r="O40" s="63"/>
      <c r="P40" s="55"/>
    </row>
    <row r="41" spans="1:16" ht="23.85" customHeight="1" x14ac:dyDescent="0.35">
      <c r="A41" s="34"/>
      <c r="B41" s="66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1:16" ht="23.25" x14ac:dyDescent="0.35"/>
    <row r="43" spans="1:16" ht="23.85" customHeight="1" x14ac:dyDescent="0.35">
      <c r="A43" s="34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7"/>
    </row>
    <row r="44" spans="1:16" ht="23.85" customHeight="1" x14ac:dyDescent="0.35">
      <c r="A44" s="39"/>
      <c r="B44" s="40"/>
      <c r="C44" s="39"/>
      <c r="D44" s="41" t="s">
        <v>57</v>
      </c>
      <c r="E44" s="67" t="str">
        <f>$D51 &amp;"    - Taksit No: " &amp; $D46&amp;"  "</f>
        <v xml:space="preserve">Bursa Fabrika Satış Mağazası – Adem Duman    - Taksit No: # 3 #  </v>
      </c>
      <c r="F44" s="39"/>
      <c r="G44" s="42" t="s">
        <v>58</v>
      </c>
      <c r="H44" s="39"/>
      <c r="I44" s="42" t="s">
        <v>59</v>
      </c>
      <c r="J44" s="42" t="s">
        <v>60</v>
      </c>
      <c r="K44"/>
      <c r="L44" s="39"/>
      <c r="M44" s="42" t="s">
        <v>61</v>
      </c>
      <c r="N44" s="43"/>
      <c r="O44" s="42" t="s">
        <v>38</v>
      </c>
      <c r="P44" s="44"/>
    </row>
    <row r="45" spans="1:16" ht="23.85" customHeight="1" x14ac:dyDescent="0.35">
      <c r="A45" s="34"/>
      <c r="B45" s="46"/>
      <c r="C45" s="47"/>
      <c r="D45" s="48" t="s">
        <v>62</v>
      </c>
      <c r="E45" s="67"/>
      <c r="F45" s="34"/>
      <c r="G45" s="49">
        <f>D59</f>
        <v>44346</v>
      </c>
      <c r="H45" s="50"/>
      <c r="I45" s="51" t="str">
        <f>D48</f>
        <v># 2.000 TL #</v>
      </c>
      <c r="J45" s="52" t="str">
        <f>D49</f>
        <v>#   Krş #</v>
      </c>
      <c r="K45"/>
      <c r="L45" s="50"/>
      <c r="M45" s="53" t="str">
        <f>D46</f>
        <v># 3 #</v>
      </c>
      <c r="N45" s="43"/>
      <c r="O45" s="54">
        <f>D61</f>
        <v>44252</v>
      </c>
      <c r="P45" s="55"/>
    </row>
    <row r="46" spans="1:16" ht="23.85" customHeight="1" x14ac:dyDescent="0.35">
      <c r="A46" s="34"/>
      <c r="B46" s="46"/>
      <c r="C46" s="47"/>
      <c r="D46" s="56" t="str">
        <f>"# "&amp;TEXT(INT('Senet Taksit Giriş'!B5),"##.##0")&amp;" #"</f>
        <v># 3 #</v>
      </c>
      <c r="E46" s="67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55"/>
    </row>
    <row r="47" spans="1:16" ht="23.85" customHeight="1" x14ac:dyDescent="0.35">
      <c r="A47" s="34"/>
      <c r="B47" s="46"/>
      <c r="C47" s="47"/>
      <c r="D47" s="57" t="s">
        <v>63</v>
      </c>
      <c r="E47" s="67"/>
      <c r="F47" s="68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47" s="68"/>
      <c r="H47" s="68"/>
      <c r="I47" s="68"/>
      <c r="J47" s="68"/>
      <c r="K47" s="68"/>
      <c r="L47" s="68"/>
      <c r="M47" s="68"/>
      <c r="N47" s="68"/>
      <c r="O47" s="68"/>
      <c r="P47" s="55"/>
    </row>
    <row r="48" spans="1:16" ht="23.85" customHeight="1" x14ac:dyDescent="0.35">
      <c r="A48" s="34"/>
      <c r="B48" s="46"/>
      <c r="C48" s="47"/>
      <c r="D48" s="58" t="str">
        <f>"# "&amp;TEXT(INT('Senet Taksit Giriş'!E5),"##.##0")&amp;" TL #"</f>
        <v># 2.000 TL #</v>
      </c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55"/>
    </row>
    <row r="49" spans="1:16" ht="23.85" customHeight="1" x14ac:dyDescent="0.35">
      <c r="A49" s="34"/>
      <c r="B49" s="46"/>
      <c r="C49" s="34"/>
      <c r="D49" s="56" t="str">
        <f>"# "&amp;TEXT(('Senet Taksit Giriş'!E46-INT('Senet Taksit Giriş'!E46))*100,"##.##")&amp;"  Krş #"</f>
        <v>#   Krş #</v>
      </c>
      <c r="E49" s="67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55"/>
    </row>
    <row r="50" spans="1:16" ht="23.85" customHeight="1" x14ac:dyDescent="0.35">
      <c r="A50" s="34"/>
      <c r="B50" s="46"/>
      <c r="C50" s="34"/>
      <c r="D50" s="57" t="s">
        <v>64</v>
      </c>
      <c r="E50" s="67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55"/>
    </row>
    <row r="51" spans="1:16" ht="23.85" customHeight="1" x14ac:dyDescent="0.35">
      <c r="A51" s="34"/>
      <c r="B51" s="59"/>
      <c r="C51" s="34"/>
      <c r="D51" s="69" t="str">
        <f>$D$9</f>
        <v>Bursa Fabrika Satış Mağazası – Adem Duman</v>
      </c>
      <c r="E51" s="67"/>
      <c r="F51"/>
      <c r="G51"/>
      <c r="H51"/>
      <c r="I51"/>
      <c r="J51"/>
      <c r="K51"/>
      <c r="L51"/>
      <c r="M51"/>
      <c r="N51"/>
      <c r="O51"/>
      <c r="P51" s="55"/>
    </row>
    <row r="52" spans="1:16" ht="23.85" customHeight="1" x14ac:dyDescent="0.35">
      <c r="A52" s="34"/>
      <c r="B52" s="46"/>
      <c r="C52" s="34"/>
      <c r="D52" s="69"/>
      <c r="E52" s="67"/>
      <c r="F52" s="70" t="s">
        <v>65</v>
      </c>
      <c r="G52" s="76" t="str">
        <f>"İsim : "&amp;$D51</f>
        <v>İsim : Bursa Fabrika Satış Mağazası – Adem Duman</v>
      </c>
      <c r="H52" s="76"/>
      <c r="I52" s="76"/>
      <c r="J52" s="76"/>
      <c r="K52" s="36"/>
      <c r="L52" s="36"/>
      <c r="M52" s="72"/>
      <c r="N52" s="72"/>
      <c r="O52" s="37"/>
      <c r="P52" s="55"/>
    </row>
    <row r="53" spans="1:16" ht="23.85" customHeight="1" x14ac:dyDescent="0.35">
      <c r="A53" s="34"/>
      <c r="B53" s="60"/>
      <c r="C53" s="61"/>
      <c r="D53" s="69"/>
      <c r="E53" s="67"/>
      <c r="F53" s="70"/>
      <c r="G53" s="73" t="str">
        <f>"Adres : " &amp;'Senet Borçlu Alacaklı Giriş'!$C$6</f>
        <v>Adres : Hızarhane Cad. No:5 TOKAT</v>
      </c>
      <c r="H53" s="73"/>
      <c r="I53" s="73"/>
      <c r="J53" s="73"/>
      <c r="K53" s="73"/>
      <c r="L53" s="34"/>
      <c r="M53" s="34"/>
      <c r="N53" s="34"/>
      <c r="O53" s="55"/>
      <c r="P53" s="55"/>
    </row>
    <row r="54" spans="1:16" ht="23.85" customHeight="1" x14ac:dyDescent="0.35">
      <c r="A54" s="34"/>
      <c r="B54" s="60"/>
      <c r="C54" s="61"/>
      <c r="D54" s="69"/>
      <c r="E54" s="67"/>
      <c r="F54" s="70"/>
      <c r="G54" s="73"/>
      <c r="H54" s="73"/>
      <c r="I54" s="73"/>
      <c r="J54" s="73"/>
      <c r="K54" s="73"/>
      <c r="L54" s="47" t="s">
        <v>66</v>
      </c>
      <c r="M54" s="47"/>
      <c r="N54" s="43"/>
      <c r="O54" s="55"/>
      <c r="P54" s="55"/>
    </row>
    <row r="55" spans="1:16" ht="23.85" customHeight="1" x14ac:dyDescent="0.35">
      <c r="A55" s="34"/>
      <c r="B55" s="60"/>
      <c r="C55" s="61"/>
      <c r="D55" s="69"/>
      <c r="E55" s="67"/>
      <c r="F55" s="70"/>
      <c r="G55" s="74" t="str">
        <f>"Vergi Dairesi : "&amp;'Senet Borçlu Alacaklı Giriş'!$C$7</f>
        <v>Vergi Dairesi : Tokat</v>
      </c>
      <c r="H55" s="74"/>
      <c r="I55" s="74"/>
      <c r="J55" s="74"/>
      <c r="K55" s="34"/>
      <c r="L55" s="34"/>
      <c r="M55" s="34"/>
      <c r="N55" s="34"/>
      <c r="O55" s="55"/>
      <c r="P55" s="55"/>
    </row>
    <row r="56" spans="1:16" ht="23.85" customHeight="1" x14ac:dyDescent="0.35">
      <c r="A56" s="34"/>
      <c r="B56" s="46"/>
      <c r="C56" s="34"/>
      <c r="D56" s="69"/>
      <c r="E56" s="67"/>
      <c r="F56" s="70"/>
      <c r="G56" s="75" t="str">
        <f>"Vergi No / TC Kimlik No : "&amp;'Senet Borçlu Alacaklı Giriş'!$C$8</f>
        <v>Vergi No / TC Kimlik No : 341 3267 6260</v>
      </c>
      <c r="H56" s="75"/>
      <c r="I56" s="75"/>
      <c r="J56" s="75"/>
      <c r="K56" s="62"/>
      <c r="L56" s="62"/>
      <c r="M56" s="62"/>
      <c r="N56" s="62"/>
      <c r="O56" s="63"/>
      <c r="P56" s="55"/>
    </row>
    <row r="57" spans="1:16" ht="23.85" customHeight="1" x14ac:dyDescent="0.35">
      <c r="A57" s="34"/>
      <c r="B57" s="59"/>
      <c r="C57" s="34"/>
      <c r="D57" s="69"/>
      <c r="E57" s="67"/>
      <c r="F57" s="70" t="s">
        <v>34</v>
      </c>
      <c r="G57" s="76" t="str">
        <f>"İsim Unvan : "&amp;'Senet Borçlu Alacaklı Giriş'!$C$9</f>
        <v>İsim Unvan : Adem Duman</v>
      </c>
      <c r="H57" s="76"/>
      <c r="I57" s="76"/>
      <c r="J57" s="76"/>
      <c r="K57" s="36"/>
      <c r="L57" s="64"/>
      <c r="M57" s="36"/>
      <c r="N57" s="36"/>
      <c r="O57" s="37"/>
      <c r="P57" s="55"/>
    </row>
    <row r="58" spans="1:16" ht="23.85" customHeight="1" x14ac:dyDescent="0.35">
      <c r="A58" s="34"/>
      <c r="B58" s="46"/>
      <c r="C58" s="34"/>
      <c r="D58" s="57" t="s">
        <v>67</v>
      </c>
      <c r="E58" s="67"/>
      <c r="F58" s="70"/>
      <c r="G58" s="73" t="str">
        <f>"Adres : " &amp;'Senet Borçlu Alacaklı Giriş'!$C$10</f>
        <v>Adres : Esentepe Mah. Şehit Ulaşar Cad. Belde Sitesi B Blk. K1: D:3 TOKAT</v>
      </c>
      <c r="H58" s="73"/>
      <c r="I58" s="73"/>
      <c r="J58" s="73"/>
      <c r="K58" s="34"/>
      <c r="L58" s="34"/>
      <c r="M58" s="34"/>
      <c r="N58" s="34"/>
      <c r="O58" s="55"/>
      <c r="P58" s="55"/>
    </row>
    <row r="59" spans="1:16" ht="23.85" customHeight="1" x14ac:dyDescent="0.35">
      <c r="A59" s="34"/>
      <c r="B59" s="59"/>
      <c r="C59" s="34"/>
      <c r="D59" s="65">
        <f>'Senet Taksit Giriş'!D5</f>
        <v>44346</v>
      </c>
      <c r="E59" s="67"/>
      <c r="F59" s="70"/>
      <c r="G59" s="73"/>
      <c r="H59" s="73"/>
      <c r="I59" s="73"/>
      <c r="J59" s="73"/>
      <c r="K59" s="34"/>
      <c r="L59" s="47" t="s">
        <v>66</v>
      </c>
      <c r="M59" s="34"/>
      <c r="N59" s="34"/>
      <c r="O59" s="55"/>
      <c r="P59" s="55"/>
    </row>
    <row r="60" spans="1:16" ht="23.85" customHeight="1" x14ac:dyDescent="0.35">
      <c r="A60" s="34"/>
      <c r="B60" s="46"/>
      <c r="C60" s="34"/>
      <c r="D60" s="57" t="s">
        <v>68</v>
      </c>
      <c r="E60" s="67"/>
      <c r="F60" s="70"/>
      <c r="G60" s="74" t="str">
        <f>"Vergi Dairesi : "&amp;'Senet Borçlu Alacaklı Giriş'!$C$11</f>
        <v>Vergi Dairesi : Tokat</v>
      </c>
      <c r="H60" s="74"/>
      <c r="I60" s="74"/>
      <c r="J60" s="74"/>
      <c r="K60" s="34"/>
      <c r="L60" s="34"/>
      <c r="M60" s="34"/>
      <c r="N60" s="34"/>
      <c r="O60" s="55"/>
      <c r="P60" s="55"/>
    </row>
    <row r="61" spans="1:16" ht="23.85" customHeight="1" x14ac:dyDescent="0.35">
      <c r="A61" s="34"/>
      <c r="B61" s="46"/>
      <c r="C61" s="34"/>
      <c r="D61" s="65">
        <f>'Senet Taksit Giriş'!C5</f>
        <v>44252</v>
      </c>
      <c r="E61" s="67"/>
      <c r="F61" s="70"/>
      <c r="G61" s="75" t="str">
        <f>"Vergi No / TC Kimlik No : "&amp;'Senet Borçlu Alacaklı Giriş'!$C$12</f>
        <v>Vergi No / TC Kimlik No : 341 3267 6260</v>
      </c>
      <c r="H61" s="75"/>
      <c r="I61" s="75"/>
      <c r="J61" s="75"/>
      <c r="K61" s="62"/>
      <c r="L61" s="62"/>
      <c r="M61" s="62"/>
      <c r="N61" s="62"/>
      <c r="O61" s="63"/>
      <c r="P61" s="55"/>
    </row>
    <row r="62" spans="1:16" ht="23.85" customHeight="1" x14ac:dyDescent="0.35">
      <c r="A62" s="34"/>
      <c r="B62" s="66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3"/>
    </row>
    <row r="63" spans="1:16" ht="23.85" customHeight="1" x14ac:dyDescent="0.35">
      <c r="A63" s="34"/>
      <c r="B63" s="3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7"/>
    </row>
    <row r="64" spans="1:16" ht="23.85" customHeight="1" x14ac:dyDescent="0.35">
      <c r="A64" s="39"/>
      <c r="B64" s="40"/>
      <c r="C64" s="39"/>
      <c r="D64" s="41" t="s">
        <v>57</v>
      </c>
      <c r="E64" s="67" t="str">
        <f>$D71 &amp;"    - Taksit No: " &amp; $D66&amp;"  "</f>
        <v xml:space="preserve">Bursa Fabrika Satış Mağazası – Adem Duman    - Taksit No: # 4 #  </v>
      </c>
      <c r="F64" s="39"/>
      <c r="G64" s="42" t="s">
        <v>58</v>
      </c>
      <c r="H64" s="39"/>
      <c r="I64" s="42" t="s">
        <v>59</v>
      </c>
      <c r="J64" s="42" t="s">
        <v>60</v>
      </c>
      <c r="K64"/>
      <c r="L64" s="39"/>
      <c r="M64" s="42" t="s">
        <v>61</v>
      </c>
      <c r="N64" s="43"/>
      <c r="O64" s="42" t="s">
        <v>38</v>
      </c>
      <c r="P64" s="44"/>
    </row>
    <row r="65" spans="1:16" ht="23.85" customHeight="1" x14ac:dyDescent="0.35">
      <c r="A65" s="34"/>
      <c r="B65" s="46"/>
      <c r="C65" s="47"/>
      <c r="D65" s="48" t="s">
        <v>62</v>
      </c>
      <c r="E65" s="67"/>
      <c r="F65" s="34"/>
      <c r="G65" s="49">
        <f>D79</f>
        <v>44377</v>
      </c>
      <c r="H65" s="50"/>
      <c r="I65" s="51" t="str">
        <f>D68</f>
        <v># 2.000 TL #</v>
      </c>
      <c r="J65" s="52" t="str">
        <f>D69</f>
        <v>#   Krş #</v>
      </c>
      <c r="K65"/>
      <c r="L65" s="50"/>
      <c r="M65" s="53" t="str">
        <f>D66</f>
        <v># 4 #</v>
      </c>
      <c r="N65" s="43"/>
      <c r="O65" s="54">
        <f>D81</f>
        <v>44252</v>
      </c>
      <c r="P65" s="55"/>
    </row>
    <row r="66" spans="1:16" ht="23.85" customHeight="1" x14ac:dyDescent="0.35">
      <c r="A66" s="34"/>
      <c r="B66" s="46"/>
      <c r="C66" s="47"/>
      <c r="D66" s="56" t="str">
        <f>"# "&amp;TEXT(INT('Senet Taksit Giriş'!B6),"##.##0")&amp;" #"</f>
        <v># 4 #</v>
      </c>
      <c r="E66" s="67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55"/>
    </row>
    <row r="67" spans="1:16" ht="23.85" customHeight="1" x14ac:dyDescent="0.35">
      <c r="A67" s="34"/>
      <c r="B67" s="46"/>
      <c r="C67" s="47"/>
      <c r="D67" s="57" t="s">
        <v>63</v>
      </c>
      <c r="E67" s="67"/>
      <c r="F67" s="68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67" s="68"/>
      <c r="H67" s="68"/>
      <c r="I67" s="68"/>
      <c r="J67" s="68"/>
      <c r="K67" s="68"/>
      <c r="L67" s="68"/>
      <c r="M67" s="68"/>
      <c r="N67" s="68"/>
      <c r="O67" s="68"/>
      <c r="P67" s="55"/>
    </row>
    <row r="68" spans="1:16" ht="23.85" customHeight="1" x14ac:dyDescent="0.35">
      <c r="A68" s="34"/>
      <c r="B68" s="46"/>
      <c r="C68" s="47"/>
      <c r="D68" s="58" t="str">
        <f>"# "&amp;TEXT(INT('Senet Taksit Giriş'!E6),"##.##0")&amp;" TL #"</f>
        <v># 2.000 TL #</v>
      </c>
      <c r="E68" s="67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55"/>
    </row>
    <row r="69" spans="1:16" ht="23.85" customHeight="1" x14ac:dyDescent="0.35">
      <c r="A69" s="34"/>
      <c r="B69" s="46"/>
      <c r="C69" s="34"/>
      <c r="D69" s="56" t="str">
        <f>"# "&amp;TEXT(('Senet Taksit Giriş'!E68-INT('Senet Taksit Giriş'!E68))*100,"##.##")&amp;"  Krş #"</f>
        <v>#   Krş #</v>
      </c>
      <c r="E69" s="67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55"/>
    </row>
    <row r="70" spans="1:16" ht="23.85" customHeight="1" x14ac:dyDescent="0.35">
      <c r="A70" s="34"/>
      <c r="B70" s="46"/>
      <c r="C70" s="34"/>
      <c r="D70" s="57" t="s">
        <v>64</v>
      </c>
      <c r="E70" s="67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55"/>
    </row>
    <row r="71" spans="1:16" ht="23.85" customHeight="1" x14ac:dyDescent="0.35">
      <c r="A71" s="34"/>
      <c r="B71" s="59"/>
      <c r="C71" s="34"/>
      <c r="D71" s="69" t="str">
        <f>$D$9</f>
        <v>Bursa Fabrika Satış Mağazası – Adem Duman</v>
      </c>
      <c r="E71" s="67"/>
      <c r="F71"/>
      <c r="G71"/>
      <c r="H71"/>
      <c r="I71"/>
      <c r="J71"/>
      <c r="K71"/>
      <c r="L71"/>
      <c r="M71"/>
      <c r="N71"/>
      <c r="O71"/>
      <c r="P71" s="55"/>
    </row>
    <row r="72" spans="1:16" ht="23.85" customHeight="1" x14ac:dyDescent="0.35">
      <c r="A72" s="34"/>
      <c r="B72" s="46"/>
      <c r="C72" s="34"/>
      <c r="D72" s="69"/>
      <c r="E72" s="67"/>
      <c r="F72" s="70" t="s">
        <v>65</v>
      </c>
      <c r="G72" s="76" t="str">
        <f>"İsim : "&amp;$D71</f>
        <v>İsim : Bursa Fabrika Satış Mağazası – Adem Duman</v>
      </c>
      <c r="H72" s="76"/>
      <c r="I72" s="76"/>
      <c r="J72" s="76"/>
      <c r="K72" s="36"/>
      <c r="L72" s="36"/>
      <c r="M72" s="72"/>
      <c r="N72" s="72"/>
      <c r="O72" s="37"/>
      <c r="P72" s="55"/>
    </row>
    <row r="73" spans="1:16" ht="23.85" customHeight="1" x14ac:dyDescent="0.35">
      <c r="A73" s="34"/>
      <c r="B73" s="60"/>
      <c r="C73" s="61"/>
      <c r="D73" s="69"/>
      <c r="E73" s="67"/>
      <c r="F73" s="70"/>
      <c r="G73" s="73" t="str">
        <f>"Adres : " &amp;'Senet Borçlu Alacaklı Giriş'!$C$6</f>
        <v>Adres : Hızarhane Cad. No:5 TOKAT</v>
      </c>
      <c r="H73" s="73"/>
      <c r="I73" s="73"/>
      <c r="J73" s="73"/>
      <c r="K73" s="73"/>
      <c r="L73" s="34"/>
      <c r="M73" s="34"/>
      <c r="N73" s="34"/>
      <c r="O73" s="55"/>
      <c r="P73" s="55"/>
    </row>
    <row r="74" spans="1:16" ht="23.85" customHeight="1" x14ac:dyDescent="0.35">
      <c r="A74" s="34"/>
      <c r="B74" s="60"/>
      <c r="C74" s="61"/>
      <c r="D74" s="69"/>
      <c r="E74" s="67"/>
      <c r="F74" s="70"/>
      <c r="G74" s="73"/>
      <c r="H74" s="73"/>
      <c r="I74" s="73"/>
      <c r="J74" s="73"/>
      <c r="K74" s="73"/>
      <c r="L74" s="47" t="s">
        <v>66</v>
      </c>
      <c r="M74" s="47"/>
      <c r="N74" s="43"/>
      <c r="O74" s="55"/>
      <c r="P74" s="55"/>
    </row>
    <row r="75" spans="1:16" ht="23.85" customHeight="1" x14ac:dyDescent="0.35">
      <c r="A75" s="34"/>
      <c r="B75" s="60"/>
      <c r="C75" s="61"/>
      <c r="D75" s="69"/>
      <c r="E75" s="67"/>
      <c r="F75" s="70"/>
      <c r="G75" s="74" t="str">
        <f>"Vergi Dairesi : "&amp;'Senet Borçlu Alacaklı Giriş'!$C$7</f>
        <v>Vergi Dairesi : Tokat</v>
      </c>
      <c r="H75" s="74"/>
      <c r="I75" s="74"/>
      <c r="J75" s="74"/>
      <c r="K75" s="34"/>
      <c r="L75" s="34"/>
      <c r="M75" s="34"/>
      <c r="N75" s="34"/>
      <c r="O75" s="55"/>
      <c r="P75" s="55"/>
    </row>
    <row r="76" spans="1:16" ht="23.85" customHeight="1" x14ac:dyDescent="0.35">
      <c r="A76" s="34"/>
      <c r="B76" s="46"/>
      <c r="C76" s="34"/>
      <c r="D76" s="69"/>
      <c r="E76" s="67"/>
      <c r="F76" s="70"/>
      <c r="G76" s="75" t="str">
        <f>"Vergi No / TC Kimlik No : "&amp;'Senet Borçlu Alacaklı Giriş'!$C$8</f>
        <v>Vergi No / TC Kimlik No : 341 3267 6260</v>
      </c>
      <c r="H76" s="75"/>
      <c r="I76" s="75"/>
      <c r="J76" s="75"/>
      <c r="K76" s="62"/>
      <c r="L76" s="62"/>
      <c r="M76" s="62"/>
      <c r="N76" s="62"/>
      <c r="O76" s="63"/>
      <c r="P76" s="55"/>
    </row>
    <row r="77" spans="1:16" ht="23.85" customHeight="1" x14ac:dyDescent="0.35">
      <c r="A77" s="34"/>
      <c r="B77" s="59"/>
      <c r="C77" s="34"/>
      <c r="D77" s="69"/>
      <c r="E77" s="67"/>
      <c r="F77" s="70" t="s">
        <v>34</v>
      </c>
      <c r="G77" s="76" t="str">
        <f>"İsim Unvan : "&amp;'Senet Borçlu Alacaklı Giriş'!$C$9</f>
        <v>İsim Unvan : Adem Duman</v>
      </c>
      <c r="H77" s="76"/>
      <c r="I77" s="76"/>
      <c r="J77" s="76"/>
      <c r="K77" s="36"/>
      <c r="L77" s="64"/>
      <c r="M77" s="36"/>
      <c r="N77" s="36"/>
      <c r="O77" s="37"/>
      <c r="P77" s="55"/>
    </row>
    <row r="78" spans="1:16" ht="23.85" customHeight="1" x14ac:dyDescent="0.35">
      <c r="A78" s="34"/>
      <c r="B78" s="46"/>
      <c r="C78" s="34"/>
      <c r="D78" s="57" t="s">
        <v>67</v>
      </c>
      <c r="E78" s="67"/>
      <c r="F78" s="70"/>
      <c r="G78" s="73" t="str">
        <f>"Adres : " &amp;'Senet Borçlu Alacaklı Giriş'!$C$10</f>
        <v>Adres : Esentepe Mah. Şehit Ulaşar Cad. Belde Sitesi B Blk. K1: D:3 TOKAT</v>
      </c>
      <c r="H78" s="73"/>
      <c r="I78" s="73"/>
      <c r="J78" s="73"/>
      <c r="K78" s="34"/>
      <c r="L78" s="34"/>
      <c r="M78" s="34"/>
      <c r="N78" s="34"/>
      <c r="O78" s="55"/>
      <c r="P78" s="55"/>
    </row>
    <row r="79" spans="1:16" ht="23.85" customHeight="1" x14ac:dyDescent="0.35">
      <c r="A79" s="34"/>
      <c r="B79" s="59"/>
      <c r="C79" s="34"/>
      <c r="D79" s="65">
        <f>'Senet Taksit Giriş'!D6</f>
        <v>44377</v>
      </c>
      <c r="E79" s="67"/>
      <c r="F79" s="70"/>
      <c r="G79" s="73"/>
      <c r="H79" s="73"/>
      <c r="I79" s="73"/>
      <c r="J79" s="73"/>
      <c r="K79" s="34"/>
      <c r="L79" s="47" t="s">
        <v>66</v>
      </c>
      <c r="M79" s="34"/>
      <c r="N79" s="34"/>
      <c r="O79" s="55"/>
      <c r="P79" s="55"/>
    </row>
    <row r="80" spans="1:16" ht="23.85" customHeight="1" x14ac:dyDescent="0.35">
      <c r="A80" s="34"/>
      <c r="B80" s="46"/>
      <c r="C80" s="34"/>
      <c r="D80" s="57" t="s">
        <v>68</v>
      </c>
      <c r="E80" s="67"/>
      <c r="F80" s="70"/>
      <c r="G80" s="74" t="str">
        <f>"Vergi Dairesi : "&amp;'Senet Borçlu Alacaklı Giriş'!$C$11</f>
        <v>Vergi Dairesi : Tokat</v>
      </c>
      <c r="H80" s="74"/>
      <c r="I80" s="74"/>
      <c r="J80" s="74"/>
      <c r="K80" s="34"/>
      <c r="L80" s="34"/>
      <c r="M80" s="34"/>
      <c r="N80" s="34"/>
      <c r="O80" s="55"/>
      <c r="P80" s="55"/>
    </row>
    <row r="81" spans="1:16" ht="23.85" customHeight="1" x14ac:dyDescent="0.35">
      <c r="A81" s="34"/>
      <c r="B81" s="46"/>
      <c r="C81" s="34"/>
      <c r="D81" s="65">
        <f>'Senet Taksit Giriş'!C6</f>
        <v>44252</v>
      </c>
      <c r="E81" s="67"/>
      <c r="F81" s="70"/>
      <c r="G81" s="75" t="str">
        <f>"Vergi No / TC Kimlik No : "&amp;'Senet Borçlu Alacaklı Giriş'!$C$12</f>
        <v>Vergi No / TC Kimlik No : 341 3267 6260</v>
      </c>
      <c r="H81" s="75"/>
      <c r="I81" s="75"/>
      <c r="J81" s="75"/>
      <c r="K81" s="62"/>
      <c r="L81" s="62"/>
      <c r="M81" s="62"/>
      <c r="N81" s="62"/>
      <c r="O81" s="63"/>
      <c r="P81" s="55"/>
    </row>
    <row r="82" spans="1:16" ht="23.85" customHeight="1" x14ac:dyDescent="0.35">
      <c r="A82" s="34"/>
      <c r="B82" s="66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3"/>
    </row>
    <row r="83" spans="1:16" ht="23.25" x14ac:dyDescent="0.35"/>
    <row r="84" spans="1:16" ht="23.85" customHeight="1" x14ac:dyDescent="0.35">
      <c r="A84" s="34"/>
      <c r="B84" s="35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7"/>
    </row>
    <row r="85" spans="1:16" ht="23.85" customHeight="1" x14ac:dyDescent="0.35">
      <c r="A85" s="39"/>
      <c r="B85" s="40"/>
      <c r="C85" s="39"/>
      <c r="D85" s="41" t="s">
        <v>57</v>
      </c>
      <c r="E85" s="67" t="str">
        <f>$D92 &amp;"    - Taksit No: " &amp; $D87&amp;"  "</f>
        <v xml:space="preserve">Bursa Fabrika Satış Mağazası – Adem Duman    - Taksit No: # 5 #  </v>
      </c>
      <c r="F85" s="39"/>
      <c r="G85" s="42" t="s">
        <v>58</v>
      </c>
      <c r="H85" s="39"/>
      <c r="I85" s="42" t="s">
        <v>59</v>
      </c>
      <c r="J85" s="42" t="s">
        <v>60</v>
      </c>
      <c r="K85"/>
      <c r="L85" s="39"/>
      <c r="M85" s="42" t="s">
        <v>61</v>
      </c>
      <c r="N85" s="43"/>
      <c r="O85" s="42" t="s">
        <v>38</v>
      </c>
      <c r="P85" s="44"/>
    </row>
    <row r="86" spans="1:16" ht="23.85" customHeight="1" x14ac:dyDescent="0.35">
      <c r="A86" s="34"/>
      <c r="B86" s="46"/>
      <c r="C86" s="47"/>
      <c r="D86" s="48" t="s">
        <v>62</v>
      </c>
      <c r="E86" s="67"/>
      <c r="F86" s="34"/>
      <c r="G86" s="49">
        <f>D100</f>
        <v>44407</v>
      </c>
      <c r="H86" s="50"/>
      <c r="I86" s="51" t="str">
        <f>D89</f>
        <v># 14.000 TL #</v>
      </c>
      <c r="J86" s="52" t="str">
        <f>D90</f>
        <v>#   Krş #</v>
      </c>
      <c r="K86"/>
      <c r="L86" s="50"/>
      <c r="M86" s="53" t="str">
        <f>D87</f>
        <v># 5 #</v>
      </c>
      <c r="N86" s="43"/>
      <c r="O86" s="54">
        <f>D102</f>
        <v>44252</v>
      </c>
      <c r="P86" s="55"/>
    </row>
    <row r="87" spans="1:16" ht="23.85" customHeight="1" x14ac:dyDescent="0.35">
      <c r="A87" s="34"/>
      <c r="B87" s="46"/>
      <c r="C87" s="47"/>
      <c r="D87" s="56" t="str">
        <f>"# "&amp;TEXT(INT('Senet Taksit Giriş'!B7),"##.##0")&amp;" #"</f>
        <v># 5 #</v>
      </c>
      <c r="E87" s="67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55"/>
    </row>
    <row r="88" spans="1:16" ht="23.85" customHeight="1" x14ac:dyDescent="0.35">
      <c r="A88" s="34"/>
      <c r="B88" s="46"/>
      <c r="C88" s="47"/>
      <c r="D88" s="57" t="s">
        <v>63</v>
      </c>
      <c r="E88" s="67"/>
      <c r="F88" s="68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Ondörtbin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88" s="68"/>
      <c r="H88" s="68"/>
      <c r="I88" s="68"/>
      <c r="J88" s="68"/>
      <c r="K88" s="68"/>
      <c r="L88" s="68"/>
      <c r="M88" s="68"/>
      <c r="N88" s="68"/>
      <c r="O88" s="68"/>
      <c r="P88" s="55"/>
    </row>
    <row r="89" spans="1:16" ht="23.85" customHeight="1" x14ac:dyDescent="0.35">
      <c r="A89" s="34"/>
      <c r="B89" s="46"/>
      <c r="C89" s="47"/>
      <c r="D89" s="58" t="str">
        <f>"# "&amp;TEXT(INT('Senet Taksit Giriş'!E7),"##.##0")&amp;" TL #"</f>
        <v># 14.000 TL #</v>
      </c>
      <c r="E89" s="67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55"/>
    </row>
    <row r="90" spans="1:16" ht="23.85" customHeight="1" x14ac:dyDescent="0.35">
      <c r="A90" s="34"/>
      <c r="B90" s="46"/>
      <c r="C90" s="34"/>
      <c r="D90" s="56" t="str">
        <f>"# "&amp;TEXT(('Senet Taksit Giriş'!E90-INT('Senet Taksit Giriş'!E90))*100,"##.##")&amp;"  Krş #"</f>
        <v>#   Krş #</v>
      </c>
      <c r="E90" s="67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55"/>
    </row>
    <row r="91" spans="1:16" ht="23.85" customHeight="1" x14ac:dyDescent="0.35">
      <c r="A91" s="34"/>
      <c r="B91" s="46"/>
      <c r="C91" s="34"/>
      <c r="D91" s="57" t="s">
        <v>64</v>
      </c>
      <c r="E91" s="67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55"/>
    </row>
    <row r="92" spans="1:16" ht="23.85" customHeight="1" x14ac:dyDescent="0.35">
      <c r="A92" s="34"/>
      <c r="B92" s="59"/>
      <c r="C92" s="34"/>
      <c r="D92" s="69" t="str">
        <f>$D$9</f>
        <v>Bursa Fabrika Satış Mağazası – Adem Duman</v>
      </c>
      <c r="E92" s="67"/>
      <c r="F92"/>
      <c r="G92"/>
      <c r="H92"/>
      <c r="I92"/>
      <c r="J92"/>
      <c r="K92"/>
      <c r="L92"/>
      <c r="M92"/>
      <c r="N92"/>
      <c r="O92"/>
      <c r="P92" s="55"/>
    </row>
    <row r="93" spans="1:16" ht="23.85" customHeight="1" x14ac:dyDescent="0.35">
      <c r="A93" s="34"/>
      <c r="B93" s="46"/>
      <c r="C93" s="34"/>
      <c r="D93" s="69"/>
      <c r="E93" s="67"/>
      <c r="F93" s="70" t="s">
        <v>65</v>
      </c>
      <c r="G93" s="76" t="str">
        <f>"İsim : "&amp;$D92</f>
        <v>İsim : Bursa Fabrika Satış Mağazası – Adem Duman</v>
      </c>
      <c r="H93" s="76"/>
      <c r="I93" s="76"/>
      <c r="J93" s="76"/>
      <c r="K93" s="36"/>
      <c r="L93" s="36"/>
      <c r="M93" s="72"/>
      <c r="N93" s="72"/>
      <c r="O93" s="37"/>
      <c r="P93" s="55"/>
    </row>
    <row r="94" spans="1:16" ht="23.85" customHeight="1" x14ac:dyDescent="0.35">
      <c r="A94" s="34"/>
      <c r="B94" s="60"/>
      <c r="C94" s="61"/>
      <c r="D94" s="69"/>
      <c r="E94" s="67"/>
      <c r="F94" s="70"/>
      <c r="G94" s="73" t="str">
        <f>"Adres : " &amp;'Senet Borçlu Alacaklı Giriş'!$C$6</f>
        <v>Adres : Hızarhane Cad. No:5 TOKAT</v>
      </c>
      <c r="H94" s="73"/>
      <c r="I94" s="73"/>
      <c r="J94" s="73"/>
      <c r="K94" s="73"/>
      <c r="L94" s="34"/>
      <c r="M94" s="34"/>
      <c r="N94" s="34"/>
      <c r="O94" s="55"/>
      <c r="P94" s="55"/>
    </row>
    <row r="95" spans="1:16" ht="23.85" customHeight="1" x14ac:dyDescent="0.35">
      <c r="A95" s="34"/>
      <c r="B95" s="60"/>
      <c r="C95" s="61"/>
      <c r="D95" s="69"/>
      <c r="E95" s="67"/>
      <c r="F95" s="70"/>
      <c r="G95" s="73"/>
      <c r="H95" s="73"/>
      <c r="I95" s="73"/>
      <c r="J95" s="73"/>
      <c r="K95" s="73"/>
      <c r="L95" s="47" t="s">
        <v>66</v>
      </c>
      <c r="M95" s="47"/>
      <c r="N95" s="43"/>
      <c r="O95" s="55"/>
      <c r="P95" s="55"/>
    </row>
    <row r="96" spans="1:16" ht="23.85" customHeight="1" x14ac:dyDescent="0.35">
      <c r="A96" s="34"/>
      <c r="B96" s="60"/>
      <c r="C96" s="61"/>
      <c r="D96" s="69"/>
      <c r="E96" s="67"/>
      <c r="F96" s="70"/>
      <c r="G96" s="74" t="str">
        <f>"Vergi Dairesi : "&amp;'Senet Borçlu Alacaklı Giriş'!$C$7</f>
        <v>Vergi Dairesi : Tokat</v>
      </c>
      <c r="H96" s="74"/>
      <c r="I96" s="74"/>
      <c r="J96" s="74"/>
      <c r="K96" s="34"/>
      <c r="L96" s="34"/>
      <c r="M96" s="34"/>
      <c r="N96" s="34"/>
      <c r="O96" s="55"/>
      <c r="P96" s="55"/>
    </row>
    <row r="97" spans="1:16" ht="23.85" customHeight="1" x14ac:dyDescent="0.35">
      <c r="A97" s="34"/>
      <c r="B97" s="46"/>
      <c r="C97" s="34"/>
      <c r="D97" s="69"/>
      <c r="E97" s="67"/>
      <c r="F97" s="70"/>
      <c r="G97" s="75" t="str">
        <f>"Vergi No / TC Kimlik No : "&amp;'Senet Borçlu Alacaklı Giriş'!$C$8</f>
        <v>Vergi No / TC Kimlik No : 341 3267 6260</v>
      </c>
      <c r="H97" s="75"/>
      <c r="I97" s="75"/>
      <c r="J97" s="75"/>
      <c r="K97" s="62"/>
      <c r="L97" s="62"/>
      <c r="M97" s="62"/>
      <c r="N97" s="62"/>
      <c r="O97" s="63"/>
      <c r="P97" s="55"/>
    </row>
    <row r="98" spans="1:16" ht="23.85" customHeight="1" x14ac:dyDescent="0.35">
      <c r="A98" s="34"/>
      <c r="B98" s="59"/>
      <c r="C98" s="34"/>
      <c r="D98" s="69"/>
      <c r="E98" s="67"/>
      <c r="F98" s="70" t="s">
        <v>34</v>
      </c>
      <c r="G98" s="76" t="str">
        <f>"İsim Unvan : "&amp;'Senet Borçlu Alacaklı Giriş'!$C$9</f>
        <v>İsim Unvan : Adem Duman</v>
      </c>
      <c r="H98" s="76"/>
      <c r="I98" s="76"/>
      <c r="J98" s="76"/>
      <c r="K98" s="36"/>
      <c r="L98" s="64"/>
      <c r="M98" s="36"/>
      <c r="N98" s="36"/>
      <c r="O98" s="37"/>
      <c r="P98" s="55"/>
    </row>
    <row r="99" spans="1:16" ht="23.85" customHeight="1" x14ac:dyDescent="0.35">
      <c r="A99" s="34"/>
      <c r="B99" s="46"/>
      <c r="C99" s="34"/>
      <c r="D99" s="57" t="s">
        <v>67</v>
      </c>
      <c r="E99" s="67"/>
      <c r="F99" s="70"/>
      <c r="G99" s="73" t="str">
        <f>"Adres : " &amp;'Senet Borçlu Alacaklı Giriş'!$C$10</f>
        <v>Adres : Esentepe Mah. Şehit Ulaşar Cad. Belde Sitesi B Blk. K1: D:3 TOKAT</v>
      </c>
      <c r="H99" s="73"/>
      <c r="I99" s="73"/>
      <c r="J99" s="73"/>
      <c r="K99" s="34"/>
      <c r="L99" s="34"/>
      <c r="M99" s="34"/>
      <c r="N99" s="34"/>
      <c r="O99" s="55"/>
      <c r="P99" s="55"/>
    </row>
    <row r="100" spans="1:16" ht="23.85" customHeight="1" x14ac:dyDescent="0.35">
      <c r="A100" s="34"/>
      <c r="B100" s="59"/>
      <c r="C100" s="34"/>
      <c r="D100" s="65">
        <f>'Senet Taksit Giriş'!D7</f>
        <v>44407</v>
      </c>
      <c r="E100" s="67"/>
      <c r="F100" s="70"/>
      <c r="G100" s="73"/>
      <c r="H100" s="73"/>
      <c r="I100" s="73"/>
      <c r="J100" s="73"/>
      <c r="K100" s="34"/>
      <c r="L100" s="47" t="s">
        <v>66</v>
      </c>
      <c r="M100" s="34"/>
      <c r="N100" s="34"/>
      <c r="O100" s="55"/>
      <c r="P100" s="55"/>
    </row>
    <row r="101" spans="1:16" ht="23.85" customHeight="1" x14ac:dyDescent="0.35">
      <c r="A101" s="34"/>
      <c r="B101" s="46"/>
      <c r="C101" s="34"/>
      <c r="D101" s="57" t="s">
        <v>68</v>
      </c>
      <c r="E101" s="67"/>
      <c r="F101" s="70"/>
      <c r="G101" s="74" t="str">
        <f>"Vergi Dairesi : "&amp;'Senet Borçlu Alacaklı Giriş'!$C$11</f>
        <v>Vergi Dairesi : Tokat</v>
      </c>
      <c r="H101" s="74"/>
      <c r="I101" s="74"/>
      <c r="J101" s="74"/>
      <c r="K101" s="34"/>
      <c r="L101" s="34"/>
      <c r="M101" s="34"/>
      <c r="N101" s="34"/>
      <c r="O101" s="55"/>
      <c r="P101" s="55"/>
    </row>
    <row r="102" spans="1:16" ht="23.85" customHeight="1" x14ac:dyDescent="0.35">
      <c r="A102" s="34"/>
      <c r="B102" s="46"/>
      <c r="C102" s="34"/>
      <c r="D102" s="65">
        <f>'Senet Taksit Giriş'!C7</f>
        <v>44252</v>
      </c>
      <c r="E102" s="67"/>
      <c r="F102" s="70"/>
      <c r="G102" s="75" t="str">
        <f>"Vergi No / TC Kimlik No : "&amp;'Senet Borçlu Alacaklı Giriş'!$C$12</f>
        <v>Vergi No / TC Kimlik No : 341 3267 6260</v>
      </c>
      <c r="H102" s="75"/>
      <c r="I102" s="75"/>
      <c r="J102" s="75"/>
      <c r="K102" s="62"/>
      <c r="L102" s="62"/>
      <c r="M102" s="62"/>
      <c r="N102" s="62"/>
      <c r="O102" s="63"/>
      <c r="P102" s="55"/>
    </row>
    <row r="103" spans="1:16" ht="23.85" customHeight="1" x14ac:dyDescent="0.35">
      <c r="A103" s="34"/>
      <c r="B103" s="66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3"/>
    </row>
    <row r="104" spans="1:16" ht="23.25" x14ac:dyDescent="0.35"/>
    <row r="105" spans="1:16" ht="23.85" customHeight="1" x14ac:dyDescent="0.35">
      <c r="A105" s="34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7"/>
    </row>
    <row r="106" spans="1:16" ht="23.85" customHeight="1" x14ac:dyDescent="0.35">
      <c r="A106" s="39"/>
      <c r="B106" s="40"/>
      <c r="C106" s="39"/>
      <c r="D106" s="41" t="s">
        <v>57</v>
      </c>
      <c r="E106" s="67" t="str">
        <f>$D113 &amp;"    - Taksit No: " &amp; $D108&amp;"  "</f>
        <v xml:space="preserve">Bursa Fabrika Satış Mağazası – Adem Duman    - Taksit No: # 6 #  </v>
      </c>
      <c r="F106" s="39"/>
      <c r="G106" s="42" t="s">
        <v>58</v>
      </c>
      <c r="H106" s="39"/>
      <c r="I106" s="42" t="s">
        <v>59</v>
      </c>
      <c r="J106" s="42" t="s">
        <v>60</v>
      </c>
      <c r="K106"/>
      <c r="L106" s="39"/>
      <c r="M106" s="42" t="s">
        <v>61</v>
      </c>
      <c r="N106" s="43"/>
      <c r="O106" s="42" t="s">
        <v>38</v>
      </c>
      <c r="P106" s="44"/>
    </row>
    <row r="107" spans="1:16" ht="23.85" customHeight="1" x14ac:dyDescent="0.35">
      <c r="A107" s="34"/>
      <c r="B107" s="46"/>
      <c r="C107" s="47"/>
      <c r="D107" s="48" t="s">
        <v>62</v>
      </c>
      <c r="E107" s="67"/>
      <c r="F107" s="34"/>
      <c r="G107" s="49">
        <f>D121</f>
        <v>44438</v>
      </c>
      <c r="H107" s="50"/>
      <c r="I107" s="51" t="str">
        <f>D110</f>
        <v># 2.000 TL #</v>
      </c>
      <c r="J107" s="52" t="str">
        <f>D111</f>
        <v>#   Krş #</v>
      </c>
      <c r="K107"/>
      <c r="L107" s="50"/>
      <c r="M107" s="53" t="str">
        <f>D108</f>
        <v># 6 #</v>
      </c>
      <c r="N107" s="43"/>
      <c r="O107" s="54">
        <f>D123</f>
        <v>44252</v>
      </c>
      <c r="P107" s="55"/>
    </row>
    <row r="108" spans="1:16" ht="23.85" customHeight="1" x14ac:dyDescent="0.35">
      <c r="A108" s="34"/>
      <c r="B108" s="46"/>
      <c r="C108" s="47"/>
      <c r="D108" s="56" t="str">
        <f>"# "&amp;TEXT(INT('Senet Taksit Giriş'!B8),"##.##0")&amp;" #"</f>
        <v># 6 #</v>
      </c>
      <c r="E108" s="67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55"/>
    </row>
    <row r="109" spans="1:16" ht="23.85" customHeight="1" x14ac:dyDescent="0.35">
      <c r="A109" s="34"/>
      <c r="B109" s="46"/>
      <c r="C109" s="47"/>
      <c r="D109" s="57" t="s">
        <v>63</v>
      </c>
      <c r="E109" s="67"/>
      <c r="F109" s="68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09" s="68"/>
      <c r="H109" s="68"/>
      <c r="I109" s="68"/>
      <c r="J109" s="68"/>
      <c r="K109" s="68"/>
      <c r="L109" s="68"/>
      <c r="M109" s="68"/>
      <c r="N109" s="68"/>
      <c r="O109" s="68"/>
      <c r="P109" s="55"/>
    </row>
    <row r="110" spans="1:16" ht="23.85" customHeight="1" x14ac:dyDescent="0.35">
      <c r="A110" s="34"/>
      <c r="B110" s="46"/>
      <c r="C110" s="47"/>
      <c r="D110" s="58" t="str">
        <f>"# "&amp;TEXT(INT('Senet Taksit Giriş'!E8),"##.##0")&amp;" TL #"</f>
        <v># 2.000 TL #</v>
      </c>
      <c r="E110" s="67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55"/>
    </row>
    <row r="111" spans="1:16" ht="23.85" customHeight="1" x14ac:dyDescent="0.35">
      <c r="A111" s="34"/>
      <c r="B111" s="46"/>
      <c r="C111" s="34"/>
      <c r="D111" s="56" t="str">
        <f>"# "&amp;TEXT(('Senet Taksit Giriş'!E111-INT('Senet Taksit Giriş'!E111))*100,"##.##")&amp;"  Krş #"</f>
        <v>#   Krş #</v>
      </c>
      <c r="E111" s="67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55"/>
    </row>
    <row r="112" spans="1:16" ht="23.85" customHeight="1" x14ac:dyDescent="0.35">
      <c r="A112" s="34"/>
      <c r="B112" s="46"/>
      <c r="C112" s="34"/>
      <c r="D112" s="57" t="s">
        <v>64</v>
      </c>
      <c r="E112" s="67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55"/>
    </row>
    <row r="113" spans="1:16" ht="23.85" customHeight="1" x14ac:dyDescent="0.35">
      <c r="A113" s="34"/>
      <c r="B113" s="59"/>
      <c r="C113" s="34"/>
      <c r="D113" s="69" t="str">
        <f>$D$9</f>
        <v>Bursa Fabrika Satış Mağazası – Adem Duman</v>
      </c>
      <c r="E113" s="67"/>
      <c r="F113"/>
      <c r="G113"/>
      <c r="H113"/>
      <c r="I113"/>
      <c r="J113"/>
      <c r="K113"/>
      <c r="L113"/>
      <c r="M113"/>
      <c r="N113"/>
      <c r="O113"/>
      <c r="P113" s="55"/>
    </row>
    <row r="114" spans="1:16" ht="23.85" customHeight="1" x14ac:dyDescent="0.35">
      <c r="A114" s="34"/>
      <c r="B114" s="46"/>
      <c r="C114" s="34"/>
      <c r="D114" s="69"/>
      <c r="E114" s="67"/>
      <c r="F114" s="70" t="s">
        <v>65</v>
      </c>
      <c r="G114" s="76" t="str">
        <f>"İsim : "&amp;$D113</f>
        <v>İsim : Bursa Fabrika Satış Mağazası – Adem Duman</v>
      </c>
      <c r="H114" s="76"/>
      <c r="I114" s="76"/>
      <c r="J114" s="76"/>
      <c r="K114" s="36"/>
      <c r="L114" s="36"/>
      <c r="M114" s="72"/>
      <c r="N114" s="72"/>
      <c r="O114" s="37"/>
      <c r="P114" s="55"/>
    </row>
    <row r="115" spans="1:16" ht="23.85" customHeight="1" x14ac:dyDescent="0.35">
      <c r="A115" s="34"/>
      <c r="B115" s="60"/>
      <c r="C115" s="61"/>
      <c r="D115" s="69"/>
      <c r="E115" s="67"/>
      <c r="F115" s="70"/>
      <c r="G115" s="73" t="str">
        <f>"Adres : " &amp;'Senet Borçlu Alacaklı Giriş'!$C$6</f>
        <v>Adres : Hızarhane Cad. No:5 TOKAT</v>
      </c>
      <c r="H115" s="73"/>
      <c r="I115" s="73"/>
      <c r="J115" s="73"/>
      <c r="K115" s="73"/>
      <c r="L115" s="34"/>
      <c r="M115" s="34"/>
      <c r="N115" s="34"/>
      <c r="O115" s="55"/>
      <c r="P115" s="55"/>
    </row>
    <row r="116" spans="1:16" ht="23.85" customHeight="1" x14ac:dyDescent="0.35">
      <c r="A116" s="34"/>
      <c r="B116" s="60"/>
      <c r="C116" s="61"/>
      <c r="D116" s="69"/>
      <c r="E116" s="67"/>
      <c r="F116" s="70"/>
      <c r="G116" s="73"/>
      <c r="H116" s="73"/>
      <c r="I116" s="73"/>
      <c r="J116" s="73"/>
      <c r="K116" s="73"/>
      <c r="L116" s="47" t="s">
        <v>66</v>
      </c>
      <c r="M116" s="47"/>
      <c r="N116" s="43"/>
      <c r="O116" s="55"/>
      <c r="P116" s="55"/>
    </row>
    <row r="117" spans="1:16" ht="23.85" customHeight="1" x14ac:dyDescent="0.35">
      <c r="A117" s="34"/>
      <c r="B117" s="60"/>
      <c r="C117" s="61"/>
      <c r="D117" s="69"/>
      <c r="E117" s="67"/>
      <c r="F117" s="70"/>
      <c r="G117" s="74" t="str">
        <f>"Vergi Dairesi : "&amp;'Senet Borçlu Alacaklı Giriş'!$C$7</f>
        <v>Vergi Dairesi : Tokat</v>
      </c>
      <c r="H117" s="74"/>
      <c r="I117" s="74"/>
      <c r="J117" s="74"/>
      <c r="K117" s="34"/>
      <c r="L117" s="34"/>
      <c r="M117" s="34"/>
      <c r="N117" s="34"/>
      <c r="O117" s="55"/>
      <c r="P117" s="55"/>
    </row>
    <row r="118" spans="1:16" ht="23.85" customHeight="1" x14ac:dyDescent="0.35">
      <c r="A118" s="34"/>
      <c r="B118" s="46"/>
      <c r="C118" s="34"/>
      <c r="D118" s="69"/>
      <c r="E118" s="67"/>
      <c r="F118" s="70"/>
      <c r="G118" s="75" t="str">
        <f>"Vergi No / TC Kimlik No : "&amp;'Senet Borçlu Alacaklı Giriş'!$C$8</f>
        <v>Vergi No / TC Kimlik No : 341 3267 6260</v>
      </c>
      <c r="H118" s="75"/>
      <c r="I118" s="75"/>
      <c r="J118" s="75"/>
      <c r="K118" s="62"/>
      <c r="L118" s="62"/>
      <c r="M118" s="62"/>
      <c r="N118" s="62"/>
      <c r="O118" s="63"/>
      <c r="P118" s="55"/>
    </row>
    <row r="119" spans="1:16" ht="23.85" customHeight="1" x14ac:dyDescent="0.35">
      <c r="A119" s="34"/>
      <c r="B119" s="59"/>
      <c r="C119" s="34"/>
      <c r="D119" s="69"/>
      <c r="E119" s="67"/>
      <c r="F119" s="70" t="s">
        <v>34</v>
      </c>
      <c r="G119" s="76" t="str">
        <f>"İsim Unvan : "&amp;'Senet Borçlu Alacaklı Giriş'!$C$9</f>
        <v>İsim Unvan : Adem Duman</v>
      </c>
      <c r="H119" s="76"/>
      <c r="I119" s="76"/>
      <c r="J119" s="76"/>
      <c r="K119" s="36"/>
      <c r="L119" s="64"/>
      <c r="M119" s="36"/>
      <c r="N119" s="36"/>
      <c r="O119" s="37"/>
      <c r="P119" s="55"/>
    </row>
    <row r="120" spans="1:16" ht="23.85" customHeight="1" x14ac:dyDescent="0.35">
      <c r="A120" s="34"/>
      <c r="B120" s="46"/>
      <c r="C120" s="34"/>
      <c r="D120" s="57" t="s">
        <v>67</v>
      </c>
      <c r="E120" s="67"/>
      <c r="F120" s="70"/>
      <c r="G120" s="73" t="str">
        <f>"Adres : " &amp;'Senet Borçlu Alacaklı Giriş'!$C$10</f>
        <v>Adres : Esentepe Mah. Şehit Ulaşar Cad. Belde Sitesi B Blk. K1: D:3 TOKAT</v>
      </c>
      <c r="H120" s="73"/>
      <c r="I120" s="73"/>
      <c r="J120" s="73"/>
      <c r="K120" s="34"/>
      <c r="L120" s="34"/>
      <c r="M120" s="34"/>
      <c r="N120" s="34"/>
      <c r="O120" s="55"/>
      <c r="P120" s="55"/>
    </row>
    <row r="121" spans="1:16" ht="23.85" customHeight="1" x14ac:dyDescent="0.35">
      <c r="A121" s="34"/>
      <c r="B121" s="59"/>
      <c r="C121" s="34"/>
      <c r="D121" s="65">
        <f>'Senet Taksit Giriş'!D8</f>
        <v>44438</v>
      </c>
      <c r="E121" s="67"/>
      <c r="F121" s="70"/>
      <c r="G121" s="73"/>
      <c r="H121" s="73"/>
      <c r="I121" s="73"/>
      <c r="J121" s="73"/>
      <c r="K121" s="34"/>
      <c r="L121" s="47" t="s">
        <v>66</v>
      </c>
      <c r="M121" s="34"/>
      <c r="N121" s="34"/>
      <c r="O121" s="55"/>
      <c r="P121" s="55"/>
    </row>
    <row r="122" spans="1:16" ht="23.85" customHeight="1" x14ac:dyDescent="0.35">
      <c r="A122" s="34"/>
      <c r="B122" s="46"/>
      <c r="C122" s="34"/>
      <c r="D122" s="57" t="s">
        <v>68</v>
      </c>
      <c r="E122" s="67"/>
      <c r="F122" s="70"/>
      <c r="G122" s="74" t="str">
        <f>"Vergi Dairesi : "&amp;'Senet Borçlu Alacaklı Giriş'!$C$11</f>
        <v>Vergi Dairesi : Tokat</v>
      </c>
      <c r="H122" s="74"/>
      <c r="I122" s="74"/>
      <c r="J122" s="74"/>
      <c r="K122" s="34"/>
      <c r="L122" s="34"/>
      <c r="M122" s="34"/>
      <c r="N122" s="34"/>
      <c r="O122" s="55"/>
      <c r="P122" s="55"/>
    </row>
    <row r="123" spans="1:16" ht="23.85" customHeight="1" x14ac:dyDescent="0.35">
      <c r="A123" s="34"/>
      <c r="B123" s="46"/>
      <c r="C123" s="34"/>
      <c r="D123" s="65">
        <f>'Senet Taksit Giriş'!C8</f>
        <v>44252</v>
      </c>
      <c r="E123" s="67"/>
      <c r="F123" s="70"/>
      <c r="G123" s="75" t="str">
        <f>"Vergi No / TC Kimlik No : "&amp;'Senet Borçlu Alacaklı Giriş'!$C$12</f>
        <v>Vergi No / TC Kimlik No : 341 3267 6260</v>
      </c>
      <c r="H123" s="75"/>
      <c r="I123" s="75"/>
      <c r="J123" s="75"/>
      <c r="K123" s="62"/>
      <c r="L123" s="62"/>
      <c r="M123" s="62"/>
      <c r="N123" s="62"/>
      <c r="O123" s="63"/>
      <c r="P123" s="55"/>
    </row>
    <row r="124" spans="1:16" ht="23.85" customHeight="1" x14ac:dyDescent="0.35">
      <c r="A124" s="34"/>
      <c r="B124" s="66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3"/>
    </row>
    <row r="125" spans="1:16" ht="23.85" customHeight="1" x14ac:dyDescent="0.35">
      <c r="A125" s="34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7"/>
    </row>
    <row r="126" spans="1:16" ht="23.85" customHeight="1" x14ac:dyDescent="0.35">
      <c r="A126" s="39"/>
      <c r="B126" s="40"/>
      <c r="C126" s="39"/>
      <c r="D126" s="41" t="s">
        <v>57</v>
      </c>
      <c r="E126" s="67" t="str">
        <f>$D133 &amp;"    - Taksit No: " &amp; $D128&amp;"  "</f>
        <v xml:space="preserve">Bursa Fabrika Satış Mağazası – Adem Duman    - Taksit No: # 7 #  </v>
      </c>
      <c r="F126" s="39"/>
      <c r="G126" s="42" t="s">
        <v>58</v>
      </c>
      <c r="H126" s="39"/>
      <c r="I126" s="42" t="s">
        <v>59</v>
      </c>
      <c r="J126" s="42" t="s">
        <v>60</v>
      </c>
      <c r="K126"/>
      <c r="L126" s="39"/>
      <c r="M126" s="42" t="s">
        <v>61</v>
      </c>
      <c r="N126" s="43"/>
      <c r="O126" s="42" t="s">
        <v>38</v>
      </c>
      <c r="P126" s="44"/>
    </row>
    <row r="127" spans="1:16" ht="23.85" customHeight="1" x14ac:dyDescent="0.35">
      <c r="A127" s="34"/>
      <c r="B127" s="46"/>
      <c r="C127" s="47"/>
      <c r="D127" s="48" t="s">
        <v>62</v>
      </c>
      <c r="E127" s="67"/>
      <c r="F127" s="34"/>
      <c r="G127" s="49">
        <f>D141</f>
        <v>44469</v>
      </c>
      <c r="H127" s="50"/>
      <c r="I127" s="51" t="str">
        <f>D130</f>
        <v># 2.000 TL #</v>
      </c>
      <c r="J127" s="52" t="str">
        <f>D131</f>
        <v>#   Krş #</v>
      </c>
      <c r="K127"/>
      <c r="L127" s="50"/>
      <c r="M127" s="53" t="str">
        <f>D128</f>
        <v># 7 #</v>
      </c>
      <c r="N127" s="43"/>
      <c r="O127" s="54">
        <f>D143</f>
        <v>44252</v>
      </c>
      <c r="P127" s="55"/>
    </row>
    <row r="128" spans="1:16" ht="23.85" customHeight="1" x14ac:dyDescent="0.35">
      <c r="A128" s="34"/>
      <c r="B128" s="46"/>
      <c r="C128" s="47"/>
      <c r="D128" s="56" t="str">
        <f>"# "&amp;TEXT(INT('Senet Taksit Giriş'!B9),"##.##0")&amp;" #"</f>
        <v># 7 #</v>
      </c>
      <c r="E128" s="67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55"/>
    </row>
    <row r="129" spans="1:16" ht="23.85" customHeight="1" x14ac:dyDescent="0.35">
      <c r="A129" s="34"/>
      <c r="B129" s="46"/>
      <c r="C129" s="47"/>
      <c r="D129" s="57" t="s">
        <v>63</v>
      </c>
      <c r="E129" s="67"/>
      <c r="F129" s="68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29" s="68"/>
      <c r="H129" s="68"/>
      <c r="I129" s="68"/>
      <c r="J129" s="68"/>
      <c r="K129" s="68"/>
      <c r="L129" s="68"/>
      <c r="M129" s="68"/>
      <c r="N129" s="68"/>
      <c r="O129" s="68"/>
      <c r="P129" s="55"/>
    </row>
    <row r="130" spans="1:16" ht="23.85" customHeight="1" x14ac:dyDescent="0.35">
      <c r="A130" s="34"/>
      <c r="B130" s="46"/>
      <c r="C130" s="47"/>
      <c r="D130" s="58" t="str">
        <f>"# "&amp;TEXT(INT('Senet Taksit Giriş'!E9),"##.##0")&amp;" TL #"</f>
        <v># 2.000 TL #</v>
      </c>
      <c r="E130" s="67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55"/>
    </row>
    <row r="131" spans="1:16" ht="23.85" customHeight="1" x14ac:dyDescent="0.35">
      <c r="A131" s="34"/>
      <c r="B131" s="46"/>
      <c r="C131" s="34"/>
      <c r="D131" s="56" t="str">
        <f>"# "&amp;TEXT(('Senet Taksit Giriş'!E132-INT('Senet Taksit Giriş'!E132))*100,"##.##")&amp;"  Krş #"</f>
        <v>#   Krş #</v>
      </c>
      <c r="E131" s="67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55"/>
    </row>
    <row r="132" spans="1:16" ht="23.85" customHeight="1" x14ac:dyDescent="0.35">
      <c r="A132" s="34"/>
      <c r="B132" s="46"/>
      <c r="C132" s="34"/>
      <c r="D132" s="57" t="s">
        <v>64</v>
      </c>
      <c r="E132" s="67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55"/>
    </row>
    <row r="133" spans="1:16" ht="23.85" customHeight="1" x14ac:dyDescent="0.35">
      <c r="A133" s="34"/>
      <c r="B133" s="59"/>
      <c r="C133" s="34"/>
      <c r="D133" s="69" t="str">
        <f>$D$9</f>
        <v>Bursa Fabrika Satış Mağazası – Adem Duman</v>
      </c>
      <c r="E133" s="67"/>
      <c r="F133"/>
      <c r="G133"/>
      <c r="H133"/>
      <c r="I133"/>
      <c r="J133"/>
      <c r="K133"/>
      <c r="L133"/>
      <c r="M133"/>
      <c r="N133"/>
      <c r="O133"/>
      <c r="P133" s="55"/>
    </row>
    <row r="134" spans="1:16" ht="23.85" customHeight="1" x14ac:dyDescent="0.35">
      <c r="A134" s="34"/>
      <c r="B134" s="46"/>
      <c r="C134" s="34"/>
      <c r="D134" s="69"/>
      <c r="E134" s="67"/>
      <c r="F134" s="70" t="s">
        <v>65</v>
      </c>
      <c r="G134" s="76" t="str">
        <f>"İsim : "&amp;$D133</f>
        <v>İsim : Bursa Fabrika Satış Mağazası – Adem Duman</v>
      </c>
      <c r="H134" s="76"/>
      <c r="I134" s="76"/>
      <c r="J134" s="76"/>
      <c r="K134" s="36"/>
      <c r="L134" s="36"/>
      <c r="M134" s="72"/>
      <c r="N134" s="72"/>
      <c r="O134" s="37"/>
      <c r="P134" s="55"/>
    </row>
    <row r="135" spans="1:16" ht="23.85" customHeight="1" x14ac:dyDescent="0.35">
      <c r="A135" s="34"/>
      <c r="B135" s="60"/>
      <c r="C135" s="61"/>
      <c r="D135" s="69"/>
      <c r="E135" s="67"/>
      <c r="F135" s="70"/>
      <c r="G135" s="73" t="str">
        <f>"Adres : " &amp;'Senet Borçlu Alacaklı Giriş'!$C$6</f>
        <v>Adres : Hızarhane Cad. No:5 TOKAT</v>
      </c>
      <c r="H135" s="73"/>
      <c r="I135" s="73"/>
      <c r="J135" s="73"/>
      <c r="K135" s="73"/>
      <c r="L135" s="34"/>
      <c r="M135" s="34"/>
      <c r="N135" s="34"/>
      <c r="O135" s="55"/>
      <c r="P135" s="55"/>
    </row>
    <row r="136" spans="1:16" ht="23.85" customHeight="1" x14ac:dyDescent="0.35">
      <c r="A136" s="34"/>
      <c r="B136" s="60"/>
      <c r="C136" s="61"/>
      <c r="D136" s="69"/>
      <c r="E136" s="67"/>
      <c r="F136" s="70"/>
      <c r="G136" s="73"/>
      <c r="H136" s="73"/>
      <c r="I136" s="73"/>
      <c r="J136" s="73"/>
      <c r="K136" s="73"/>
      <c r="L136" s="47" t="s">
        <v>66</v>
      </c>
      <c r="M136" s="47"/>
      <c r="N136" s="43"/>
      <c r="O136" s="55"/>
      <c r="P136" s="55"/>
    </row>
    <row r="137" spans="1:16" ht="23.85" customHeight="1" x14ac:dyDescent="0.35">
      <c r="A137" s="34"/>
      <c r="B137" s="60"/>
      <c r="C137" s="61"/>
      <c r="D137" s="69"/>
      <c r="E137" s="67"/>
      <c r="F137" s="70"/>
      <c r="G137" s="74" t="str">
        <f>"Vergi Dairesi : "&amp;'Senet Borçlu Alacaklı Giriş'!$C$7</f>
        <v>Vergi Dairesi : Tokat</v>
      </c>
      <c r="H137" s="74"/>
      <c r="I137" s="74"/>
      <c r="J137" s="74"/>
      <c r="K137" s="34"/>
      <c r="L137" s="34"/>
      <c r="M137" s="34"/>
      <c r="N137" s="34"/>
      <c r="O137" s="55"/>
      <c r="P137" s="55"/>
    </row>
    <row r="138" spans="1:16" ht="23.85" customHeight="1" x14ac:dyDescent="0.35">
      <c r="A138" s="34"/>
      <c r="B138" s="46"/>
      <c r="C138" s="34"/>
      <c r="D138" s="69"/>
      <c r="E138" s="67"/>
      <c r="F138" s="70"/>
      <c r="G138" s="75" t="str">
        <f>"Vergi No / TC Kimlik No : "&amp;'Senet Borçlu Alacaklı Giriş'!$C$8</f>
        <v>Vergi No / TC Kimlik No : 341 3267 6260</v>
      </c>
      <c r="H138" s="75"/>
      <c r="I138" s="75"/>
      <c r="J138" s="75"/>
      <c r="K138" s="62"/>
      <c r="L138" s="62"/>
      <c r="M138" s="62"/>
      <c r="N138" s="62"/>
      <c r="O138" s="63"/>
      <c r="P138" s="55"/>
    </row>
    <row r="139" spans="1:16" ht="23.85" customHeight="1" x14ac:dyDescent="0.35">
      <c r="A139" s="34"/>
      <c r="B139" s="59"/>
      <c r="C139" s="34"/>
      <c r="D139" s="69"/>
      <c r="E139" s="67"/>
      <c r="F139" s="70" t="s">
        <v>34</v>
      </c>
      <c r="G139" s="76" t="str">
        <f>"İsim Unvan : "&amp;'Senet Borçlu Alacaklı Giriş'!$C$9</f>
        <v>İsim Unvan : Adem Duman</v>
      </c>
      <c r="H139" s="76"/>
      <c r="I139" s="76"/>
      <c r="J139" s="76"/>
      <c r="K139" s="36"/>
      <c r="L139" s="64"/>
      <c r="M139" s="36"/>
      <c r="N139" s="36"/>
      <c r="O139" s="37"/>
      <c r="P139" s="55"/>
    </row>
    <row r="140" spans="1:16" ht="23.85" customHeight="1" x14ac:dyDescent="0.35">
      <c r="A140" s="34"/>
      <c r="B140" s="46"/>
      <c r="C140" s="34"/>
      <c r="D140" s="57" t="s">
        <v>67</v>
      </c>
      <c r="E140" s="67"/>
      <c r="F140" s="70"/>
      <c r="G140" s="73" t="str">
        <f>"Adres : " &amp;'Senet Borçlu Alacaklı Giriş'!$C$10</f>
        <v>Adres : Esentepe Mah. Şehit Ulaşar Cad. Belde Sitesi B Blk. K1: D:3 TOKAT</v>
      </c>
      <c r="H140" s="73"/>
      <c r="I140" s="73"/>
      <c r="J140" s="73"/>
      <c r="K140" s="34"/>
      <c r="L140" s="34"/>
      <c r="M140" s="34"/>
      <c r="N140" s="34"/>
      <c r="O140" s="55"/>
      <c r="P140" s="55"/>
    </row>
    <row r="141" spans="1:16" ht="23.85" customHeight="1" x14ac:dyDescent="0.35">
      <c r="A141" s="34"/>
      <c r="B141" s="59"/>
      <c r="C141" s="34"/>
      <c r="D141" s="65">
        <f>'Senet Taksit Giriş'!D9</f>
        <v>44469</v>
      </c>
      <c r="E141" s="67"/>
      <c r="F141" s="70"/>
      <c r="G141" s="73"/>
      <c r="H141" s="73"/>
      <c r="I141" s="73"/>
      <c r="J141" s="73"/>
      <c r="K141" s="34"/>
      <c r="L141" s="47" t="s">
        <v>66</v>
      </c>
      <c r="M141" s="34"/>
      <c r="N141" s="34"/>
      <c r="O141" s="55"/>
      <c r="P141" s="55"/>
    </row>
    <row r="142" spans="1:16" ht="23.85" customHeight="1" x14ac:dyDescent="0.35">
      <c r="A142" s="34"/>
      <c r="B142" s="46"/>
      <c r="C142" s="34"/>
      <c r="D142" s="57" t="s">
        <v>68</v>
      </c>
      <c r="E142" s="67"/>
      <c r="F142" s="70"/>
      <c r="G142" s="74" t="str">
        <f>"Vergi Dairesi : "&amp;'Senet Borçlu Alacaklı Giriş'!$C$11</f>
        <v>Vergi Dairesi : Tokat</v>
      </c>
      <c r="H142" s="74"/>
      <c r="I142" s="74"/>
      <c r="J142" s="74"/>
      <c r="K142" s="34"/>
      <c r="L142" s="34"/>
      <c r="M142" s="34"/>
      <c r="N142" s="34"/>
      <c r="O142" s="55"/>
      <c r="P142" s="55"/>
    </row>
    <row r="143" spans="1:16" ht="23.85" customHeight="1" x14ac:dyDescent="0.35">
      <c r="A143" s="34"/>
      <c r="B143" s="46"/>
      <c r="C143" s="34"/>
      <c r="D143" s="65">
        <f>'Senet Taksit Giriş'!C9</f>
        <v>44252</v>
      </c>
      <c r="E143" s="67"/>
      <c r="F143" s="70"/>
      <c r="G143" s="75" t="str">
        <f>"Vergi No / TC Kimlik No : "&amp;'Senet Borçlu Alacaklı Giriş'!$C$12</f>
        <v>Vergi No / TC Kimlik No : 341 3267 6260</v>
      </c>
      <c r="H143" s="75"/>
      <c r="I143" s="75"/>
      <c r="J143" s="75"/>
      <c r="K143" s="62"/>
      <c r="L143" s="62"/>
      <c r="M143" s="62"/>
      <c r="N143" s="62"/>
      <c r="O143" s="63"/>
      <c r="P143" s="55"/>
    </row>
    <row r="144" spans="1:16" ht="23.85" customHeight="1" x14ac:dyDescent="0.35">
      <c r="A144" s="34"/>
      <c r="B144" s="66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3"/>
    </row>
    <row r="145" spans="1:16" ht="23.25" x14ac:dyDescent="0.35"/>
    <row r="146" spans="1:16" ht="23.85" customHeight="1" x14ac:dyDescent="0.35">
      <c r="A146" s="34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7"/>
    </row>
    <row r="147" spans="1:16" ht="23.85" customHeight="1" x14ac:dyDescent="0.35">
      <c r="A147" s="39"/>
      <c r="B147" s="40"/>
      <c r="C147" s="39"/>
      <c r="D147" s="41" t="s">
        <v>57</v>
      </c>
      <c r="E147" s="67" t="str">
        <f>$D154 &amp;"    - Taksit No: " &amp; $D149&amp;"  "</f>
        <v xml:space="preserve">Bursa Fabrika Satış Mağazası – Adem Duman    - Taksit No: # 8 #  </v>
      </c>
      <c r="F147" s="39"/>
      <c r="G147" s="42" t="s">
        <v>58</v>
      </c>
      <c r="H147" s="39"/>
      <c r="I147" s="42" t="s">
        <v>59</v>
      </c>
      <c r="J147" s="42" t="s">
        <v>60</v>
      </c>
      <c r="K147"/>
      <c r="L147" s="39"/>
      <c r="M147" s="42" t="s">
        <v>61</v>
      </c>
      <c r="N147" s="43"/>
      <c r="O147" s="42" t="s">
        <v>38</v>
      </c>
      <c r="P147" s="44"/>
    </row>
    <row r="148" spans="1:16" ht="23.85" customHeight="1" x14ac:dyDescent="0.35">
      <c r="A148" s="34"/>
      <c r="B148" s="46"/>
      <c r="C148" s="47"/>
      <c r="D148" s="48" t="s">
        <v>62</v>
      </c>
      <c r="E148" s="67"/>
      <c r="F148" s="34"/>
      <c r="G148" s="49">
        <f>D162</f>
        <v>44499</v>
      </c>
      <c r="H148" s="50"/>
      <c r="I148" s="51" t="str">
        <f>D151</f>
        <v># 2.000 TL #</v>
      </c>
      <c r="J148" s="52" t="str">
        <f>D152</f>
        <v>#   Krş #</v>
      </c>
      <c r="K148"/>
      <c r="L148" s="50"/>
      <c r="M148" s="53" t="str">
        <f>D149</f>
        <v># 8 #</v>
      </c>
      <c r="N148" s="43"/>
      <c r="O148" s="54">
        <f>D164</f>
        <v>44252</v>
      </c>
      <c r="P148" s="55"/>
    </row>
    <row r="149" spans="1:16" ht="23.85" customHeight="1" x14ac:dyDescent="0.35">
      <c r="A149" s="34"/>
      <c r="B149" s="46"/>
      <c r="C149" s="47"/>
      <c r="D149" s="56" t="str">
        <f>"# "&amp;TEXT(INT('Senet Taksit Giriş'!B10),"##.##0")&amp;" #"</f>
        <v># 8 #</v>
      </c>
      <c r="E149" s="67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55"/>
    </row>
    <row r="150" spans="1:16" ht="23.85" customHeight="1" x14ac:dyDescent="0.35">
      <c r="A150" s="34"/>
      <c r="B150" s="46"/>
      <c r="C150" s="47"/>
      <c r="D150" s="57" t="s">
        <v>63</v>
      </c>
      <c r="E150" s="67"/>
      <c r="F150" s="68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50" s="68"/>
      <c r="H150" s="68"/>
      <c r="I150" s="68"/>
      <c r="J150" s="68"/>
      <c r="K150" s="68"/>
      <c r="L150" s="68"/>
      <c r="M150" s="68"/>
      <c r="N150" s="68"/>
      <c r="O150" s="68"/>
      <c r="P150" s="55"/>
    </row>
    <row r="151" spans="1:16" ht="23.85" customHeight="1" x14ac:dyDescent="0.35">
      <c r="A151" s="34"/>
      <c r="B151" s="46"/>
      <c r="C151" s="47"/>
      <c r="D151" s="58" t="str">
        <f>"# "&amp;TEXT(INT('Senet Taksit Giriş'!E10),"##.##0")&amp;" TL #"</f>
        <v># 2.000 TL #</v>
      </c>
      <c r="E151" s="67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55"/>
    </row>
    <row r="152" spans="1:16" ht="23.85" customHeight="1" x14ac:dyDescent="0.35">
      <c r="A152" s="34"/>
      <c r="B152" s="46"/>
      <c r="C152" s="34"/>
      <c r="D152" s="56" t="str">
        <f>"# "&amp;TEXT(('Senet Taksit Giriş'!E153-INT('Senet Taksit Giriş'!E153))*100,"##.##")&amp;"  Krş #"</f>
        <v>#   Krş #</v>
      </c>
      <c r="E152" s="67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55"/>
    </row>
    <row r="153" spans="1:16" ht="23.85" customHeight="1" x14ac:dyDescent="0.35">
      <c r="A153" s="34"/>
      <c r="B153" s="46"/>
      <c r="C153" s="34"/>
      <c r="D153" s="57" t="s">
        <v>64</v>
      </c>
      <c r="E153" s="67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55"/>
    </row>
    <row r="154" spans="1:16" ht="23.85" customHeight="1" x14ac:dyDescent="0.35">
      <c r="A154" s="34"/>
      <c r="B154" s="59"/>
      <c r="C154" s="34"/>
      <c r="D154" s="69" t="str">
        <f>$D$9</f>
        <v>Bursa Fabrika Satış Mağazası – Adem Duman</v>
      </c>
      <c r="E154" s="67"/>
      <c r="F154"/>
      <c r="G154"/>
      <c r="H154"/>
      <c r="I154"/>
      <c r="J154"/>
      <c r="K154"/>
      <c r="L154"/>
      <c r="M154"/>
      <c r="N154"/>
      <c r="O154"/>
      <c r="P154" s="55"/>
    </row>
    <row r="155" spans="1:16" ht="23.85" customHeight="1" x14ac:dyDescent="0.35">
      <c r="A155" s="34"/>
      <c r="B155" s="46"/>
      <c r="C155" s="34"/>
      <c r="D155" s="69"/>
      <c r="E155" s="67"/>
      <c r="F155" s="70" t="s">
        <v>65</v>
      </c>
      <c r="G155" s="76" t="str">
        <f>"İsim : "&amp;$D154</f>
        <v>İsim : Bursa Fabrika Satış Mağazası – Adem Duman</v>
      </c>
      <c r="H155" s="76"/>
      <c r="I155" s="76"/>
      <c r="J155" s="76"/>
      <c r="K155" s="36"/>
      <c r="L155" s="36"/>
      <c r="M155" s="72"/>
      <c r="N155" s="72"/>
      <c r="O155" s="37"/>
      <c r="P155" s="55"/>
    </row>
    <row r="156" spans="1:16" ht="23.85" customHeight="1" x14ac:dyDescent="0.35">
      <c r="A156" s="34"/>
      <c r="B156" s="60"/>
      <c r="C156" s="61"/>
      <c r="D156" s="69"/>
      <c r="E156" s="67"/>
      <c r="F156" s="70"/>
      <c r="G156" s="73" t="str">
        <f>"Adres : " &amp;'Senet Borçlu Alacaklı Giriş'!$C$6</f>
        <v>Adres : Hızarhane Cad. No:5 TOKAT</v>
      </c>
      <c r="H156" s="73"/>
      <c r="I156" s="73"/>
      <c r="J156" s="73"/>
      <c r="K156" s="73"/>
      <c r="L156" s="34"/>
      <c r="M156" s="34"/>
      <c r="N156" s="34"/>
      <c r="O156" s="55"/>
      <c r="P156" s="55"/>
    </row>
    <row r="157" spans="1:16" ht="23.85" customHeight="1" x14ac:dyDescent="0.35">
      <c r="A157" s="34"/>
      <c r="B157" s="60"/>
      <c r="C157" s="61"/>
      <c r="D157" s="69"/>
      <c r="E157" s="67"/>
      <c r="F157" s="70"/>
      <c r="G157" s="73"/>
      <c r="H157" s="73"/>
      <c r="I157" s="73"/>
      <c r="J157" s="73"/>
      <c r="K157" s="73"/>
      <c r="L157" s="47" t="s">
        <v>66</v>
      </c>
      <c r="M157" s="47"/>
      <c r="N157" s="43"/>
      <c r="O157" s="55"/>
      <c r="P157" s="55"/>
    </row>
    <row r="158" spans="1:16" ht="23.85" customHeight="1" x14ac:dyDescent="0.35">
      <c r="A158" s="34"/>
      <c r="B158" s="60"/>
      <c r="C158" s="61"/>
      <c r="D158" s="69"/>
      <c r="E158" s="67"/>
      <c r="F158" s="70"/>
      <c r="G158" s="74" t="str">
        <f>"Vergi Dairesi : "&amp;'Senet Borçlu Alacaklı Giriş'!$C$7</f>
        <v>Vergi Dairesi : Tokat</v>
      </c>
      <c r="H158" s="74"/>
      <c r="I158" s="74"/>
      <c r="J158" s="74"/>
      <c r="K158" s="34"/>
      <c r="L158" s="34"/>
      <c r="M158" s="34"/>
      <c r="N158" s="34"/>
      <c r="O158" s="55"/>
      <c r="P158" s="55"/>
    </row>
    <row r="159" spans="1:16" ht="23.85" customHeight="1" x14ac:dyDescent="0.35">
      <c r="A159" s="34"/>
      <c r="B159" s="46"/>
      <c r="C159" s="34"/>
      <c r="D159" s="69"/>
      <c r="E159" s="67"/>
      <c r="F159" s="70"/>
      <c r="G159" s="75" t="str">
        <f>"Vergi No / TC Kimlik No : "&amp;'Senet Borçlu Alacaklı Giriş'!$C$8</f>
        <v>Vergi No / TC Kimlik No : 341 3267 6260</v>
      </c>
      <c r="H159" s="75"/>
      <c r="I159" s="75"/>
      <c r="J159" s="75"/>
      <c r="K159" s="62"/>
      <c r="L159" s="62"/>
      <c r="M159" s="62"/>
      <c r="N159" s="62"/>
      <c r="O159" s="63"/>
      <c r="P159" s="55"/>
    </row>
    <row r="160" spans="1:16" ht="23.85" customHeight="1" x14ac:dyDescent="0.35">
      <c r="A160" s="34"/>
      <c r="B160" s="59"/>
      <c r="C160" s="34"/>
      <c r="D160" s="69"/>
      <c r="E160" s="67"/>
      <c r="F160" s="70" t="s">
        <v>34</v>
      </c>
      <c r="G160" s="76" t="str">
        <f>"İsim Unvan : "&amp;'Senet Borçlu Alacaklı Giriş'!$C$9</f>
        <v>İsim Unvan : Adem Duman</v>
      </c>
      <c r="H160" s="76"/>
      <c r="I160" s="76"/>
      <c r="J160" s="76"/>
      <c r="K160" s="36"/>
      <c r="L160" s="64"/>
      <c r="M160" s="36"/>
      <c r="N160" s="36"/>
      <c r="O160" s="37"/>
      <c r="P160" s="55"/>
    </row>
    <row r="161" spans="1:16" ht="23.85" customHeight="1" x14ac:dyDescent="0.35">
      <c r="A161" s="34"/>
      <c r="B161" s="46"/>
      <c r="C161" s="34"/>
      <c r="D161" s="57" t="s">
        <v>67</v>
      </c>
      <c r="E161" s="67"/>
      <c r="F161" s="70"/>
      <c r="G161" s="73" t="str">
        <f>"Adres : " &amp;'Senet Borçlu Alacaklı Giriş'!$C$10</f>
        <v>Adres : Esentepe Mah. Şehit Ulaşar Cad. Belde Sitesi B Blk. K1: D:3 TOKAT</v>
      </c>
      <c r="H161" s="73"/>
      <c r="I161" s="73"/>
      <c r="J161" s="73"/>
      <c r="K161" s="34"/>
      <c r="L161" s="34"/>
      <c r="M161" s="34"/>
      <c r="N161" s="34"/>
      <c r="O161" s="55"/>
      <c r="P161" s="55"/>
    </row>
    <row r="162" spans="1:16" ht="23.85" customHeight="1" x14ac:dyDescent="0.35">
      <c r="A162" s="34"/>
      <c r="B162" s="59"/>
      <c r="C162" s="34"/>
      <c r="D162" s="65">
        <f>'Senet Taksit Giriş'!D10</f>
        <v>44499</v>
      </c>
      <c r="E162" s="67"/>
      <c r="F162" s="70"/>
      <c r="G162" s="73"/>
      <c r="H162" s="73"/>
      <c r="I162" s="73"/>
      <c r="J162" s="73"/>
      <c r="K162" s="34"/>
      <c r="L162" s="47" t="s">
        <v>66</v>
      </c>
      <c r="M162" s="34"/>
      <c r="N162" s="34"/>
      <c r="O162" s="55"/>
      <c r="P162" s="55"/>
    </row>
    <row r="163" spans="1:16" ht="23.85" customHeight="1" x14ac:dyDescent="0.35">
      <c r="A163" s="34"/>
      <c r="B163" s="46"/>
      <c r="C163" s="34"/>
      <c r="D163" s="57" t="s">
        <v>68</v>
      </c>
      <c r="E163" s="67"/>
      <c r="F163" s="70"/>
      <c r="G163" s="74" t="str">
        <f>"Vergi Dairesi : "&amp;'Senet Borçlu Alacaklı Giriş'!$C$11</f>
        <v>Vergi Dairesi : Tokat</v>
      </c>
      <c r="H163" s="74"/>
      <c r="I163" s="74"/>
      <c r="J163" s="74"/>
      <c r="K163" s="34"/>
      <c r="L163" s="34"/>
      <c r="M163" s="34"/>
      <c r="N163" s="34"/>
      <c r="O163" s="55"/>
      <c r="P163" s="55"/>
    </row>
    <row r="164" spans="1:16" ht="23.85" customHeight="1" x14ac:dyDescent="0.35">
      <c r="A164" s="34"/>
      <c r="B164" s="46"/>
      <c r="C164" s="34"/>
      <c r="D164" s="65">
        <f>'Senet Taksit Giriş'!C10</f>
        <v>44252</v>
      </c>
      <c r="E164" s="67"/>
      <c r="F164" s="70"/>
      <c r="G164" s="75" t="str">
        <f>"Vergi No / TC Kimlik No : "&amp;'Senet Borçlu Alacaklı Giriş'!$C$12</f>
        <v>Vergi No / TC Kimlik No : 341 3267 6260</v>
      </c>
      <c r="H164" s="75"/>
      <c r="I164" s="75"/>
      <c r="J164" s="75"/>
      <c r="K164" s="62"/>
      <c r="L164" s="62"/>
      <c r="M164" s="62"/>
      <c r="N164" s="62"/>
      <c r="O164" s="63"/>
      <c r="P164" s="55"/>
    </row>
    <row r="165" spans="1:16" ht="23.85" customHeight="1" x14ac:dyDescent="0.35">
      <c r="A165" s="34"/>
      <c r="B165" s="66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3"/>
    </row>
    <row r="166" spans="1:16" ht="23.25" x14ac:dyDescent="0.35"/>
    <row r="167" spans="1:16" ht="23.85" customHeight="1" x14ac:dyDescent="0.35">
      <c r="A167" s="34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7"/>
    </row>
    <row r="168" spans="1:16" ht="23.85" customHeight="1" x14ac:dyDescent="0.35">
      <c r="A168" s="39"/>
      <c r="B168" s="40"/>
      <c r="C168" s="39"/>
      <c r="D168" s="41" t="s">
        <v>57</v>
      </c>
      <c r="E168" s="67" t="str">
        <f>$D175 &amp;"    - Taksit No: " &amp; $D170&amp;"  "</f>
        <v xml:space="preserve">Bursa Fabrika Satış Mağazası – Adem Duman    - Taksit No: # 9 #  </v>
      </c>
      <c r="F168" s="39"/>
      <c r="G168" s="42" t="s">
        <v>58</v>
      </c>
      <c r="H168" s="39"/>
      <c r="I168" s="42" t="s">
        <v>59</v>
      </c>
      <c r="J168" s="42" t="s">
        <v>60</v>
      </c>
      <c r="K168"/>
      <c r="L168" s="39"/>
      <c r="M168" s="42" t="s">
        <v>61</v>
      </c>
      <c r="N168" s="43"/>
      <c r="O168" s="42" t="s">
        <v>38</v>
      </c>
      <c r="P168" s="44"/>
    </row>
    <row r="169" spans="1:16" ht="23.85" customHeight="1" x14ac:dyDescent="0.35">
      <c r="A169" s="34"/>
      <c r="B169" s="46"/>
      <c r="C169" s="47"/>
      <c r="D169" s="48" t="s">
        <v>62</v>
      </c>
      <c r="E169" s="67"/>
      <c r="F169" s="34"/>
      <c r="G169" s="49">
        <f>D183</f>
        <v>44530</v>
      </c>
      <c r="H169" s="50"/>
      <c r="I169" s="51" t="str">
        <f>D172</f>
        <v># 2.000 TL #</v>
      </c>
      <c r="J169" s="52" t="str">
        <f>D173</f>
        <v>#   Krş #</v>
      </c>
      <c r="K169"/>
      <c r="L169" s="50"/>
      <c r="M169" s="53" t="str">
        <f>D170</f>
        <v># 9 #</v>
      </c>
      <c r="N169" s="43"/>
      <c r="O169" s="54">
        <f>D185</f>
        <v>44252</v>
      </c>
      <c r="P169" s="55"/>
    </row>
    <row r="170" spans="1:16" ht="23.85" customHeight="1" x14ac:dyDescent="0.35">
      <c r="A170" s="34"/>
      <c r="B170" s="46"/>
      <c r="C170" s="47"/>
      <c r="D170" s="56" t="str">
        <f>"# "&amp;TEXT(INT('Senet Taksit Giriş'!B11),"##.##0")&amp;" #"</f>
        <v># 9 #</v>
      </c>
      <c r="E170" s="67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55"/>
    </row>
    <row r="171" spans="1:16" ht="23.85" customHeight="1" x14ac:dyDescent="0.35">
      <c r="A171" s="34"/>
      <c r="B171" s="46"/>
      <c r="C171" s="47"/>
      <c r="D171" s="57" t="s">
        <v>63</v>
      </c>
      <c r="E171" s="67"/>
      <c r="F171" s="68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71" s="68"/>
      <c r="H171" s="68"/>
      <c r="I171" s="68"/>
      <c r="J171" s="68"/>
      <c r="K171" s="68"/>
      <c r="L171" s="68"/>
      <c r="M171" s="68"/>
      <c r="N171" s="68"/>
      <c r="O171" s="68"/>
      <c r="P171" s="55"/>
    </row>
    <row r="172" spans="1:16" ht="23.85" customHeight="1" x14ac:dyDescent="0.35">
      <c r="A172" s="34"/>
      <c r="B172" s="46"/>
      <c r="C172" s="47"/>
      <c r="D172" s="58" t="str">
        <f>"# "&amp;TEXT(INT('Senet Taksit Giriş'!E11),"##.##0")&amp;" TL #"</f>
        <v># 2.000 TL #</v>
      </c>
      <c r="E172" s="67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55"/>
    </row>
    <row r="173" spans="1:16" ht="23.85" customHeight="1" x14ac:dyDescent="0.35">
      <c r="A173" s="34"/>
      <c r="B173" s="46"/>
      <c r="C173" s="34"/>
      <c r="D173" s="56" t="str">
        <f>"# "&amp;TEXT(('Senet Taksit Giriş'!E174-INT('Senet Taksit Giriş'!E174))*100,"##.##")&amp;"  Krş #"</f>
        <v>#   Krş #</v>
      </c>
      <c r="E173" s="67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55"/>
    </row>
    <row r="174" spans="1:16" ht="23.85" customHeight="1" x14ac:dyDescent="0.35">
      <c r="A174" s="34"/>
      <c r="B174" s="46"/>
      <c r="C174" s="34"/>
      <c r="D174" s="57" t="s">
        <v>64</v>
      </c>
      <c r="E174" s="67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55"/>
    </row>
    <row r="175" spans="1:16" ht="23.85" customHeight="1" x14ac:dyDescent="0.35">
      <c r="A175" s="34"/>
      <c r="B175" s="59"/>
      <c r="C175" s="34"/>
      <c r="D175" s="69" t="str">
        <f>$D$9</f>
        <v>Bursa Fabrika Satış Mağazası – Adem Duman</v>
      </c>
      <c r="E175" s="67"/>
      <c r="F175"/>
      <c r="G175"/>
      <c r="H175"/>
      <c r="I175"/>
      <c r="J175"/>
      <c r="K175"/>
      <c r="L175"/>
      <c r="M175"/>
      <c r="N175"/>
      <c r="O175"/>
      <c r="P175" s="55"/>
    </row>
    <row r="176" spans="1:16" ht="23.85" customHeight="1" x14ac:dyDescent="0.35">
      <c r="A176" s="34"/>
      <c r="B176" s="46"/>
      <c r="C176" s="34"/>
      <c r="D176" s="69"/>
      <c r="E176" s="67"/>
      <c r="F176" s="70" t="s">
        <v>65</v>
      </c>
      <c r="G176" s="76" t="str">
        <f>"İsim : "&amp;$D175</f>
        <v>İsim : Bursa Fabrika Satış Mağazası – Adem Duman</v>
      </c>
      <c r="H176" s="76"/>
      <c r="I176" s="76"/>
      <c r="J176" s="76"/>
      <c r="K176" s="36"/>
      <c r="L176" s="36"/>
      <c r="M176" s="72"/>
      <c r="N176" s="72"/>
      <c r="O176" s="37"/>
      <c r="P176" s="55"/>
    </row>
    <row r="177" spans="1:16" ht="23.85" customHeight="1" x14ac:dyDescent="0.35">
      <c r="A177" s="34"/>
      <c r="B177" s="60"/>
      <c r="C177" s="61"/>
      <c r="D177" s="69"/>
      <c r="E177" s="67"/>
      <c r="F177" s="70"/>
      <c r="G177" s="73" t="str">
        <f>"Adres : " &amp;'Senet Borçlu Alacaklı Giriş'!$C$6</f>
        <v>Adres : Hızarhane Cad. No:5 TOKAT</v>
      </c>
      <c r="H177" s="73"/>
      <c r="I177" s="73"/>
      <c r="J177" s="73"/>
      <c r="K177" s="73"/>
      <c r="L177" s="34"/>
      <c r="M177" s="34"/>
      <c r="N177" s="34"/>
      <c r="O177" s="55"/>
      <c r="P177" s="55"/>
    </row>
    <row r="178" spans="1:16" ht="23.85" customHeight="1" x14ac:dyDescent="0.35">
      <c r="A178" s="34"/>
      <c r="B178" s="60"/>
      <c r="C178" s="61"/>
      <c r="D178" s="69"/>
      <c r="E178" s="67"/>
      <c r="F178" s="70"/>
      <c r="G178" s="73"/>
      <c r="H178" s="73"/>
      <c r="I178" s="73"/>
      <c r="J178" s="73"/>
      <c r="K178" s="73"/>
      <c r="L178" s="47" t="s">
        <v>66</v>
      </c>
      <c r="M178" s="47"/>
      <c r="N178" s="43"/>
      <c r="O178" s="55"/>
      <c r="P178" s="55"/>
    </row>
    <row r="179" spans="1:16" ht="23.85" customHeight="1" x14ac:dyDescent="0.35">
      <c r="A179" s="34"/>
      <c r="B179" s="60"/>
      <c r="C179" s="61"/>
      <c r="D179" s="69"/>
      <c r="E179" s="67"/>
      <c r="F179" s="70"/>
      <c r="G179" s="74" t="str">
        <f>"Vergi Dairesi : "&amp;'Senet Borçlu Alacaklı Giriş'!$C$7</f>
        <v>Vergi Dairesi : Tokat</v>
      </c>
      <c r="H179" s="74"/>
      <c r="I179" s="74"/>
      <c r="J179" s="74"/>
      <c r="K179" s="34"/>
      <c r="L179" s="34"/>
      <c r="M179" s="34"/>
      <c r="N179" s="34"/>
      <c r="O179" s="55"/>
      <c r="P179" s="55"/>
    </row>
    <row r="180" spans="1:16" ht="23.85" customHeight="1" x14ac:dyDescent="0.35">
      <c r="A180" s="34"/>
      <c r="B180" s="46"/>
      <c r="C180" s="34"/>
      <c r="D180" s="69"/>
      <c r="E180" s="67"/>
      <c r="F180" s="70"/>
      <c r="G180" s="75" t="str">
        <f>"Vergi No / TC Kimlik No : "&amp;'Senet Borçlu Alacaklı Giriş'!$C$8</f>
        <v>Vergi No / TC Kimlik No : 341 3267 6260</v>
      </c>
      <c r="H180" s="75"/>
      <c r="I180" s="75"/>
      <c r="J180" s="75"/>
      <c r="K180" s="62"/>
      <c r="L180" s="62"/>
      <c r="M180" s="62"/>
      <c r="N180" s="62"/>
      <c r="O180" s="63"/>
      <c r="P180" s="55"/>
    </row>
    <row r="181" spans="1:16" ht="23.85" customHeight="1" x14ac:dyDescent="0.35">
      <c r="A181" s="34"/>
      <c r="B181" s="59"/>
      <c r="C181" s="34"/>
      <c r="D181" s="69"/>
      <c r="E181" s="67"/>
      <c r="F181" s="70" t="s">
        <v>34</v>
      </c>
      <c r="G181" s="76" t="str">
        <f>"İsim Unvan : "&amp;'Senet Borçlu Alacaklı Giriş'!$C$9</f>
        <v>İsim Unvan : Adem Duman</v>
      </c>
      <c r="H181" s="76"/>
      <c r="I181" s="76"/>
      <c r="J181" s="76"/>
      <c r="K181" s="36"/>
      <c r="L181" s="64"/>
      <c r="M181" s="36"/>
      <c r="N181" s="36"/>
      <c r="O181" s="37"/>
      <c r="P181" s="55"/>
    </row>
    <row r="182" spans="1:16" ht="23.85" customHeight="1" x14ac:dyDescent="0.35">
      <c r="A182" s="34"/>
      <c r="B182" s="46"/>
      <c r="C182" s="34"/>
      <c r="D182" s="57" t="s">
        <v>67</v>
      </c>
      <c r="E182" s="67"/>
      <c r="F182" s="70"/>
      <c r="G182" s="73" t="str">
        <f>"Adres : " &amp;'Senet Borçlu Alacaklı Giriş'!$C$10</f>
        <v>Adres : Esentepe Mah. Şehit Ulaşar Cad. Belde Sitesi B Blk. K1: D:3 TOKAT</v>
      </c>
      <c r="H182" s="73"/>
      <c r="I182" s="73"/>
      <c r="J182" s="73"/>
      <c r="K182" s="34"/>
      <c r="L182" s="34"/>
      <c r="M182" s="34"/>
      <c r="N182" s="34"/>
      <c r="O182" s="55"/>
      <c r="P182" s="55"/>
    </row>
    <row r="183" spans="1:16" ht="23.85" customHeight="1" x14ac:dyDescent="0.35">
      <c r="A183" s="34"/>
      <c r="B183" s="59"/>
      <c r="C183" s="34"/>
      <c r="D183" s="65">
        <f>'Senet Taksit Giriş'!D11</f>
        <v>44530</v>
      </c>
      <c r="E183" s="67"/>
      <c r="F183" s="70"/>
      <c r="G183" s="73"/>
      <c r="H183" s="73"/>
      <c r="I183" s="73"/>
      <c r="J183" s="73"/>
      <c r="K183" s="34"/>
      <c r="L183" s="47" t="s">
        <v>66</v>
      </c>
      <c r="M183" s="34"/>
      <c r="N183" s="34"/>
      <c r="O183" s="55"/>
      <c r="P183" s="55"/>
    </row>
    <row r="184" spans="1:16" ht="23.85" customHeight="1" x14ac:dyDescent="0.35">
      <c r="A184" s="34"/>
      <c r="B184" s="46"/>
      <c r="C184" s="34"/>
      <c r="D184" s="57" t="s">
        <v>68</v>
      </c>
      <c r="E184" s="67"/>
      <c r="F184" s="70"/>
      <c r="G184" s="74" t="str">
        <f>"Vergi Dairesi : "&amp;'Senet Borçlu Alacaklı Giriş'!$C$11</f>
        <v>Vergi Dairesi : Tokat</v>
      </c>
      <c r="H184" s="74"/>
      <c r="I184" s="74"/>
      <c r="J184" s="74"/>
      <c r="K184" s="34"/>
      <c r="L184" s="34"/>
      <c r="M184" s="34"/>
      <c r="N184" s="34"/>
      <c r="O184" s="55"/>
      <c r="P184" s="55"/>
    </row>
    <row r="185" spans="1:16" ht="23.85" customHeight="1" x14ac:dyDescent="0.35">
      <c r="A185" s="34"/>
      <c r="B185" s="46"/>
      <c r="C185" s="34"/>
      <c r="D185" s="65">
        <f>'Senet Taksit Giriş'!C11</f>
        <v>44252</v>
      </c>
      <c r="E185" s="67"/>
      <c r="F185" s="70"/>
      <c r="G185" s="75" t="str">
        <f>"Vergi No / TC Kimlik No : "&amp;'Senet Borçlu Alacaklı Giriş'!$C$12</f>
        <v>Vergi No / TC Kimlik No : 341 3267 6260</v>
      </c>
      <c r="H185" s="75"/>
      <c r="I185" s="75"/>
      <c r="J185" s="75"/>
      <c r="K185" s="62"/>
      <c r="L185" s="62"/>
      <c r="M185" s="62"/>
      <c r="N185" s="62"/>
      <c r="O185" s="63"/>
      <c r="P185" s="55"/>
    </row>
    <row r="186" spans="1:16" ht="23.85" customHeight="1" x14ac:dyDescent="0.35">
      <c r="A186" s="34"/>
      <c r="B186" s="66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3"/>
    </row>
    <row r="187" spans="1:16" ht="23.85" customHeight="1" x14ac:dyDescent="0.35">
      <c r="A187" s="34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7"/>
    </row>
    <row r="188" spans="1:16" ht="23.85" customHeight="1" x14ac:dyDescent="0.35">
      <c r="A188" s="39"/>
      <c r="B188" s="40"/>
      <c r="C188" s="39"/>
      <c r="D188" s="41" t="s">
        <v>57</v>
      </c>
      <c r="E188" s="67" t="str">
        <f>$D195 &amp;"    - Taksit No: " &amp; $D190&amp;"  "</f>
        <v xml:space="preserve">Bursa Fabrika Satış Mağazası – Adem Duman    - Taksit No: # 10 #  </v>
      </c>
      <c r="F188" s="39"/>
      <c r="G188" s="42" t="s">
        <v>58</v>
      </c>
      <c r="H188" s="39"/>
      <c r="I188" s="42" t="s">
        <v>59</v>
      </c>
      <c r="J188" s="42" t="s">
        <v>60</v>
      </c>
      <c r="K188"/>
      <c r="L188" s="39"/>
      <c r="M188" s="42" t="s">
        <v>61</v>
      </c>
      <c r="N188" s="43"/>
      <c r="O188" s="42" t="s">
        <v>38</v>
      </c>
      <c r="P188" s="44"/>
    </row>
    <row r="189" spans="1:16" ht="23.85" customHeight="1" x14ac:dyDescent="0.35">
      <c r="A189" s="34"/>
      <c r="B189" s="46"/>
      <c r="C189" s="47"/>
      <c r="D189" s="48" t="s">
        <v>62</v>
      </c>
      <c r="E189" s="67"/>
      <c r="F189" s="34"/>
      <c r="G189" s="49">
        <f>D203</f>
        <v>44560</v>
      </c>
      <c r="H189" s="50"/>
      <c r="I189" s="51" t="str">
        <f>D192</f>
        <v># 2.000 TL #</v>
      </c>
      <c r="J189" s="52" t="str">
        <f>D193</f>
        <v>#   Krş #</v>
      </c>
      <c r="K189"/>
      <c r="L189" s="50"/>
      <c r="M189" s="53" t="str">
        <f>D190</f>
        <v># 10 #</v>
      </c>
      <c r="N189" s="43"/>
      <c r="O189" s="54">
        <f>D205</f>
        <v>44252</v>
      </c>
      <c r="P189" s="55"/>
    </row>
    <row r="190" spans="1:16" ht="23.85" customHeight="1" x14ac:dyDescent="0.35">
      <c r="A190" s="34"/>
      <c r="B190" s="46"/>
      <c r="C190" s="47"/>
      <c r="D190" s="56" t="str">
        <f>"# "&amp;TEXT(INT('Senet Taksit Giriş'!B12),"##.##0")&amp;" #"</f>
        <v># 10 #</v>
      </c>
      <c r="E190" s="67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55"/>
    </row>
    <row r="191" spans="1:16" ht="23.85" customHeight="1" x14ac:dyDescent="0.35">
      <c r="A191" s="34"/>
      <c r="B191" s="46"/>
      <c r="C191" s="47"/>
      <c r="D191" s="57" t="s">
        <v>63</v>
      </c>
      <c r="E191" s="67"/>
      <c r="F191" s="68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91" s="68"/>
      <c r="H191" s="68"/>
      <c r="I191" s="68"/>
      <c r="J191" s="68"/>
      <c r="K191" s="68"/>
      <c r="L191" s="68"/>
      <c r="M191" s="68"/>
      <c r="N191" s="68"/>
      <c r="O191" s="68"/>
      <c r="P191" s="55"/>
    </row>
    <row r="192" spans="1:16" ht="23.85" customHeight="1" x14ac:dyDescent="0.35">
      <c r="A192" s="34"/>
      <c r="B192" s="46"/>
      <c r="C192" s="47"/>
      <c r="D192" s="58" t="str">
        <f>"# "&amp;TEXT(INT('Senet Taksit Giriş'!E12),"##.##0")&amp;" TL #"</f>
        <v># 2.000 TL #</v>
      </c>
      <c r="E192" s="67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55"/>
    </row>
    <row r="193" spans="1:16" ht="23.85" customHeight="1" x14ac:dyDescent="0.35">
      <c r="A193" s="34"/>
      <c r="B193" s="46"/>
      <c r="C193" s="34"/>
      <c r="D193" s="56" t="str">
        <f>"# "&amp;TEXT(('Senet Taksit Giriş'!E195-INT('Senet Taksit Giriş'!E195))*100,"##.##")&amp;"  Krş #"</f>
        <v>#   Krş #</v>
      </c>
      <c r="E193" s="67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55"/>
    </row>
    <row r="194" spans="1:16" ht="23.85" customHeight="1" x14ac:dyDescent="0.35">
      <c r="A194" s="34"/>
      <c r="B194" s="46"/>
      <c r="C194" s="34"/>
      <c r="D194" s="57" t="s">
        <v>64</v>
      </c>
      <c r="E194" s="67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55"/>
    </row>
    <row r="195" spans="1:16" ht="23.85" customHeight="1" x14ac:dyDescent="0.35">
      <c r="A195" s="34"/>
      <c r="B195" s="59"/>
      <c r="C195" s="34"/>
      <c r="D195" s="69" t="str">
        <f>$D$9</f>
        <v>Bursa Fabrika Satış Mağazası – Adem Duman</v>
      </c>
      <c r="E195" s="67"/>
      <c r="F195"/>
      <c r="G195"/>
      <c r="H195"/>
      <c r="I195"/>
      <c r="J195"/>
      <c r="K195"/>
      <c r="L195"/>
      <c r="M195"/>
      <c r="N195"/>
      <c r="O195"/>
      <c r="P195" s="55"/>
    </row>
    <row r="196" spans="1:16" ht="23.85" customHeight="1" x14ac:dyDescent="0.35">
      <c r="A196" s="34"/>
      <c r="B196" s="46"/>
      <c r="C196" s="34"/>
      <c r="D196" s="69"/>
      <c r="E196" s="67"/>
      <c r="F196" s="70" t="s">
        <v>65</v>
      </c>
      <c r="G196" s="76" t="str">
        <f>"İsim : "&amp;$D195</f>
        <v>İsim : Bursa Fabrika Satış Mağazası – Adem Duman</v>
      </c>
      <c r="H196" s="76"/>
      <c r="I196" s="76"/>
      <c r="J196" s="76"/>
      <c r="K196" s="36"/>
      <c r="L196" s="36"/>
      <c r="M196" s="72"/>
      <c r="N196" s="72"/>
      <c r="O196" s="37"/>
      <c r="P196" s="55"/>
    </row>
    <row r="197" spans="1:16" ht="23.85" customHeight="1" x14ac:dyDescent="0.35">
      <c r="A197" s="34"/>
      <c r="B197" s="60"/>
      <c r="C197" s="61"/>
      <c r="D197" s="69"/>
      <c r="E197" s="67"/>
      <c r="F197" s="70"/>
      <c r="G197" s="73" t="str">
        <f>"Adres : " &amp;'Senet Borçlu Alacaklı Giriş'!$C$6</f>
        <v>Adres : Hızarhane Cad. No:5 TOKAT</v>
      </c>
      <c r="H197" s="73"/>
      <c r="I197" s="73"/>
      <c r="J197" s="73"/>
      <c r="K197" s="73"/>
      <c r="L197" s="34"/>
      <c r="M197" s="34"/>
      <c r="N197" s="34"/>
      <c r="O197" s="55"/>
      <c r="P197" s="55"/>
    </row>
    <row r="198" spans="1:16" ht="23.85" customHeight="1" x14ac:dyDescent="0.35">
      <c r="A198" s="34"/>
      <c r="B198" s="60"/>
      <c r="C198" s="61"/>
      <c r="D198" s="69"/>
      <c r="E198" s="67"/>
      <c r="F198" s="70"/>
      <c r="G198" s="73"/>
      <c r="H198" s="73"/>
      <c r="I198" s="73"/>
      <c r="J198" s="73"/>
      <c r="K198" s="73"/>
      <c r="L198" s="47" t="s">
        <v>66</v>
      </c>
      <c r="M198" s="47"/>
      <c r="N198" s="43"/>
      <c r="O198" s="55"/>
      <c r="P198" s="55"/>
    </row>
    <row r="199" spans="1:16" ht="23.85" customHeight="1" x14ac:dyDescent="0.35">
      <c r="A199" s="34"/>
      <c r="B199" s="60"/>
      <c r="C199" s="61"/>
      <c r="D199" s="69"/>
      <c r="E199" s="67"/>
      <c r="F199" s="70"/>
      <c r="G199" s="74" t="str">
        <f>"Vergi Dairesi : "&amp;'Senet Borçlu Alacaklı Giriş'!$C$7</f>
        <v>Vergi Dairesi : Tokat</v>
      </c>
      <c r="H199" s="74"/>
      <c r="I199" s="74"/>
      <c r="J199" s="74"/>
      <c r="K199" s="34"/>
      <c r="L199" s="34"/>
      <c r="M199" s="34"/>
      <c r="N199" s="34"/>
      <c r="O199" s="55"/>
      <c r="P199" s="55"/>
    </row>
    <row r="200" spans="1:16" ht="23.85" customHeight="1" x14ac:dyDescent="0.35">
      <c r="A200" s="34"/>
      <c r="B200" s="46"/>
      <c r="C200" s="34"/>
      <c r="D200" s="69"/>
      <c r="E200" s="67"/>
      <c r="F200" s="70"/>
      <c r="G200" s="75" t="str">
        <f>"Vergi No / TC Kimlik No : "&amp;'Senet Borçlu Alacaklı Giriş'!$C$8</f>
        <v>Vergi No / TC Kimlik No : 341 3267 6260</v>
      </c>
      <c r="H200" s="75"/>
      <c r="I200" s="75"/>
      <c r="J200" s="75"/>
      <c r="K200" s="62"/>
      <c r="L200" s="62"/>
      <c r="M200" s="62"/>
      <c r="N200" s="62"/>
      <c r="O200" s="63"/>
      <c r="P200" s="55"/>
    </row>
    <row r="201" spans="1:16" ht="23.85" customHeight="1" x14ac:dyDescent="0.35">
      <c r="A201" s="34"/>
      <c r="B201" s="59"/>
      <c r="C201" s="34"/>
      <c r="D201" s="69"/>
      <c r="E201" s="67"/>
      <c r="F201" s="70" t="s">
        <v>34</v>
      </c>
      <c r="G201" s="76" t="str">
        <f>"İsim Unvan : "&amp;'Senet Borçlu Alacaklı Giriş'!$C$9</f>
        <v>İsim Unvan : Adem Duman</v>
      </c>
      <c r="H201" s="76"/>
      <c r="I201" s="76"/>
      <c r="J201" s="76"/>
      <c r="K201" s="36"/>
      <c r="L201" s="64"/>
      <c r="M201" s="36"/>
      <c r="N201" s="36"/>
      <c r="O201" s="37"/>
      <c r="P201" s="55"/>
    </row>
    <row r="202" spans="1:16" ht="23.85" customHeight="1" x14ac:dyDescent="0.35">
      <c r="A202" s="34"/>
      <c r="B202" s="46"/>
      <c r="C202" s="34"/>
      <c r="D202" s="57" t="s">
        <v>67</v>
      </c>
      <c r="E202" s="67"/>
      <c r="F202" s="70"/>
      <c r="G202" s="73" t="str">
        <f>"Adres : " &amp;'Senet Borçlu Alacaklı Giriş'!$C$10</f>
        <v>Adres : Esentepe Mah. Şehit Ulaşar Cad. Belde Sitesi B Blk. K1: D:3 TOKAT</v>
      </c>
      <c r="H202" s="73"/>
      <c r="I202" s="73"/>
      <c r="J202" s="73"/>
      <c r="K202" s="34"/>
      <c r="L202" s="34"/>
      <c r="M202" s="34"/>
      <c r="N202" s="34"/>
      <c r="O202" s="55"/>
      <c r="P202" s="55"/>
    </row>
    <row r="203" spans="1:16" ht="23.85" customHeight="1" x14ac:dyDescent="0.35">
      <c r="A203" s="34"/>
      <c r="B203" s="59"/>
      <c r="C203" s="34"/>
      <c r="D203" s="65">
        <f>'Senet Taksit Giriş'!D12</f>
        <v>44560</v>
      </c>
      <c r="E203" s="67"/>
      <c r="F203" s="70"/>
      <c r="G203" s="73"/>
      <c r="H203" s="73"/>
      <c r="I203" s="73"/>
      <c r="J203" s="73"/>
      <c r="K203" s="34"/>
      <c r="L203" s="47" t="s">
        <v>66</v>
      </c>
      <c r="M203" s="34"/>
      <c r="N203" s="34"/>
      <c r="O203" s="55"/>
      <c r="P203" s="55"/>
    </row>
    <row r="204" spans="1:16" ht="23.85" customHeight="1" x14ac:dyDescent="0.35">
      <c r="A204" s="34"/>
      <c r="B204" s="46"/>
      <c r="C204" s="34"/>
      <c r="D204" s="57" t="s">
        <v>68</v>
      </c>
      <c r="E204" s="67"/>
      <c r="F204" s="70"/>
      <c r="G204" s="74" t="str">
        <f>"Vergi Dairesi : "&amp;'Senet Borçlu Alacaklı Giriş'!$C$11</f>
        <v>Vergi Dairesi : Tokat</v>
      </c>
      <c r="H204" s="74"/>
      <c r="I204" s="74"/>
      <c r="J204" s="74"/>
      <c r="K204" s="34"/>
      <c r="L204" s="34"/>
      <c r="M204" s="34"/>
      <c r="N204" s="34"/>
      <c r="O204" s="55"/>
      <c r="P204" s="55"/>
    </row>
    <row r="205" spans="1:16" ht="23.85" customHeight="1" x14ac:dyDescent="0.35">
      <c r="A205" s="34"/>
      <c r="B205" s="46"/>
      <c r="C205" s="34"/>
      <c r="D205" s="65">
        <f>'Senet Taksit Giriş'!C12</f>
        <v>44252</v>
      </c>
      <c r="E205" s="67"/>
      <c r="F205" s="70"/>
      <c r="G205" s="75" t="str">
        <f>"Vergi No / TC Kimlik No : "&amp;'Senet Borçlu Alacaklı Giriş'!$C$12</f>
        <v>Vergi No / TC Kimlik No : 341 3267 6260</v>
      </c>
      <c r="H205" s="75"/>
      <c r="I205" s="75"/>
      <c r="J205" s="75"/>
      <c r="K205" s="62"/>
      <c r="L205" s="62"/>
      <c r="M205" s="62"/>
      <c r="N205" s="62"/>
      <c r="O205" s="63"/>
      <c r="P205" s="55"/>
    </row>
    <row r="206" spans="1:16" ht="23.85" customHeight="1" x14ac:dyDescent="0.35">
      <c r="A206" s="34"/>
      <c r="B206" s="66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3"/>
    </row>
    <row r="207" spans="1:16" ht="23.25" x14ac:dyDescent="0.35"/>
    <row r="208" spans="1:16" ht="23.85" customHeight="1" x14ac:dyDescent="0.35">
      <c r="A208" s="34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7"/>
    </row>
    <row r="209" spans="1:16" ht="23.85" customHeight="1" x14ac:dyDescent="0.35">
      <c r="A209" s="39"/>
      <c r="B209" s="40"/>
      <c r="C209" s="39"/>
      <c r="D209" s="41" t="s">
        <v>57</v>
      </c>
      <c r="E209" s="67" t="str">
        <f>$D216 &amp;"    - Taksit No: " &amp; $D211&amp;"  "</f>
        <v xml:space="preserve">Bursa Fabrika Satış Mağazası – Adem Duman    - Taksit No: # 11 #  </v>
      </c>
      <c r="F209" s="39"/>
      <c r="G209" s="42" t="s">
        <v>58</v>
      </c>
      <c r="H209" s="39"/>
      <c r="I209" s="42" t="s">
        <v>59</v>
      </c>
      <c r="J209" s="42" t="s">
        <v>60</v>
      </c>
      <c r="K209"/>
      <c r="L209" s="39"/>
      <c r="M209" s="42" t="s">
        <v>61</v>
      </c>
      <c r="N209" s="43"/>
      <c r="O209" s="42" t="s">
        <v>38</v>
      </c>
      <c r="P209" s="44"/>
    </row>
    <row r="210" spans="1:16" ht="23.85" customHeight="1" x14ac:dyDescent="0.35">
      <c r="A210" s="34"/>
      <c r="B210" s="46"/>
      <c r="C210" s="47"/>
      <c r="D210" s="48" t="s">
        <v>62</v>
      </c>
      <c r="E210" s="67"/>
      <c r="F210" s="34"/>
      <c r="G210" s="49">
        <f>D224</f>
        <v>44591</v>
      </c>
      <c r="H210" s="50"/>
      <c r="I210" s="51" t="str">
        <f>D213</f>
        <v># 2.000 TL #</v>
      </c>
      <c r="J210" s="52" t="str">
        <f>D214</f>
        <v>#   Krş #</v>
      </c>
      <c r="K210"/>
      <c r="L210" s="50"/>
      <c r="M210" s="53" t="str">
        <f>D211</f>
        <v># 11 #</v>
      </c>
      <c r="N210" s="43"/>
      <c r="O210" s="54">
        <f>D226</f>
        <v>44252</v>
      </c>
      <c r="P210" s="55"/>
    </row>
    <row r="211" spans="1:16" ht="23.85" customHeight="1" x14ac:dyDescent="0.35">
      <c r="A211" s="34"/>
      <c r="B211" s="46"/>
      <c r="C211" s="47"/>
      <c r="D211" s="56" t="str">
        <f>"# "&amp;TEXT(INT('Senet Taksit Giriş'!B13),"##.##0")&amp;" #"</f>
        <v># 11 #</v>
      </c>
      <c r="E211" s="67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55"/>
    </row>
    <row r="212" spans="1:16" ht="23.85" customHeight="1" x14ac:dyDescent="0.35">
      <c r="A212" s="34"/>
      <c r="B212" s="46"/>
      <c r="C212" s="47"/>
      <c r="D212" s="57" t="s">
        <v>63</v>
      </c>
      <c r="E212" s="67"/>
      <c r="F212" s="68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12" s="68"/>
      <c r="H212" s="68"/>
      <c r="I212" s="68"/>
      <c r="J212" s="68"/>
      <c r="K212" s="68"/>
      <c r="L212" s="68"/>
      <c r="M212" s="68"/>
      <c r="N212" s="68"/>
      <c r="O212" s="68"/>
      <c r="P212" s="55"/>
    </row>
    <row r="213" spans="1:16" ht="23.85" customHeight="1" x14ac:dyDescent="0.35">
      <c r="A213" s="34"/>
      <c r="B213" s="46"/>
      <c r="C213" s="47"/>
      <c r="D213" s="58" t="str">
        <f>"# "&amp;TEXT(INT('Senet Taksit Giriş'!E13),"##.##0")&amp;" TL #"</f>
        <v># 2.000 TL #</v>
      </c>
      <c r="E213" s="67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55"/>
    </row>
    <row r="214" spans="1:16" ht="23.85" customHeight="1" x14ac:dyDescent="0.35">
      <c r="A214" s="34"/>
      <c r="B214" s="46"/>
      <c r="C214" s="34"/>
      <c r="D214" s="56" t="str">
        <f>"# "&amp;TEXT(('Senet Taksit Giriş'!E216-INT('Senet Taksit Giriş'!E216))*100,"##.##")&amp;"  Krş #"</f>
        <v>#   Krş #</v>
      </c>
      <c r="E214" s="67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55"/>
    </row>
    <row r="215" spans="1:16" ht="23.85" customHeight="1" x14ac:dyDescent="0.35">
      <c r="A215" s="34"/>
      <c r="B215" s="46"/>
      <c r="C215" s="34"/>
      <c r="D215" s="57" t="s">
        <v>64</v>
      </c>
      <c r="E215" s="67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55"/>
    </row>
    <row r="216" spans="1:16" ht="23.85" customHeight="1" x14ac:dyDescent="0.35">
      <c r="A216" s="34"/>
      <c r="B216" s="59"/>
      <c r="C216" s="34"/>
      <c r="D216" s="69" t="str">
        <f>$D$9</f>
        <v>Bursa Fabrika Satış Mağazası – Adem Duman</v>
      </c>
      <c r="E216" s="67"/>
      <c r="F216"/>
      <c r="G216"/>
      <c r="H216"/>
      <c r="I216"/>
      <c r="J216"/>
      <c r="K216"/>
      <c r="L216"/>
      <c r="M216"/>
      <c r="N216"/>
      <c r="O216"/>
      <c r="P216" s="55"/>
    </row>
    <row r="217" spans="1:16" ht="23.85" customHeight="1" x14ac:dyDescent="0.35">
      <c r="A217" s="34"/>
      <c r="B217" s="46"/>
      <c r="C217" s="34"/>
      <c r="D217" s="69"/>
      <c r="E217" s="67"/>
      <c r="F217" s="70" t="s">
        <v>65</v>
      </c>
      <c r="G217" s="76" t="str">
        <f>"İsim : "&amp;$D216</f>
        <v>İsim : Bursa Fabrika Satış Mağazası – Adem Duman</v>
      </c>
      <c r="H217" s="76"/>
      <c r="I217" s="76"/>
      <c r="J217" s="76"/>
      <c r="K217" s="36"/>
      <c r="L217" s="36"/>
      <c r="M217" s="72"/>
      <c r="N217" s="72"/>
      <c r="O217" s="37"/>
      <c r="P217" s="55"/>
    </row>
    <row r="218" spans="1:16" ht="23.85" customHeight="1" x14ac:dyDescent="0.35">
      <c r="A218" s="34"/>
      <c r="B218" s="60"/>
      <c r="C218" s="61"/>
      <c r="D218" s="69"/>
      <c r="E218" s="67"/>
      <c r="F218" s="70"/>
      <c r="G218" s="73" t="str">
        <f>"Adres : " &amp;'Senet Borçlu Alacaklı Giriş'!$C$6</f>
        <v>Adres : Hızarhane Cad. No:5 TOKAT</v>
      </c>
      <c r="H218" s="73"/>
      <c r="I218" s="73"/>
      <c r="J218" s="73"/>
      <c r="K218" s="73"/>
      <c r="L218" s="34"/>
      <c r="M218" s="34"/>
      <c r="N218" s="34"/>
      <c r="O218" s="55"/>
      <c r="P218" s="55"/>
    </row>
    <row r="219" spans="1:16" ht="23.85" customHeight="1" x14ac:dyDescent="0.35">
      <c r="A219" s="34"/>
      <c r="B219" s="60"/>
      <c r="C219" s="61"/>
      <c r="D219" s="69"/>
      <c r="E219" s="67"/>
      <c r="F219" s="70"/>
      <c r="G219" s="73"/>
      <c r="H219" s="73"/>
      <c r="I219" s="73"/>
      <c r="J219" s="73"/>
      <c r="K219" s="73"/>
      <c r="L219" s="47" t="s">
        <v>66</v>
      </c>
      <c r="M219" s="47"/>
      <c r="N219" s="43"/>
      <c r="O219" s="55"/>
      <c r="P219" s="55"/>
    </row>
    <row r="220" spans="1:16" ht="23.85" customHeight="1" x14ac:dyDescent="0.35">
      <c r="A220" s="34"/>
      <c r="B220" s="60"/>
      <c r="C220" s="61"/>
      <c r="D220" s="69"/>
      <c r="E220" s="67"/>
      <c r="F220" s="70"/>
      <c r="G220" s="74" t="str">
        <f>"Vergi Dairesi : "&amp;'Senet Borçlu Alacaklı Giriş'!$C$7</f>
        <v>Vergi Dairesi : Tokat</v>
      </c>
      <c r="H220" s="74"/>
      <c r="I220" s="74"/>
      <c r="J220" s="74"/>
      <c r="K220" s="34"/>
      <c r="L220" s="34"/>
      <c r="M220" s="34"/>
      <c r="N220" s="34"/>
      <c r="O220" s="55"/>
      <c r="P220" s="55"/>
    </row>
    <row r="221" spans="1:16" ht="23.85" customHeight="1" x14ac:dyDescent="0.35">
      <c r="A221" s="34"/>
      <c r="B221" s="46"/>
      <c r="C221" s="34"/>
      <c r="D221" s="69"/>
      <c r="E221" s="67"/>
      <c r="F221" s="70"/>
      <c r="G221" s="75" t="str">
        <f>"Vergi No / TC Kimlik No : "&amp;'Senet Borçlu Alacaklı Giriş'!$C$8</f>
        <v>Vergi No / TC Kimlik No : 341 3267 6260</v>
      </c>
      <c r="H221" s="75"/>
      <c r="I221" s="75"/>
      <c r="J221" s="75"/>
      <c r="K221" s="62"/>
      <c r="L221" s="62"/>
      <c r="M221" s="62"/>
      <c r="N221" s="62"/>
      <c r="O221" s="63"/>
      <c r="P221" s="55"/>
    </row>
    <row r="222" spans="1:16" ht="23.85" customHeight="1" x14ac:dyDescent="0.35">
      <c r="A222" s="34"/>
      <c r="B222" s="59"/>
      <c r="C222" s="34"/>
      <c r="D222" s="69"/>
      <c r="E222" s="67"/>
      <c r="F222" s="70" t="s">
        <v>34</v>
      </c>
      <c r="G222" s="76" t="str">
        <f>"İsim Unvan : "&amp;'Senet Borçlu Alacaklı Giriş'!$C$9</f>
        <v>İsim Unvan : Adem Duman</v>
      </c>
      <c r="H222" s="76"/>
      <c r="I222" s="76"/>
      <c r="J222" s="76"/>
      <c r="K222" s="36"/>
      <c r="L222" s="64"/>
      <c r="M222" s="36"/>
      <c r="N222" s="36"/>
      <c r="O222" s="37"/>
      <c r="P222" s="55"/>
    </row>
    <row r="223" spans="1:16" ht="23.85" customHeight="1" x14ac:dyDescent="0.35">
      <c r="A223" s="34"/>
      <c r="B223" s="46"/>
      <c r="C223" s="34"/>
      <c r="D223" s="57" t="s">
        <v>67</v>
      </c>
      <c r="E223" s="67"/>
      <c r="F223" s="70"/>
      <c r="G223" s="73" t="str">
        <f>"Adres : " &amp;'Senet Borçlu Alacaklı Giriş'!$C$10</f>
        <v>Adres : Esentepe Mah. Şehit Ulaşar Cad. Belde Sitesi B Blk. K1: D:3 TOKAT</v>
      </c>
      <c r="H223" s="73"/>
      <c r="I223" s="73"/>
      <c r="J223" s="73"/>
      <c r="K223" s="34"/>
      <c r="L223" s="34"/>
      <c r="M223" s="34"/>
      <c r="N223" s="34"/>
      <c r="O223" s="55"/>
      <c r="P223" s="55"/>
    </row>
    <row r="224" spans="1:16" ht="23.85" customHeight="1" x14ac:dyDescent="0.35">
      <c r="A224" s="34"/>
      <c r="B224" s="59"/>
      <c r="C224" s="34"/>
      <c r="D224" s="65">
        <f>'Senet Taksit Giriş'!D13</f>
        <v>44591</v>
      </c>
      <c r="E224" s="67"/>
      <c r="F224" s="70"/>
      <c r="G224" s="73"/>
      <c r="H224" s="73"/>
      <c r="I224" s="73"/>
      <c r="J224" s="73"/>
      <c r="K224" s="34"/>
      <c r="L224" s="47" t="s">
        <v>66</v>
      </c>
      <c r="M224" s="34"/>
      <c r="N224" s="34"/>
      <c r="O224" s="55"/>
      <c r="P224" s="55"/>
    </row>
    <row r="225" spans="1:16" ht="23.85" customHeight="1" x14ac:dyDescent="0.35">
      <c r="A225" s="34"/>
      <c r="B225" s="46"/>
      <c r="C225" s="34"/>
      <c r="D225" s="57" t="s">
        <v>68</v>
      </c>
      <c r="E225" s="67"/>
      <c r="F225" s="70"/>
      <c r="G225" s="74" t="str">
        <f>"Vergi Dairesi : "&amp;'Senet Borçlu Alacaklı Giriş'!$C$11</f>
        <v>Vergi Dairesi : Tokat</v>
      </c>
      <c r="H225" s="74"/>
      <c r="I225" s="74"/>
      <c r="J225" s="74"/>
      <c r="K225" s="34"/>
      <c r="L225" s="34"/>
      <c r="M225" s="34"/>
      <c r="N225" s="34"/>
      <c r="O225" s="55"/>
      <c r="P225" s="55"/>
    </row>
    <row r="226" spans="1:16" ht="23.85" customHeight="1" x14ac:dyDescent="0.35">
      <c r="A226" s="34"/>
      <c r="B226" s="46"/>
      <c r="C226" s="34"/>
      <c r="D226" s="65">
        <f>'Senet Taksit Giriş'!C13</f>
        <v>44252</v>
      </c>
      <c r="E226" s="67"/>
      <c r="F226" s="70"/>
      <c r="G226" s="75" t="str">
        <f>"Vergi No / TC Kimlik No : "&amp;'Senet Borçlu Alacaklı Giriş'!$C$12</f>
        <v>Vergi No / TC Kimlik No : 341 3267 6260</v>
      </c>
      <c r="H226" s="75"/>
      <c r="I226" s="75"/>
      <c r="J226" s="75"/>
      <c r="K226" s="62"/>
      <c r="L226" s="62"/>
      <c r="M226" s="62"/>
      <c r="N226" s="62"/>
      <c r="O226" s="63"/>
      <c r="P226" s="55"/>
    </row>
    <row r="227" spans="1:16" ht="23.85" customHeight="1" x14ac:dyDescent="0.35">
      <c r="A227" s="34"/>
      <c r="B227" s="66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3"/>
    </row>
    <row r="228" spans="1:16" ht="23.25" x14ac:dyDescent="0.35"/>
    <row r="229" spans="1:16" ht="23.85" customHeight="1" x14ac:dyDescent="0.35">
      <c r="A229" s="34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7"/>
    </row>
    <row r="230" spans="1:16" ht="23.85" customHeight="1" x14ac:dyDescent="0.35">
      <c r="A230" s="39"/>
      <c r="B230" s="40"/>
      <c r="C230" s="39"/>
      <c r="D230" s="41" t="s">
        <v>57</v>
      </c>
      <c r="E230" s="67" t="str">
        <f>$D237 &amp;"    - Taksit No: " &amp; $D232&amp;"  "</f>
        <v xml:space="preserve">Bursa Fabrika Satış Mağazası – Adem Duman    - Taksit No: # 12 #  </v>
      </c>
      <c r="F230" s="39"/>
      <c r="G230" s="42" t="s">
        <v>58</v>
      </c>
      <c r="H230" s="39"/>
      <c r="I230" s="42" t="s">
        <v>59</v>
      </c>
      <c r="J230" s="42" t="s">
        <v>60</v>
      </c>
      <c r="K230"/>
      <c r="L230" s="39"/>
      <c r="M230" s="42" t="s">
        <v>61</v>
      </c>
      <c r="N230" s="43"/>
      <c r="O230" s="42" t="s">
        <v>38</v>
      </c>
      <c r="P230" s="44"/>
    </row>
    <row r="231" spans="1:16" ht="23.85" customHeight="1" x14ac:dyDescent="0.35">
      <c r="A231" s="34"/>
      <c r="B231" s="46"/>
      <c r="C231" s="47"/>
      <c r="D231" s="48" t="s">
        <v>62</v>
      </c>
      <c r="E231" s="67"/>
      <c r="F231" s="34"/>
      <c r="G231" s="49">
        <f>D245</f>
        <v>44620</v>
      </c>
      <c r="H231" s="50"/>
      <c r="I231" s="51" t="str">
        <f>D234</f>
        <v># 2.000 TL #</v>
      </c>
      <c r="J231" s="52" t="str">
        <f>D235</f>
        <v>#   Krş #</v>
      </c>
      <c r="K231"/>
      <c r="L231" s="50"/>
      <c r="M231" s="53" t="str">
        <f>D232</f>
        <v># 12 #</v>
      </c>
      <c r="N231" s="43"/>
      <c r="O231" s="54">
        <f>D247</f>
        <v>44252</v>
      </c>
      <c r="P231" s="55"/>
    </row>
    <row r="232" spans="1:16" ht="23.85" customHeight="1" x14ac:dyDescent="0.35">
      <c r="A232" s="34"/>
      <c r="B232" s="46"/>
      <c r="C232" s="47"/>
      <c r="D232" s="56" t="str">
        <f>"# "&amp;TEXT(INT('Senet Taksit Giriş'!B14),"##.##0")&amp;" #"</f>
        <v># 12 #</v>
      </c>
      <c r="E232" s="67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55"/>
    </row>
    <row r="233" spans="1:16" ht="23.85" customHeight="1" x14ac:dyDescent="0.35">
      <c r="A233" s="34"/>
      <c r="B233" s="46"/>
      <c r="C233" s="47"/>
      <c r="D233" s="57" t="s">
        <v>63</v>
      </c>
      <c r="E233" s="67"/>
      <c r="F233" s="68" t="str">
        <f>"   İş bu emre muharrer senedim"&amp;IF('Senet Borçlu Alacaklı Giriş'!$C$4="Gerçek Kişi","in","izin")&amp;" mükabilinde "&amp;TEXT(G231,"dd mmmm yyyy")&amp;" tarihinde Sayın : "&amp;'Senet Borçlu Alacaklı Giriş'!$C$1&amp;" 'ya veyahut emruhavalesine yukarıda yazılı Yalnız # "&amp;'Senet Taksit Giriş'!F14&amp;" # ödeyeceği"&amp;IF('Senet Borçlu Alacaklı Giriş'!$C$4="Gerçek Kişi","m.","z.")&amp;" Bedeli "&amp;'Senet Taksit Giriş'!G14&amp;"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33" s="68"/>
      <c r="H233" s="68"/>
      <c r="I233" s="68"/>
      <c r="J233" s="68"/>
      <c r="K233" s="68"/>
      <c r="L233" s="68"/>
      <c r="M233" s="68"/>
      <c r="N233" s="68"/>
      <c r="O233" s="68"/>
      <c r="P233" s="55"/>
    </row>
    <row r="234" spans="1:16" ht="23.85" customHeight="1" x14ac:dyDescent="0.35">
      <c r="A234" s="34"/>
      <c r="B234" s="46"/>
      <c r="C234" s="47"/>
      <c r="D234" s="58" t="str">
        <f>"# "&amp;TEXT(INT('Senet Taksit Giriş'!E14),"##.##0")&amp;" TL #"</f>
        <v># 2.000 TL #</v>
      </c>
      <c r="E234" s="67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55"/>
    </row>
    <row r="235" spans="1:16" ht="23.85" customHeight="1" x14ac:dyDescent="0.35">
      <c r="A235" s="34"/>
      <c r="B235" s="46"/>
      <c r="C235" s="34"/>
      <c r="D235" s="56" t="str">
        <f>"# "&amp;TEXT(('Senet Taksit Giriş'!E237-INT('Senet Taksit Giriş'!E237))*100,"##.##")&amp;"  Krş #"</f>
        <v>#   Krş #</v>
      </c>
      <c r="E235" s="67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55"/>
    </row>
    <row r="236" spans="1:16" ht="23.85" customHeight="1" x14ac:dyDescent="0.35">
      <c r="A236" s="34"/>
      <c r="B236" s="46"/>
      <c r="C236" s="34"/>
      <c r="D236" s="57" t="s">
        <v>64</v>
      </c>
      <c r="E236" s="67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55"/>
    </row>
    <row r="237" spans="1:16" ht="23.85" customHeight="1" x14ac:dyDescent="0.35">
      <c r="A237" s="34"/>
      <c r="B237" s="59"/>
      <c r="C237" s="34"/>
      <c r="D237" s="69" t="str">
        <f>$D$9</f>
        <v>Bursa Fabrika Satış Mağazası – Adem Duman</v>
      </c>
      <c r="E237" s="67"/>
      <c r="F237"/>
      <c r="G237"/>
      <c r="H237"/>
      <c r="I237"/>
      <c r="J237"/>
      <c r="K237"/>
      <c r="L237"/>
      <c r="M237"/>
      <c r="N237"/>
      <c r="O237"/>
      <c r="P237" s="55"/>
    </row>
    <row r="238" spans="1:16" ht="23.85" customHeight="1" x14ac:dyDescent="0.35">
      <c r="A238" s="34"/>
      <c r="B238" s="46"/>
      <c r="C238" s="34"/>
      <c r="D238" s="69"/>
      <c r="E238" s="67"/>
      <c r="F238" s="70" t="s">
        <v>65</v>
      </c>
      <c r="G238" s="76" t="str">
        <f>"İsim : "&amp;$D237</f>
        <v>İsim : Bursa Fabrika Satış Mağazası – Adem Duman</v>
      </c>
      <c r="H238" s="76"/>
      <c r="I238" s="76"/>
      <c r="J238" s="76"/>
      <c r="K238" s="36"/>
      <c r="L238" s="36"/>
      <c r="M238" s="72"/>
      <c r="N238" s="72"/>
      <c r="O238" s="37"/>
      <c r="P238" s="55"/>
    </row>
    <row r="239" spans="1:16" ht="23.85" customHeight="1" x14ac:dyDescent="0.35">
      <c r="A239" s="34"/>
      <c r="B239" s="60"/>
      <c r="C239" s="61"/>
      <c r="D239" s="69"/>
      <c r="E239" s="67"/>
      <c r="F239" s="70"/>
      <c r="G239" s="73" t="str">
        <f>"Adres : " &amp;'Senet Borçlu Alacaklı Giriş'!$C$6</f>
        <v>Adres : Hızarhane Cad. No:5 TOKAT</v>
      </c>
      <c r="H239" s="73"/>
      <c r="I239" s="73"/>
      <c r="J239" s="73"/>
      <c r="K239" s="73"/>
      <c r="L239" s="34"/>
      <c r="M239" s="34"/>
      <c r="N239" s="34"/>
      <c r="O239" s="55"/>
      <c r="P239" s="55"/>
    </row>
    <row r="240" spans="1:16" ht="23.85" customHeight="1" x14ac:dyDescent="0.35">
      <c r="A240" s="34"/>
      <c r="B240" s="60"/>
      <c r="C240" s="61"/>
      <c r="D240" s="69"/>
      <c r="E240" s="67"/>
      <c r="F240" s="70"/>
      <c r="G240" s="73"/>
      <c r="H240" s="73"/>
      <c r="I240" s="73"/>
      <c r="J240" s="73"/>
      <c r="K240" s="73"/>
      <c r="L240" s="47" t="s">
        <v>66</v>
      </c>
      <c r="M240" s="47"/>
      <c r="N240" s="43"/>
      <c r="O240" s="55"/>
      <c r="P240" s="55"/>
    </row>
    <row r="241" spans="1:16" ht="23.85" customHeight="1" x14ac:dyDescent="0.35">
      <c r="A241" s="34"/>
      <c r="B241" s="60"/>
      <c r="C241" s="61"/>
      <c r="D241" s="69"/>
      <c r="E241" s="67"/>
      <c r="F241" s="70"/>
      <c r="G241" s="74" t="str">
        <f>"Vergi Dairesi : "&amp;'Senet Borçlu Alacaklı Giriş'!$C$7</f>
        <v>Vergi Dairesi : Tokat</v>
      </c>
      <c r="H241" s="74"/>
      <c r="I241" s="74"/>
      <c r="J241" s="74"/>
      <c r="K241" s="34"/>
      <c r="L241" s="34"/>
      <c r="M241" s="34"/>
      <c r="N241" s="34"/>
      <c r="O241" s="55"/>
      <c r="P241" s="55"/>
    </row>
    <row r="242" spans="1:16" ht="23.85" customHeight="1" x14ac:dyDescent="0.35">
      <c r="A242" s="34"/>
      <c r="B242" s="46"/>
      <c r="C242" s="34"/>
      <c r="D242" s="69"/>
      <c r="E242" s="67"/>
      <c r="F242" s="70"/>
      <c r="G242" s="75" t="str">
        <f>"Vergi No / TC Kimlik No : "&amp;'Senet Borçlu Alacaklı Giriş'!$C$8</f>
        <v>Vergi No / TC Kimlik No : 341 3267 6260</v>
      </c>
      <c r="H242" s="75"/>
      <c r="I242" s="75"/>
      <c r="J242" s="75"/>
      <c r="K242" s="62"/>
      <c r="L242" s="62"/>
      <c r="M242" s="62"/>
      <c r="N242" s="62"/>
      <c r="O242" s="63"/>
      <c r="P242" s="55"/>
    </row>
    <row r="243" spans="1:16" ht="23.85" customHeight="1" x14ac:dyDescent="0.35">
      <c r="A243" s="34"/>
      <c r="B243" s="59"/>
      <c r="C243" s="34"/>
      <c r="D243" s="69"/>
      <c r="E243" s="67"/>
      <c r="F243" s="70" t="s">
        <v>34</v>
      </c>
      <c r="G243" s="76" t="str">
        <f>"İsim : "&amp;'Senet Borçlu Alacaklı Giriş'!$C$9</f>
        <v>İsim : Adem Duman</v>
      </c>
      <c r="H243" s="76"/>
      <c r="I243" s="76"/>
      <c r="J243" s="76"/>
      <c r="K243" s="36"/>
      <c r="L243" s="64"/>
      <c r="M243" s="36"/>
      <c r="N243" s="36"/>
      <c r="O243" s="37"/>
      <c r="P243" s="55"/>
    </row>
    <row r="244" spans="1:16" ht="23.85" customHeight="1" x14ac:dyDescent="0.35">
      <c r="A244" s="34"/>
      <c r="B244" s="46"/>
      <c r="C244" s="34"/>
      <c r="D244" s="57" t="s">
        <v>67</v>
      </c>
      <c r="E244" s="67"/>
      <c r="F244" s="70"/>
      <c r="G244" s="73" t="str">
        <f>"Adres : " &amp;'Senet Borçlu Alacaklı Giriş'!$C$10</f>
        <v>Adres : Esentepe Mah. Şehit Ulaşar Cad. Belde Sitesi B Blk. K1: D:3 TOKAT</v>
      </c>
      <c r="H244" s="73"/>
      <c r="I244" s="73"/>
      <c r="J244" s="73"/>
      <c r="K244" s="34"/>
      <c r="L244" s="34"/>
      <c r="M244" s="34"/>
      <c r="N244" s="34"/>
      <c r="O244" s="55"/>
      <c r="P244" s="55"/>
    </row>
    <row r="245" spans="1:16" ht="23.85" customHeight="1" x14ac:dyDescent="0.35">
      <c r="A245" s="34"/>
      <c r="B245" s="59"/>
      <c r="C245" s="34"/>
      <c r="D245" s="65">
        <f>'Senet Taksit Giriş'!D14</f>
        <v>44620</v>
      </c>
      <c r="E245" s="67"/>
      <c r="F245" s="70"/>
      <c r="G245" s="73"/>
      <c r="H245" s="73"/>
      <c r="I245" s="73"/>
      <c r="J245" s="73"/>
      <c r="K245" s="34"/>
      <c r="L245" s="47" t="s">
        <v>66</v>
      </c>
      <c r="M245" s="34"/>
      <c r="N245" s="34"/>
      <c r="O245" s="55"/>
      <c r="P245" s="55"/>
    </row>
    <row r="246" spans="1:16" ht="23.85" customHeight="1" x14ac:dyDescent="0.35">
      <c r="A246" s="34"/>
      <c r="B246" s="46"/>
      <c r="C246" s="34"/>
      <c r="D246" s="57" t="s">
        <v>68</v>
      </c>
      <c r="E246" s="67"/>
      <c r="F246" s="70"/>
      <c r="G246" s="74" t="str">
        <f>"Vergi Dairesi : "&amp;'Senet Borçlu Alacaklı Giriş'!$C$11</f>
        <v>Vergi Dairesi : Tokat</v>
      </c>
      <c r="H246" s="74"/>
      <c r="I246" s="74"/>
      <c r="J246" s="74"/>
      <c r="K246" s="34"/>
      <c r="L246" s="34"/>
      <c r="M246" s="34"/>
      <c r="N246" s="34"/>
      <c r="O246" s="55"/>
      <c r="P246" s="55"/>
    </row>
    <row r="247" spans="1:16" ht="23.85" customHeight="1" x14ac:dyDescent="0.35">
      <c r="A247" s="34"/>
      <c r="B247" s="46"/>
      <c r="C247" s="34"/>
      <c r="D247" s="65">
        <f>'Senet Taksit Giriş'!C14</f>
        <v>44252</v>
      </c>
      <c r="E247" s="67"/>
      <c r="F247" s="70"/>
      <c r="G247" s="75" t="str">
        <f>"Vergi No / TC Kimlik No : "&amp;'Senet Borçlu Alacaklı Giriş'!$C$12</f>
        <v>Vergi No / TC Kimlik No : 341 3267 6260</v>
      </c>
      <c r="H247" s="75"/>
      <c r="I247" s="75"/>
      <c r="J247" s="75"/>
      <c r="K247" s="62"/>
      <c r="L247" s="62"/>
      <c r="M247" s="62"/>
      <c r="N247" s="62"/>
      <c r="O247" s="63"/>
      <c r="P247" s="55"/>
    </row>
    <row r="248" spans="1:16" ht="23.85" customHeight="1" x14ac:dyDescent="0.35">
      <c r="A248" s="34"/>
      <c r="B248" s="66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3"/>
    </row>
    <row r="1048548" ht="12.75" customHeight="1" x14ac:dyDescent="0.35"/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8">
    <mergeCell ref="D237:D243"/>
    <mergeCell ref="F238:F242"/>
    <mergeCell ref="G238:J238"/>
    <mergeCell ref="M238:N238"/>
    <mergeCell ref="G239:K240"/>
    <mergeCell ref="G241:J241"/>
    <mergeCell ref="G242:J242"/>
    <mergeCell ref="F243:F247"/>
    <mergeCell ref="G243:J243"/>
    <mergeCell ref="G244:J245"/>
    <mergeCell ref="G222:J222"/>
    <mergeCell ref="G223:J224"/>
    <mergeCell ref="G225:J225"/>
    <mergeCell ref="G226:J226"/>
    <mergeCell ref="E230:E247"/>
    <mergeCell ref="F233:O236"/>
    <mergeCell ref="G246:J246"/>
    <mergeCell ref="G247:J247"/>
    <mergeCell ref="E209:E226"/>
    <mergeCell ref="F212:O215"/>
    <mergeCell ref="D216:D222"/>
    <mergeCell ref="F217:F221"/>
    <mergeCell ref="G217:J217"/>
    <mergeCell ref="M217:N217"/>
    <mergeCell ref="G218:K219"/>
    <mergeCell ref="G220:J220"/>
    <mergeCell ref="G221:J221"/>
    <mergeCell ref="F222:F226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139:J139"/>
    <mergeCell ref="G140:J141"/>
    <mergeCell ref="G142:J142"/>
    <mergeCell ref="G143:J143"/>
    <mergeCell ref="E147:E164"/>
    <mergeCell ref="F150:O153"/>
    <mergeCell ref="G163:J163"/>
    <mergeCell ref="G164:J164"/>
    <mergeCell ref="E126:E143"/>
    <mergeCell ref="F129:O132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57:J57"/>
    <mergeCell ref="G58:J59"/>
    <mergeCell ref="G60:J60"/>
    <mergeCell ref="G61:J61"/>
    <mergeCell ref="E64:E81"/>
    <mergeCell ref="F67:O70"/>
    <mergeCell ref="G80:J80"/>
    <mergeCell ref="G81:J81"/>
    <mergeCell ref="E44:E61"/>
    <mergeCell ref="F47:O50"/>
    <mergeCell ref="D51:D57"/>
    <mergeCell ref="F52:F56"/>
    <mergeCell ref="G52:J52"/>
    <mergeCell ref="M52:N52"/>
    <mergeCell ref="G53:K54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9:D15"/>
    <mergeCell ref="F10:F14"/>
    <mergeCell ref="G10:J10"/>
    <mergeCell ref="K10:N10"/>
    <mergeCell ref="G11:K12"/>
    <mergeCell ref="G13:J13"/>
    <mergeCell ref="G14:J14"/>
    <mergeCell ref="F15:F19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4"/>
  <sheetViews>
    <sheetView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69</v>
      </c>
    </row>
    <row r="3" spans="2:3" x14ac:dyDescent="0.25">
      <c r="B3" t="s">
        <v>70</v>
      </c>
    </row>
    <row r="4" spans="2:3" x14ac:dyDescent="0.25">
      <c r="B4" s="77">
        <v>44438</v>
      </c>
      <c r="C4" t="s">
        <v>71</v>
      </c>
    </row>
    <row r="5" spans="2:3" x14ac:dyDescent="0.25">
      <c r="B5" s="77" t="s">
        <v>72</v>
      </c>
      <c r="C5" t="s">
        <v>73</v>
      </c>
    </row>
    <row r="6" spans="2:3" x14ac:dyDescent="0.25">
      <c r="B6" s="77">
        <v>44499</v>
      </c>
      <c r="C6" t="s">
        <v>73</v>
      </c>
    </row>
    <row r="7" spans="2:3" x14ac:dyDescent="0.25">
      <c r="B7" s="77">
        <v>44530</v>
      </c>
      <c r="C7" t="s">
        <v>73</v>
      </c>
    </row>
    <row r="8" spans="2:3" x14ac:dyDescent="0.25">
      <c r="B8" s="77">
        <v>44560</v>
      </c>
      <c r="C8" t="s">
        <v>73</v>
      </c>
    </row>
    <row r="9" spans="2:3" x14ac:dyDescent="0.25">
      <c r="B9" s="77">
        <v>44591</v>
      </c>
      <c r="C9" t="s">
        <v>73</v>
      </c>
    </row>
    <row r="10" spans="2:3" x14ac:dyDescent="0.25">
      <c r="B10" s="77">
        <v>44620</v>
      </c>
      <c r="C10" t="s">
        <v>73</v>
      </c>
    </row>
    <row r="11" spans="2:3" x14ac:dyDescent="0.25">
      <c r="B11" s="77">
        <v>44650</v>
      </c>
      <c r="C11" t="s">
        <v>73</v>
      </c>
    </row>
    <row r="12" spans="2:3" x14ac:dyDescent="0.25">
      <c r="B12" s="77">
        <v>44681</v>
      </c>
      <c r="C12" t="s">
        <v>73</v>
      </c>
    </row>
    <row r="13" spans="2:3" x14ac:dyDescent="0.25">
      <c r="B13" s="77">
        <v>44711</v>
      </c>
      <c r="C13" t="s">
        <v>73</v>
      </c>
    </row>
    <row r="14" spans="2:3" x14ac:dyDescent="0.25">
      <c r="B14" s="77">
        <v>44742</v>
      </c>
      <c r="C14" t="s">
        <v>73</v>
      </c>
    </row>
    <row r="15" spans="2:3" x14ac:dyDescent="0.25">
      <c r="B15" s="77">
        <v>44772</v>
      </c>
      <c r="C15" t="s">
        <v>73</v>
      </c>
    </row>
    <row r="16" spans="2:3" x14ac:dyDescent="0.25">
      <c r="B16" s="77"/>
    </row>
    <row r="17" spans="1:5" x14ac:dyDescent="0.25">
      <c r="B17" t="s">
        <v>74</v>
      </c>
      <c r="E17" t="s">
        <v>75</v>
      </c>
    </row>
    <row r="18" spans="1:5" x14ac:dyDescent="0.25">
      <c r="C18" t="s">
        <v>76</v>
      </c>
      <c r="D18" t="s">
        <v>77</v>
      </c>
    </row>
    <row r="19" spans="1:5" x14ac:dyDescent="0.25">
      <c r="B19" s="77">
        <v>44438</v>
      </c>
      <c r="C19" t="s">
        <v>78</v>
      </c>
      <c r="D19">
        <v>2000</v>
      </c>
      <c r="E19">
        <f t="shared" ref="E19:E30" si="0">D19+E18</f>
        <v>2000</v>
      </c>
    </row>
    <row r="20" spans="1:5" x14ac:dyDescent="0.25">
      <c r="B20" s="77" t="s">
        <v>72</v>
      </c>
      <c r="C20" t="s">
        <v>78</v>
      </c>
      <c r="D20">
        <v>2000</v>
      </c>
      <c r="E20">
        <f t="shared" si="0"/>
        <v>4000</v>
      </c>
    </row>
    <row r="21" spans="1:5" x14ac:dyDescent="0.25">
      <c r="B21" s="77">
        <v>44499</v>
      </c>
      <c r="C21" t="s">
        <v>78</v>
      </c>
      <c r="D21">
        <v>2000</v>
      </c>
      <c r="E21">
        <f t="shared" si="0"/>
        <v>6000</v>
      </c>
    </row>
    <row r="22" spans="1:5" x14ac:dyDescent="0.25">
      <c r="B22" s="77">
        <v>44530</v>
      </c>
      <c r="C22" t="s">
        <v>78</v>
      </c>
      <c r="D22">
        <v>2000</v>
      </c>
      <c r="E22">
        <f t="shared" si="0"/>
        <v>8000</v>
      </c>
    </row>
    <row r="23" spans="1:5" x14ac:dyDescent="0.25">
      <c r="B23" s="77">
        <v>44560</v>
      </c>
      <c r="C23" t="s">
        <v>78</v>
      </c>
      <c r="D23">
        <v>2000</v>
      </c>
      <c r="E23">
        <f t="shared" si="0"/>
        <v>10000</v>
      </c>
    </row>
    <row r="24" spans="1:5" x14ac:dyDescent="0.25">
      <c r="B24" s="77">
        <v>44591</v>
      </c>
      <c r="C24" t="s">
        <v>78</v>
      </c>
      <c r="D24">
        <v>2000</v>
      </c>
      <c r="E24">
        <f t="shared" si="0"/>
        <v>12000</v>
      </c>
    </row>
    <row r="25" spans="1:5" x14ac:dyDescent="0.25">
      <c r="B25" s="77">
        <v>44620</v>
      </c>
      <c r="C25" t="s">
        <v>78</v>
      </c>
      <c r="D25">
        <v>3000</v>
      </c>
      <c r="E25">
        <f t="shared" si="0"/>
        <v>15000</v>
      </c>
    </row>
    <row r="26" spans="1:5" x14ac:dyDescent="0.25">
      <c r="B26" s="77">
        <v>44650</v>
      </c>
      <c r="C26">
        <v>3000</v>
      </c>
      <c r="E26">
        <f t="shared" si="0"/>
        <v>15000</v>
      </c>
    </row>
    <row r="27" spans="1:5" x14ac:dyDescent="0.25">
      <c r="B27" s="77">
        <v>44681</v>
      </c>
      <c r="C27">
        <v>3000</v>
      </c>
      <c r="E27">
        <f t="shared" si="0"/>
        <v>15000</v>
      </c>
    </row>
    <row r="28" spans="1:5" x14ac:dyDescent="0.25">
      <c r="B28" s="77">
        <v>44711</v>
      </c>
      <c r="C28">
        <v>5000</v>
      </c>
      <c r="E28">
        <f t="shared" si="0"/>
        <v>15000</v>
      </c>
    </row>
    <row r="29" spans="1:5" x14ac:dyDescent="0.25">
      <c r="B29" s="77">
        <v>44742</v>
      </c>
      <c r="C29">
        <v>5000</v>
      </c>
      <c r="E29">
        <f t="shared" si="0"/>
        <v>15000</v>
      </c>
    </row>
    <row r="30" spans="1:5" x14ac:dyDescent="0.25">
      <c r="A30" t="s">
        <v>79</v>
      </c>
      <c r="B30" s="78">
        <v>44772</v>
      </c>
      <c r="C30" s="79">
        <v>5000</v>
      </c>
      <c r="D30" s="79"/>
      <c r="E30" s="79">
        <f t="shared" si="0"/>
        <v>15000</v>
      </c>
    </row>
    <row r="31" spans="1:5" x14ac:dyDescent="0.25">
      <c r="A31" t="s">
        <v>80</v>
      </c>
      <c r="B31" s="77">
        <v>44803</v>
      </c>
    </row>
    <row r="32" spans="1:5" x14ac:dyDescent="0.25">
      <c r="B32" s="77">
        <v>44834</v>
      </c>
    </row>
    <row r="33" spans="2:2" x14ac:dyDescent="0.25">
      <c r="B33" s="77">
        <v>44864</v>
      </c>
    </row>
    <row r="34" spans="2:2" x14ac:dyDescent="0.25">
      <c r="B34" s="77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1038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32</cp:revision>
  <cp:lastPrinted>2022-03-03T12:46:11Z</cp:lastPrinted>
  <dcterms:created xsi:type="dcterms:W3CDTF">2018-01-01T13:28:37Z</dcterms:created>
  <dcterms:modified xsi:type="dcterms:W3CDTF">2024-04-20T05:35:10Z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