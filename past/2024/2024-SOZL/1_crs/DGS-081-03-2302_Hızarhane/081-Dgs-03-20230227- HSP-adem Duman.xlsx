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2024-SOZL\1_crs\DGS-081-03-2302_Hızarhane\"/>
    </mc:Choice>
  </mc:AlternateContent>
  <xr:revisionPtr revIDLastSave="0" documentId="13_ncr:1_{1828CF13-5533-453C-8E5C-F7FA68E58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1" r:id="rId1"/>
    <sheet name="Senet Borçlu Alacaklı Giriş" sheetId="2" r:id="rId2"/>
    <sheet name="Senet Taksit Giriş" sheetId="3" r:id="rId3"/>
    <sheet name="Senet Önizleme" sheetId="4" r:id="rId4"/>
    <sheet name="Sheet5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5" i="4" l="1"/>
  <c r="D234" i="4"/>
  <c r="F233" i="4"/>
  <c r="F236" i="4"/>
  <c r="D246" i="4"/>
  <c r="D232" i="4"/>
  <c r="F69" i="1"/>
  <c r="F47" i="1"/>
  <c r="F20" i="1"/>
  <c r="F5" i="1"/>
  <c r="F70" i="1" l="1"/>
  <c r="F73" i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51" i="1"/>
  <c r="F52" i="1"/>
  <c r="F53" i="1" s="1"/>
  <c r="F54" i="1" s="1"/>
  <c r="F48" i="1"/>
  <c r="F21" i="1"/>
  <c r="F6" i="1"/>
  <c r="G248" i="4"/>
  <c r="D248" i="4"/>
  <c r="G247" i="4"/>
  <c r="G245" i="4"/>
  <c r="G244" i="4"/>
  <c r="G243" i="4"/>
  <c r="G242" i="4"/>
  <c r="G240" i="4"/>
  <c r="I231" i="4"/>
  <c r="M231" i="4"/>
  <c r="G226" i="4"/>
  <c r="D226" i="4"/>
  <c r="O210" i="4" s="1"/>
  <c r="G225" i="4"/>
  <c r="D224" i="4"/>
  <c r="G210" i="4" s="1"/>
  <c r="G223" i="4"/>
  <c r="G222" i="4"/>
  <c r="G221" i="4"/>
  <c r="G220" i="4"/>
  <c r="G218" i="4"/>
  <c r="D214" i="4"/>
  <c r="J210" i="4" s="1"/>
  <c r="D213" i="4"/>
  <c r="I210" i="4" s="1"/>
  <c r="D211" i="4"/>
  <c r="M210" i="4" s="1"/>
  <c r="G205" i="4"/>
  <c r="D205" i="4"/>
  <c r="G204" i="4"/>
  <c r="D203" i="4"/>
  <c r="G189" i="4" s="1"/>
  <c r="G202" i="4"/>
  <c r="G201" i="4"/>
  <c r="G200" i="4"/>
  <c r="G199" i="4"/>
  <c r="G197" i="4"/>
  <c r="D193" i="4"/>
  <c r="J189" i="4" s="1"/>
  <c r="D192" i="4"/>
  <c r="I189" i="4" s="1"/>
  <c r="D190" i="4"/>
  <c r="E188" i="4" s="1"/>
  <c r="G185" i="4"/>
  <c r="D185" i="4"/>
  <c r="O169" i="4" s="1"/>
  <c r="G184" i="4"/>
  <c r="D183" i="4"/>
  <c r="G169" i="4" s="1"/>
  <c r="G182" i="4"/>
  <c r="G181" i="4"/>
  <c r="G180" i="4"/>
  <c r="G179" i="4"/>
  <c r="G177" i="4"/>
  <c r="D173" i="4"/>
  <c r="J169" i="4" s="1"/>
  <c r="D172" i="4"/>
  <c r="I169" i="4" s="1"/>
  <c r="D170" i="4"/>
  <c r="G164" i="4"/>
  <c r="D164" i="4"/>
  <c r="O148" i="4" s="1"/>
  <c r="G163" i="4"/>
  <c r="D162" i="4"/>
  <c r="G148" i="4" s="1"/>
  <c r="G161" i="4"/>
  <c r="G160" i="4"/>
  <c r="G159" i="4"/>
  <c r="G158" i="4"/>
  <c r="G156" i="4"/>
  <c r="D152" i="4"/>
  <c r="D151" i="4"/>
  <c r="I148" i="4" s="1"/>
  <c r="D149" i="4"/>
  <c r="G143" i="4"/>
  <c r="D143" i="4"/>
  <c r="O127" i="4" s="1"/>
  <c r="G142" i="4"/>
  <c r="D141" i="4"/>
  <c r="G127" i="4" s="1"/>
  <c r="G140" i="4"/>
  <c r="G139" i="4"/>
  <c r="G138" i="4"/>
  <c r="G137" i="4"/>
  <c r="G135" i="4"/>
  <c r="D131" i="4"/>
  <c r="J127" i="4" s="1"/>
  <c r="D130" i="4"/>
  <c r="I127" i="4" s="1"/>
  <c r="D128" i="4"/>
  <c r="G123" i="4"/>
  <c r="D123" i="4"/>
  <c r="G122" i="4"/>
  <c r="D121" i="4"/>
  <c r="G107" i="4" s="1"/>
  <c r="G120" i="4"/>
  <c r="G119" i="4"/>
  <c r="G118" i="4"/>
  <c r="G117" i="4"/>
  <c r="G115" i="4"/>
  <c r="D111" i="4"/>
  <c r="D110" i="4"/>
  <c r="I107" i="4" s="1"/>
  <c r="D108" i="4"/>
  <c r="G102" i="4"/>
  <c r="D102" i="4"/>
  <c r="O86" i="4" s="1"/>
  <c r="G101" i="4"/>
  <c r="D100" i="4"/>
  <c r="G86" i="4" s="1"/>
  <c r="G99" i="4"/>
  <c r="G98" i="4"/>
  <c r="G97" i="4"/>
  <c r="G96" i="4"/>
  <c r="G94" i="4"/>
  <c r="D90" i="4"/>
  <c r="J86" i="4" s="1"/>
  <c r="D89" i="4"/>
  <c r="I86" i="4" s="1"/>
  <c r="D87" i="4"/>
  <c r="M86" i="4" s="1"/>
  <c r="G81" i="4"/>
  <c r="D81" i="4"/>
  <c r="O65" i="4" s="1"/>
  <c r="G80" i="4"/>
  <c r="D79" i="4"/>
  <c r="G65" i="4" s="1"/>
  <c r="G78" i="4"/>
  <c r="G77" i="4"/>
  <c r="G76" i="4"/>
  <c r="G75" i="4"/>
  <c r="G73" i="4"/>
  <c r="D69" i="4"/>
  <c r="J65" i="4" s="1"/>
  <c r="D68" i="4"/>
  <c r="I65" i="4" s="1"/>
  <c r="D66" i="4"/>
  <c r="M65" i="4" s="1"/>
  <c r="G61" i="4"/>
  <c r="D61" i="4"/>
  <c r="O45" i="4" s="1"/>
  <c r="G60" i="4"/>
  <c r="D59" i="4"/>
  <c r="G45" i="4" s="1"/>
  <c r="G58" i="4"/>
  <c r="G57" i="4"/>
  <c r="G56" i="4"/>
  <c r="G55" i="4"/>
  <c r="G53" i="4"/>
  <c r="D49" i="4"/>
  <c r="J45" i="4" s="1"/>
  <c r="D48" i="4"/>
  <c r="D46" i="4"/>
  <c r="G40" i="4"/>
  <c r="D40" i="4"/>
  <c r="O24" i="4" s="1"/>
  <c r="G39" i="4"/>
  <c r="D38" i="4"/>
  <c r="G24" i="4" s="1"/>
  <c r="G37" i="4"/>
  <c r="G36" i="4"/>
  <c r="G35" i="4"/>
  <c r="G34" i="4"/>
  <c r="G32" i="4"/>
  <c r="D28" i="4"/>
  <c r="J24" i="4" s="1"/>
  <c r="D27" i="4"/>
  <c r="I24" i="4" s="1"/>
  <c r="D25" i="4"/>
  <c r="M24" i="4" s="1"/>
  <c r="G19" i="4"/>
  <c r="D19" i="4"/>
  <c r="O3" i="4" s="1"/>
  <c r="G18" i="4"/>
  <c r="D17" i="4"/>
  <c r="G3" i="4" s="1"/>
  <c r="G16" i="4"/>
  <c r="G15" i="4"/>
  <c r="G14" i="4"/>
  <c r="G13" i="4"/>
  <c r="G11" i="4"/>
  <c r="D9" i="4"/>
  <c r="D30" i="4" s="1"/>
  <c r="G31" i="4" s="1"/>
  <c r="D7" i="4"/>
  <c r="J3" i="4" s="1"/>
  <c r="D6" i="4"/>
  <c r="I3" i="4" s="1"/>
  <c r="D4" i="4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J231" i="4"/>
  <c r="D216" i="4"/>
  <c r="G217" i="4" s="1"/>
  <c r="D195" i="4"/>
  <c r="G196" i="4" s="1"/>
  <c r="O189" i="4"/>
  <c r="D175" i="4"/>
  <c r="E168" i="4" s="1"/>
  <c r="M169" i="4"/>
  <c r="M148" i="4"/>
  <c r="J148" i="4"/>
  <c r="M127" i="4"/>
  <c r="O107" i="4"/>
  <c r="M107" i="4"/>
  <c r="J107" i="4"/>
  <c r="D51" i="4"/>
  <c r="E44" i="4" s="1"/>
  <c r="M45" i="4"/>
  <c r="I45" i="4"/>
  <c r="M3" i="4"/>
  <c r="F14" i="3"/>
  <c r="F13" i="3"/>
  <c r="F12" i="3"/>
  <c r="F11" i="3"/>
  <c r="F10" i="3"/>
  <c r="F9" i="3"/>
  <c r="F8" i="3"/>
  <c r="F7" i="3"/>
  <c r="F6" i="3"/>
  <c r="F5" i="3"/>
  <c r="G4" i="3"/>
  <c r="G5" i="3" s="1"/>
  <c r="G6" i="3" s="1"/>
  <c r="G7" i="3" s="1"/>
  <c r="G8" i="3" s="1"/>
  <c r="G9" i="3" s="1"/>
  <c r="G10" i="3" s="1"/>
  <c r="G11" i="3" s="1"/>
  <c r="G12" i="3" s="1"/>
  <c r="G13" i="3" s="1"/>
  <c r="F4" i="3"/>
  <c r="F3" i="3"/>
  <c r="F9" i="1"/>
  <c r="F10" i="1" s="1"/>
  <c r="F11" i="1" s="1"/>
  <c r="F12" i="1" s="1"/>
  <c r="F13" i="1" s="1"/>
  <c r="F14" i="1" s="1"/>
  <c r="F15" i="1" s="1"/>
  <c r="F16" i="1" s="1"/>
  <c r="F17" i="1" s="1"/>
  <c r="M189" i="4" l="1"/>
  <c r="D71" i="4"/>
  <c r="D92" i="4"/>
  <c r="G93" i="4" s="1"/>
  <c r="G52" i="4"/>
  <c r="G176" i="4"/>
  <c r="D113" i="4"/>
  <c r="D238" i="4"/>
  <c r="D133" i="4"/>
  <c r="E2" i="4"/>
  <c r="G10" i="4"/>
  <c r="D154" i="4"/>
  <c r="G155" i="4" s="1"/>
  <c r="F109" i="4"/>
  <c r="F26" i="4"/>
  <c r="F171" i="4"/>
  <c r="F212" i="4"/>
  <c r="F191" i="4"/>
  <c r="F150" i="4"/>
  <c r="F129" i="4"/>
  <c r="F88" i="4"/>
  <c r="F67" i="4"/>
  <c r="F47" i="4"/>
  <c r="F5" i="4"/>
  <c r="F42" i="1"/>
  <c r="F85" i="1"/>
  <c r="F86" i="1" s="1"/>
  <c r="F87" i="1" s="1"/>
  <c r="F88" i="1" s="1"/>
  <c r="F89" i="1" s="1"/>
  <c r="F55" i="1"/>
  <c r="F56" i="1" s="1"/>
  <c r="F57" i="1" s="1"/>
  <c r="F58" i="1" s="1"/>
  <c r="F59" i="1" s="1"/>
  <c r="F18" i="1"/>
  <c r="E23" i="4"/>
  <c r="E85" i="4"/>
  <c r="E209" i="4"/>
  <c r="G72" i="4" l="1"/>
  <c r="E64" i="4"/>
  <c r="G134" i="4"/>
  <c r="E126" i="4"/>
  <c r="E230" i="4"/>
  <c r="G239" i="4"/>
  <c r="E147" i="4"/>
  <c r="E106" i="4"/>
  <c r="G114" i="4"/>
  <c r="F60" i="1"/>
  <c r="F61" i="1" s="1"/>
  <c r="F62" i="1" s="1"/>
  <c r="F63" i="1" s="1"/>
  <c r="F64" i="1" s="1"/>
  <c r="F65" i="1" s="1"/>
  <c r="F66" i="1" s="1"/>
  <c r="F67" i="1" s="1"/>
</calcChain>
</file>

<file path=xl/sharedStrings.xml><?xml version="1.0" encoding="utf-8"?>
<sst xmlns="http://schemas.openxmlformats.org/spreadsheetml/2006/main" count="335" uniqueCount="108">
  <si>
    <t>tutar</t>
  </si>
  <si>
    <t>bakiye</t>
  </si>
  <si>
    <t>Nakit  3000 TL ödendi</t>
  </si>
  <si>
    <t>Nakit  3000 TL</t>
  </si>
  <si>
    <t>Nakit  6500 TL</t>
  </si>
  <si>
    <t>Alacaklı Adı Soyadı / Unvanı</t>
  </si>
  <si>
    <t>HACI MURAT BALCI</t>
  </si>
  <si>
    <t>İl</t>
  </si>
  <si>
    <t>TOKAT</t>
  </si>
  <si>
    <t>BORÇLU</t>
  </si>
  <si>
    <t>Kişilik</t>
  </si>
  <si>
    <t>Adı Soyadı / Unvanı</t>
  </si>
  <si>
    <t>Adresi</t>
  </si>
  <si>
    <t>Hızarhane Cad. No:5 TOKAT</t>
  </si>
  <si>
    <t>Vergi Dairesi</t>
  </si>
  <si>
    <t>Tokat</t>
  </si>
  <si>
    <t>Vergi No/TC Kimlik No</t>
  </si>
  <si>
    <t>341 3267 6260</t>
  </si>
  <si>
    <t>KEFİL</t>
  </si>
  <si>
    <t>Adem Duman</t>
  </si>
  <si>
    <t>Esentepe Mah. Şehit Ulaşar Cad. Belde Sitesi B Blk. K1: D:3 TOKAT</t>
  </si>
  <si>
    <t>Senet No</t>
  </si>
  <si>
    <t>Düzenleme Tarihi</t>
  </si>
  <si>
    <t>Vade Tarihi</t>
  </si>
  <si>
    <t>Tutarı Rakamla</t>
  </si>
  <si>
    <t>Tutarı Yazıyla</t>
  </si>
  <si>
    <t>Borcun Nedeni</t>
  </si>
  <si>
    <t>Senet  Mühteviyatı</t>
  </si>
  <si>
    <t>NAKDEN</t>
  </si>
  <si>
    <t>1. Taksit</t>
  </si>
  <si>
    <t>2. Taksit</t>
  </si>
  <si>
    <t>3. Taksit</t>
  </si>
  <si>
    <t>4. Taksit</t>
  </si>
  <si>
    <t>5. Taksit</t>
  </si>
  <si>
    <t>6. Taksit</t>
  </si>
  <si>
    <t>7. Taksit</t>
  </si>
  <si>
    <t>8. Taksit</t>
  </si>
  <si>
    <t>9. Taksit</t>
  </si>
  <si>
    <t>10. Taksit</t>
  </si>
  <si>
    <t>11. Taksit</t>
  </si>
  <si>
    <t>Senedin</t>
  </si>
  <si>
    <t>Ödeme Günü</t>
  </si>
  <si>
    <t>Türk Lirası</t>
  </si>
  <si>
    <t>Kuruş</t>
  </si>
  <si>
    <t>No</t>
  </si>
  <si>
    <t>No:</t>
  </si>
  <si>
    <t>Tutarı</t>
  </si>
  <si>
    <t>Borçlu:</t>
  </si>
  <si>
    <t>ÖDEYECEK</t>
  </si>
  <si>
    <t>İmza</t>
  </si>
  <si>
    <t>Vade</t>
  </si>
  <si>
    <t>Tarih</t>
  </si>
  <si>
    <t>ADEM DUMAN  - 2022-2023 Kira ödemesi</t>
  </si>
  <si>
    <t>Ödeme Tablosu</t>
  </si>
  <si>
    <t>31.09.2021</t>
  </si>
  <si>
    <t>Senet 3000 TL</t>
  </si>
  <si>
    <t>Yapılan Ödemeler</t>
  </si>
  <si>
    <t>Toplam Ödeme</t>
  </si>
  <si>
    <t>Ödenecek</t>
  </si>
  <si>
    <t>Ödenen</t>
  </si>
  <si>
    <t>ödendi</t>
  </si>
  <si>
    <t>2022 sonu</t>
  </si>
  <si>
    <t>2023 kirası</t>
  </si>
  <si>
    <t>AÜ</t>
  </si>
  <si>
    <t>Nakit  15000 TL</t>
  </si>
  <si>
    <t>28-02-2021 27-02-2022 DÖNEMİ</t>
  </si>
  <si>
    <t>28-02-2022 27-02-2023 DÖNEMİ</t>
  </si>
  <si>
    <t>28-02-2023 27-02-2024 DÖNEMİ</t>
  </si>
  <si>
    <t>28-02-2024 27-02-2025 DÖNEMİ</t>
  </si>
  <si>
    <t>Ödeme</t>
  </si>
  <si>
    <t>AÜ TL-Adet</t>
  </si>
  <si>
    <t>Dönem Sonu Kalan BAKİYE</t>
  </si>
  <si>
    <t>Nakit  2000 TL</t>
  </si>
  <si>
    <t>2021-22 Tutarı       24000 TL</t>
  </si>
  <si>
    <t>HESAP ÖZETİ</t>
  </si>
  <si>
    <t>DÖNEM 1 Hesabı</t>
  </si>
  <si>
    <t>DÖNEM 2 Hesabı</t>
  </si>
  <si>
    <t>DÖNEM 1 Hesabı             24000</t>
  </si>
  <si>
    <t>DÖNEM 1 Ek Hesabı        13056</t>
  </si>
  <si>
    <t>DÖNEM 3 Hesabı</t>
  </si>
  <si>
    <t>DÖNEM 2 Hesabı             36000</t>
  </si>
  <si>
    <t>DÖNEM 2 Ek Hesabı        26280</t>
  </si>
  <si>
    <t>DÖNEM 2 Ek Hesabı        69000</t>
  </si>
  <si>
    <t>DÖNEM 2 Hesabı             60000</t>
  </si>
  <si>
    <t>ADEM DUMAN - 2021-2025</t>
  </si>
  <si>
    <t xml:space="preserve">Nakit  5000 TL                 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</si>
  <si>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</si>
  <si>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</si>
  <si>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</si>
  <si>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</si>
  <si>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</si>
  <si>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</si>
  <si>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</si>
  <si>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</si>
  <si>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</si>
  <si>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</si>
  <si>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</si>
  <si>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</si>
  <si>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</si>
  <si>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</si>
  <si>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DÖNEM 1 Aylık Tutar</t>
  </si>
  <si>
    <t>DÖNEM 2  Aylık Tutar</t>
  </si>
  <si>
    <t>DÖNEM 3 Aylık Tutar</t>
  </si>
  <si>
    <t>DÖNEM 4 Aylık Tutar</t>
  </si>
  <si>
    <t>Ödeme Vadesi</t>
  </si>
  <si>
    <t>Gerçek Kişi</t>
  </si>
  <si>
    <t>nakden</t>
  </si>
  <si>
    <r>
      <t xml:space="preserve">bankadan  15000 TL              </t>
    </r>
    <r>
      <rPr>
        <b/>
        <sz val="11"/>
        <color rgb="FFFF0000"/>
        <rFont val="Calibri"/>
        <family val="2"/>
        <charset val="162"/>
      </rPr>
      <t>08-07-2024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</si>
</sst>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.&quot;mm&quot;.&quot;yyyy"/>
    <numFmt numFmtId="165" formatCode="#,##0&quot; &quot;;&quot;-&quot;#,##0&quot; &quot;"/>
    <numFmt numFmtId="166" formatCode="&quot; &quot;* #,##0.00&quot;    &quot;;&quot;-&quot;* #,##0.00&quot;    &quot;;&quot; &quot;* &quot;-&quot;#&quot;    &quot;;&quot; &quot;@&quot; &quot;"/>
    <numFmt numFmtId="167" formatCode="&quot; &quot;* #,##0.00&quot; ₺ &quot;;&quot;-&quot;* #,##0.00&quot; ₺ &quot;;&quot; &quot;* &quot;-&quot;#&quot; ₺ &quot;;&quot; &quot;@&quot; &quot;"/>
  </numFmts>
  <fonts count="29" x14ac:knownFonts="1"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FFFFFF"/>
      <name val="Calibri"/>
      <family val="2"/>
      <charset val="162"/>
    </font>
    <font>
      <sz val="10"/>
      <color rgb="FFCC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i/>
      <sz val="10"/>
      <color rgb="FF808080"/>
      <name val="Calibri"/>
      <family val="2"/>
      <charset val="162"/>
    </font>
    <font>
      <sz val="10"/>
      <color rgb="FF006600"/>
      <name val="Calibri"/>
      <family val="2"/>
      <charset val="162"/>
    </font>
    <font>
      <b/>
      <sz val="24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rgb="FF0000EE"/>
      <name val="Calibri"/>
      <family val="2"/>
      <charset val="162"/>
    </font>
    <font>
      <sz val="10"/>
      <color rgb="FF996600"/>
      <name val="Calibri"/>
      <family val="2"/>
      <charset val="162"/>
    </font>
    <font>
      <sz val="10"/>
      <color rgb="FF333333"/>
      <name val="Calibri"/>
      <family val="2"/>
      <charset val="162"/>
    </font>
    <font>
      <b/>
      <i/>
      <u/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u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b/>
      <sz val="18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b/>
      <u val="double"/>
      <sz val="18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sz val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6" fontId="1" fillId="0" borderId="0"/>
    <xf numFmtId="167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90">
    <xf numFmtId="0" fontId="0" fillId="0" borderId="0" xfId="0"/>
    <xf numFmtId="4" fontId="0" fillId="0" borderId="0" xfId="0" applyNumberForma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4" fontId="15" fillId="0" borderId="0" xfId="0" applyNumberFormat="1" applyFont="1" applyAlignment="1">
      <alignment horizontal="right"/>
    </xf>
    <xf numFmtId="164" fontId="0" fillId="0" borderId="0" xfId="0" applyNumberFormat="1"/>
    <xf numFmtId="0" fontId="17" fillId="0" borderId="2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17" fillId="0" borderId="0" xfId="0" applyFont="1" applyBorder="1" applyAlignment="1" applyProtection="1">
      <alignment vertical="center"/>
      <protection hidden="1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0" xfId="0" applyFont="1" applyAlignment="1">
      <alignment horizontal="justify"/>
    </xf>
    <xf numFmtId="0" fontId="18" fillId="0" borderId="0" xfId="0" applyFont="1"/>
    <xf numFmtId="0" fontId="15" fillId="0" borderId="0" xfId="0" applyFont="1" applyBorder="1" applyAlignment="1" applyProtection="1">
      <alignment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7" fillId="0" borderId="0" xfId="0" applyFont="1" applyBorder="1" applyAlignment="1" applyProtection="1">
      <alignment horizontal="right" vertical="center"/>
      <protection hidden="1"/>
    </xf>
    <xf numFmtId="164" fontId="18" fillId="0" borderId="0" xfId="0" applyNumberFormat="1" applyFont="1" applyBorder="1" applyAlignment="1" applyProtection="1">
      <alignment horizontal="center" vertical="center"/>
      <protection locked="0"/>
    </xf>
    <xf numFmtId="4" fontId="18" fillId="0" borderId="0" xfId="8" applyNumberFormat="1" applyFont="1" applyBorder="1" applyAlignment="1" applyProtection="1">
      <alignment horizontal="right" vertical="center"/>
      <protection locked="0"/>
    </xf>
    <xf numFmtId="0" fontId="18" fillId="0" borderId="0" xfId="0" applyFont="1" applyBorder="1" applyAlignment="1" applyProtection="1">
      <alignment horizontal="right" vertical="center"/>
      <protection hidden="1"/>
    </xf>
    <xf numFmtId="4" fontId="18" fillId="0" borderId="0" xfId="0" applyNumberFormat="1" applyFont="1" applyBorder="1" applyAlignment="1" applyProtection="1">
      <alignment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Border="1" applyProtection="1">
      <protection hidden="1"/>
    </xf>
    <xf numFmtId="0" fontId="9" fillId="0" borderId="3" xfId="0" applyFont="1" applyBorder="1" applyProtection="1">
      <protection hidden="1"/>
    </xf>
    <xf numFmtId="0" fontId="9" fillId="0" borderId="4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21" fillId="0" borderId="0" xfId="0" applyFont="1" applyBorder="1" applyAlignment="1" applyProtection="1">
      <alignment horizontal="center" vertical="center"/>
      <protection hidden="1"/>
    </xf>
    <xf numFmtId="0" fontId="9" fillId="0" borderId="0" xfId="0" applyFont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Protection="1">
      <protection hidden="1"/>
    </xf>
    <xf numFmtId="0" fontId="9" fillId="0" borderId="0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center"/>
    </xf>
    <xf numFmtId="164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Protection="1">
      <protection hidden="1"/>
    </xf>
    <xf numFmtId="165" fontId="19" fillId="0" borderId="0" xfId="7" applyNumberFormat="1" applyFont="1" applyBorder="1" applyAlignment="1" applyProtection="1">
      <alignment horizontal="center" vertical="center"/>
      <protection hidden="1"/>
    </xf>
    <xf numFmtId="1" fontId="19" fillId="0" borderId="0" xfId="0" applyNumberFormat="1" applyFont="1" applyBorder="1" applyAlignment="1" applyProtection="1">
      <alignment horizontal="center"/>
      <protection hidden="1"/>
    </xf>
    <xf numFmtId="0" fontId="19" fillId="0" borderId="0" xfId="0" applyFont="1" applyBorder="1" applyAlignment="1" applyProtection="1">
      <alignment horizontal="center"/>
      <protection hidden="1"/>
    </xf>
    <xf numFmtId="164" fontId="9" fillId="0" borderId="0" xfId="0" applyNumberFormat="1" applyFont="1" applyBorder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165" fontId="9" fillId="0" borderId="10" xfId="7" applyNumberFormat="1" applyFont="1" applyBorder="1" applyAlignment="1" applyProtection="1">
      <alignment horizontal="center"/>
      <protection hidden="1"/>
    </xf>
    <xf numFmtId="0" fontId="9" fillId="0" borderId="6" xfId="0" applyFont="1" applyBorder="1"/>
    <xf numFmtId="0" fontId="9" fillId="0" borderId="6" xfId="0" applyFont="1" applyBorder="1" applyAlignment="1" applyProtection="1">
      <alignment horizontal="left" vertical="top"/>
      <protection hidden="1"/>
    </xf>
    <xf numFmtId="0" fontId="9" fillId="0" borderId="0" xfId="0" applyFont="1" applyBorder="1" applyAlignment="1" applyProtection="1">
      <alignment horizontal="left" vertical="top"/>
      <protection hidden="1"/>
    </xf>
    <xf numFmtId="0" fontId="9" fillId="0" borderId="12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9" fillId="0" borderId="4" xfId="0" applyFont="1" applyBorder="1"/>
    <xf numFmtId="164" fontId="9" fillId="0" borderId="9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Protection="1">
      <protection hidden="1"/>
    </xf>
    <xf numFmtId="164" fontId="0" fillId="0" borderId="12" xfId="0" applyNumberFormat="1" applyBorder="1"/>
    <xf numFmtId="0" fontId="0" fillId="0" borderId="12" xfId="0" applyBorder="1"/>
    <xf numFmtId="164" fontId="2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right"/>
    </xf>
    <xf numFmtId="4" fontId="24" fillId="9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24" fillId="0" borderId="0" xfId="0" applyFont="1"/>
    <xf numFmtId="49" fontId="25" fillId="0" borderId="0" xfId="0" applyNumberFormat="1" applyFont="1"/>
    <xf numFmtId="0" fontId="26" fillId="0" borderId="0" xfId="0" applyFont="1"/>
    <xf numFmtId="0" fontId="27" fillId="0" borderId="0" xfId="0" applyFont="1"/>
    <xf numFmtId="0" fontId="19" fillId="0" borderId="10" xfId="0" applyFont="1" applyBorder="1" applyAlignment="1" applyProtection="1">
      <alignment horizontal="center"/>
      <protection hidden="1"/>
    </xf>
    <xf numFmtId="0" fontId="0" fillId="0" borderId="2" xfId="0" applyFill="1" applyBorder="1"/>
    <xf numFmtId="0" fontId="15" fillId="0" borderId="2" xfId="0" applyFont="1" applyFill="1" applyBorder="1" applyAlignment="1" applyProtection="1">
      <alignment horizontal="center" vertical="center" textRotation="90"/>
      <protection hidden="1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 vertical="center" textRotation="90"/>
      <protection hidden="1"/>
    </xf>
    <xf numFmtId="4" fontId="9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11" xfId="0" applyFont="1" applyFill="1" applyBorder="1" applyAlignment="1" applyProtection="1">
      <alignment horizontal="center" vertical="center" textRotation="90"/>
      <protection hidden="1"/>
    </xf>
    <xf numFmtId="0" fontId="19" fillId="0" borderId="4" xfId="0" applyFont="1" applyFill="1" applyBorder="1" applyAlignment="1" applyProtection="1">
      <alignment horizontal="left" readingOrder="1"/>
      <protection hidden="1"/>
    </xf>
    <xf numFmtId="0" fontId="0" fillId="0" borderId="4" xfId="0" applyFill="1" applyBorder="1"/>
    <xf numFmtId="0" fontId="9" fillId="0" borderId="0" xfId="0" applyFont="1" applyFill="1" applyBorder="1" applyAlignment="1" applyProtection="1">
      <alignment horizontal="left" vertical="top" wrapText="1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0" fontId="9" fillId="0" borderId="12" xfId="0" applyFont="1" applyFill="1" applyBorder="1" applyAlignment="1" applyProtection="1">
      <alignment horizontal="left"/>
      <protection hidden="1"/>
    </xf>
    <xf numFmtId="0" fontId="9" fillId="0" borderId="0" xfId="0" applyFont="1" applyFill="1" applyBorder="1" applyAlignment="1" applyProtection="1">
      <alignment horizontal="justify" vertical="top" wrapText="1"/>
      <protection hidden="1"/>
    </xf>
    <xf numFmtId="0" fontId="0" fillId="0" borderId="0" xfId="0" applyAlignment="1">
      <alignment horizontal="justify" vertical="top" wrapText="1"/>
    </xf>
    <xf numFmtId="0" fontId="19" fillId="0" borderId="4" xfId="0" applyFont="1" applyFill="1" applyBorder="1" applyAlignment="1" applyProtection="1">
      <alignment horizontal="left"/>
      <protection hidden="1"/>
    </xf>
    <xf numFmtId="0" fontId="20" fillId="0" borderId="0" xfId="0" applyFont="1" applyFill="1" applyBorder="1" applyAlignment="1" applyProtection="1">
      <alignment horizontal="center" vertical="center" textRotation="90" wrapText="1"/>
      <protection hidden="1"/>
    </xf>
  </cellXfs>
  <cellStyles count="21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Comma" xfId="7" xr:uid="{00000000-0005-0000-0000-000006000000}"/>
    <cellStyle name="Excel Built-in Currency" xfId="8" xr:uid="{00000000-0005-0000-0000-000007000000}"/>
    <cellStyle name="Footnote" xfId="9" xr:uid="{00000000-0005-0000-0000-000008000000}"/>
    <cellStyle name="Good" xfId="10" xr:uid="{00000000-0005-0000-0000-000009000000}"/>
    <cellStyle name="Heading" xfId="11" xr:uid="{00000000-0005-0000-0000-00000A000000}"/>
    <cellStyle name="Heading 1" xfId="12" xr:uid="{00000000-0005-0000-0000-00000B000000}"/>
    <cellStyle name="Heading 2" xfId="13" xr:uid="{00000000-0005-0000-0000-00000C000000}"/>
    <cellStyle name="Hyperlink" xfId="14" xr:uid="{00000000-0005-0000-0000-00000D000000}"/>
    <cellStyle name="Neutral" xfId="15" xr:uid="{00000000-0005-0000-0000-00000E000000}"/>
    <cellStyle name="Normal" xfId="0" builtinId="0" customBuiltin="1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9"/>
  <sheetViews>
    <sheetView tabSelected="1" topLeftCell="A76" zoomScale="160" zoomScaleNormal="160" workbookViewId="0">
      <selection activeCell="E75" sqref="E75"/>
    </sheetView>
  </sheetViews>
  <sheetFormatPr defaultRowHeight="15" x14ac:dyDescent="0.25"/>
  <cols>
    <col min="1" max="1" width="6.42578125" customWidth="1"/>
    <col min="2" max="2" width="11.7109375" customWidth="1"/>
    <col min="3" max="3" width="29.42578125" customWidth="1"/>
    <col min="4" max="4" width="4.7109375" customWidth="1"/>
    <col min="5" max="5" width="13.7109375" customWidth="1"/>
    <col min="6" max="6" width="11.140625" style="1" customWidth="1"/>
    <col min="7" max="64" width="15.42578125" customWidth="1"/>
  </cols>
  <sheetData>
    <row r="2" spans="1:6" x14ac:dyDescent="0.25">
      <c r="B2" s="2" t="s">
        <v>84</v>
      </c>
    </row>
    <row r="3" spans="1:6" x14ac:dyDescent="0.25">
      <c r="C3" t="s">
        <v>74</v>
      </c>
    </row>
    <row r="5" spans="1:6" ht="21" x14ac:dyDescent="0.35">
      <c r="B5" s="3" t="s">
        <v>100</v>
      </c>
      <c r="F5" s="73">
        <f>E9/12</f>
        <v>2000</v>
      </c>
    </row>
    <row r="6" spans="1:6" x14ac:dyDescent="0.25">
      <c r="C6" s="66" t="s">
        <v>70</v>
      </c>
      <c r="D6" s="66"/>
      <c r="E6" s="67">
        <v>2324</v>
      </c>
      <c r="F6" s="68">
        <f>E9/E6</f>
        <v>10.327022375215146</v>
      </c>
    </row>
    <row r="7" spans="1:6" x14ac:dyDescent="0.25">
      <c r="C7" s="2" t="s">
        <v>65</v>
      </c>
      <c r="E7" s="4"/>
      <c r="F7" s="5"/>
    </row>
    <row r="8" spans="1:6" x14ac:dyDescent="0.25">
      <c r="E8" s="4" t="s">
        <v>0</v>
      </c>
      <c r="F8" s="5" t="s">
        <v>1</v>
      </c>
    </row>
    <row r="9" spans="1:6" x14ac:dyDescent="0.25">
      <c r="B9" s="65"/>
      <c r="C9" t="s">
        <v>75</v>
      </c>
      <c r="E9" s="1">
        <v>24000</v>
      </c>
      <c r="F9" s="1">
        <f>E9</f>
        <v>24000</v>
      </c>
    </row>
    <row r="10" spans="1:6" x14ac:dyDescent="0.25">
      <c r="B10" s="6">
        <v>44250</v>
      </c>
      <c r="C10" t="s">
        <v>69</v>
      </c>
      <c r="E10" s="1">
        <v>-2000</v>
      </c>
      <c r="F10" s="1">
        <f t="shared" ref="F10:F17" si="0">F9+E10</f>
        <v>22000</v>
      </c>
    </row>
    <row r="11" spans="1:6" x14ac:dyDescent="0.25">
      <c r="A11">
        <v>1</v>
      </c>
      <c r="B11" s="6">
        <v>44285</v>
      </c>
      <c r="C11" t="s">
        <v>69</v>
      </c>
      <c r="E11" s="1">
        <v>-2000</v>
      </c>
      <c r="F11" s="1">
        <f t="shared" si="0"/>
        <v>20000</v>
      </c>
    </row>
    <row r="12" spans="1:6" x14ac:dyDescent="0.25">
      <c r="A12">
        <v>2</v>
      </c>
      <c r="B12" s="6">
        <v>44316</v>
      </c>
      <c r="C12" t="s">
        <v>69</v>
      </c>
      <c r="E12" s="1">
        <v>-2000</v>
      </c>
      <c r="F12" s="1">
        <f t="shared" si="0"/>
        <v>18000</v>
      </c>
    </row>
    <row r="13" spans="1:6" x14ac:dyDescent="0.25">
      <c r="A13">
        <v>3</v>
      </c>
      <c r="B13" s="6">
        <v>44346</v>
      </c>
      <c r="C13" t="s">
        <v>69</v>
      </c>
      <c r="E13" s="1">
        <v>-1000</v>
      </c>
      <c r="F13" s="1">
        <f t="shared" si="0"/>
        <v>17000</v>
      </c>
    </row>
    <row r="14" spans="1:6" x14ac:dyDescent="0.25">
      <c r="A14">
        <v>4</v>
      </c>
      <c r="B14" s="6">
        <v>44377</v>
      </c>
      <c r="C14" t="s">
        <v>69</v>
      </c>
      <c r="E14" s="1">
        <v>-3000</v>
      </c>
      <c r="F14" s="1">
        <f t="shared" si="0"/>
        <v>14000</v>
      </c>
    </row>
    <row r="15" spans="1:6" x14ac:dyDescent="0.25">
      <c r="A15">
        <v>5</v>
      </c>
      <c r="B15" s="6">
        <v>44407</v>
      </c>
      <c r="C15" t="s">
        <v>69</v>
      </c>
      <c r="E15" s="1">
        <v>-4000</v>
      </c>
      <c r="F15" s="1">
        <f t="shared" si="0"/>
        <v>10000</v>
      </c>
    </row>
    <row r="16" spans="1:6" x14ac:dyDescent="0.25">
      <c r="A16">
        <v>6</v>
      </c>
      <c r="B16" s="6">
        <v>44788</v>
      </c>
      <c r="C16" t="s">
        <v>69</v>
      </c>
      <c r="E16" s="1">
        <v>-10000</v>
      </c>
      <c r="F16" s="1">
        <f t="shared" si="0"/>
        <v>0</v>
      </c>
    </row>
    <row r="17" spans="1:6" x14ac:dyDescent="0.25">
      <c r="B17" s="6"/>
      <c r="C17" s="2" t="s">
        <v>73</v>
      </c>
      <c r="E17" s="1"/>
      <c r="F17" s="1">
        <f t="shared" si="0"/>
        <v>0</v>
      </c>
    </row>
    <row r="18" spans="1:6" x14ac:dyDescent="0.25">
      <c r="B18" s="6"/>
      <c r="D18" s="69"/>
      <c r="E18" s="69" t="s">
        <v>71</v>
      </c>
      <c r="F18" s="1">
        <f>F17</f>
        <v>0</v>
      </c>
    </row>
    <row r="19" spans="1:6" x14ac:dyDescent="0.25">
      <c r="B19" s="6"/>
      <c r="E19" s="1"/>
    </row>
    <row r="20" spans="1:6" ht="21" x14ac:dyDescent="0.35">
      <c r="B20" s="3" t="s">
        <v>101</v>
      </c>
      <c r="E20" s="1"/>
      <c r="F20" s="73">
        <f>E26/12</f>
        <v>3088</v>
      </c>
    </row>
    <row r="21" spans="1:6" x14ac:dyDescent="0.25">
      <c r="C21" s="66" t="s">
        <v>63</v>
      </c>
      <c r="D21" s="66"/>
      <c r="E21" s="67">
        <v>2825</v>
      </c>
      <c r="F21" s="68">
        <f>E26/E21</f>
        <v>13.11716814159292</v>
      </c>
    </row>
    <row r="22" spans="1:6" x14ac:dyDescent="0.25">
      <c r="B22" s="65"/>
      <c r="C22" s="2" t="s">
        <v>66</v>
      </c>
      <c r="E22" s="1"/>
    </row>
    <row r="23" spans="1:6" x14ac:dyDescent="0.25">
      <c r="B23" s="65"/>
      <c r="E23" s="4" t="s">
        <v>0</v>
      </c>
      <c r="F23" s="5" t="s">
        <v>1</v>
      </c>
    </row>
    <row r="24" spans="1:6" x14ac:dyDescent="0.25">
      <c r="B24" s="65"/>
      <c r="C24" t="s">
        <v>77</v>
      </c>
      <c r="E24" s="4"/>
      <c r="F24" s="1">
        <f>E24</f>
        <v>0</v>
      </c>
    </row>
    <row r="25" spans="1:6" x14ac:dyDescent="0.25">
      <c r="B25" s="65"/>
      <c r="C25" t="s">
        <v>78</v>
      </c>
      <c r="E25" s="4"/>
      <c r="F25" s="1">
        <f>F24+E25</f>
        <v>0</v>
      </c>
    </row>
    <row r="26" spans="1:6" x14ac:dyDescent="0.25">
      <c r="B26" s="65"/>
      <c r="C26" t="s">
        <v>76</v>
      </c>
      <c r="E26" s="4">
        <v>37056</v>
      </c>
      <c r="F26" s="1">
        <f>F25+E26</f>
        <v>37056</v>
      </c>
    </row>
    <row r="27" spans="1:6" x14ac:dyDescent="0.25">
      <c r="A27">
        <v>1</v>
      </c>
      <c r="B27" s="6">
        <v>44438</v>
      </c>
      <c r="C27" t="s">
        <v>72</v>
      </c>
      <c r="E27" s="1">
        <v>-2000</v>
      </c>
      <c r="F27" s="1">
        <f t="shared" ref="F27:F41" si="1">F26+E27</f>
        <v>35056</v>
      </c>
    </row>
    <row r="28" spans="1:6" x14ac:dyDescent="0.25">
      <c r="A28">
        <v>2</v>
      </c>
      <c r="B28" s="6">
        <v>44469</v>
      </c>
      <c r="C28" t="s">
        <v>72</v>
      </c>
      <c r="E28" s="1">
        <v>-2000</v>
      </c>
      <c r="F28" s="1">
        <f t="shared" si="1"/>
        <v>33056</v>
      </c>
    </row>
    <row r="29" spans="1:6" x14ac:dyDescent="0.25">
      <c r="A29">
        <v>3</v>
      </c>
      <c r="B29" s="6">
        <v>44499</v>
      </c>
      <c r="C29" t="s">
        <v>72</v>
      </c>
      <c r="E29" s="1">
        <v>-2000</v>
      </c>
      <c r="F29" s="1">
        <f t="shared" si="1"/>
        <v>31056</v>
      </c>
    </row>
    <row r="30" spans="1:6" x14ac:dyDescent="0.25">
      <c r="A30">
        <v>4</v>
      </c>
      <c r="B30" s="6">
        <v>44530</v>
      </c>
      <c r="C30" t="s">
        <v>72</v>
      </c>
      <c r="E30" s="1">
        <v>-2000</v>
      </c>
      <c r="F30" s="1">
        <f t="shared" si="1"/>
        <v>29056</v>
      </c>
    </row>
    <row r="31" spans="1:6" x14ac:dyDescent="0.25">
      <c r="A31">
        <v>5</v>
      </c>
      <c r="B31" s="6">
        <v>44560</v>
      </c>
      <c r="C31" t="s">
        <v>72</v>
      </c>
      <c r="E31" s="1">
        <v>-2000</v>
      </c>
      <c r="F31" s="1">
        <f t="shared" si="1"/>
        <v>27056</v>
      </c>
    </row>
    <row r="32" spans="1:6" x14ac:dyDescent="0.25">
      <c r="A32">
        <v>6</v>
      </c>
      <c r="B32" s="6">
        <v>44591</v>
      </c>
      <c r="C32" t="s">
        <v>72</v>
      </c>
      <c r="E32" s="1">
        <v>-2000</v>
      </c>
      <c r="F32" s="1">
        <f t="shared" si="1"/>
        <v>25056</v>
      </c>
    </row>
    <row r="33" spans="1:6" x14ac:dyDescent="0.25">
      <c r="A33">
        <v>7</v>
      </c>
      <c r="B33" s="6">
        <v>44620</v>
      </c>
      <c r="C33" t="s">
        <v>2</v>
      </c>
      <c r="E33" s="1">
        <v>-3000</v>
      </c>
      <c r="F33" s="1">
        <f t="shared" si="1"/>
        <v>22056</v>
      </c>
    </row>
    <row r="34" spans="1:6" x14ac:dyDescent="0.25">
      <c r="A34">
        <v>8</v>
      </c>
      <c r="B34" s="6">
        <v>44650</v>
      </c>
      <c r="C34" t="s">
        <v>3</v>
      </c>
      <c r="E34" s="1">
        <v>-3000</v>
      </c>
      <c r="F34" s="1">
        <f t="shared" si="1"/>
        <v>19056</v>
      </c>
    </row>
    <row r="35" spans="1:6" x14ac:dyDescent="0.25">
      <c r="A35">
        <v>9</v>
      </c>
      <c r="B35" s="6">
        <v>44681</v>
      </c>
      <c r="C35" s="2" t="s">
        <v>86</v>
      </c>
      <c r="E35" s="1">
        <v>-5000</v>
      </c>
      <c r="F35" s="1">
        <f t="shared" si="1"/>
        <v>14056</v>
      </c>
    </row>
    <row r="36" spans="1:6" x14ac:dyDescent="0.25">
      <c r="A36">
        <v>10</v>
      </c>
      <c r="B36" s="6">
        <v>44711</v>
      </c>
      <c r="C36" s="2" t="s">
        <v>85</v>
      </c>
      <c r="D36" s="71"/>
      <c r="E36" s="1">
        <v>-3000</v>
      </c>
      <c r="F36" s="1">
        <f t="shared" si="1"/>
        <v>11056</v>
      </c>
    </row>
    <row r="37" spans="1:6" x14ac:dyDescent="0.25">
      <c r="A37">
        <v>11</v>
      </c>
      <c r="B37" s="6">
        <v>44742</v>
      </c>
      <c r="C37" s="2" t="s">
        <v>87</v>
      </c>
      <c r="E37" s="1">
        <v>-4000</v>
      </c>
      <c r="F37" s="1">
        <f t="shared" si="1"/>
        <v>7056</v>
      </c>
    </row>
    <row r="38" spans="1:6" x14ac:dyDescent="0.25">
      <c r="A38">
        <v>12</v>
      </c>
      <c r="B38" s="6">
        <v>44772</v>
      </c>
      <c r="C38" s="2" t="s">
        <v>88</v>
      </c>
      <c r="E38" s="1">
        <v>-3000</v>
      </c>
      <c r="F38" s="1">
        <f t="shared" si="1"/>
        <v>4056</v>
      </c>
    </row>
    <row r="39" spans="1:6" x14ac:dyDescent="0.25">
      <c r="A39">
        <v>13</v>
      </c>
      <c r="B39" s="6"/>
      <c r="C39" s="2" t="s">
        <v>89</v>
      </c>
      <c r="E39" s="1">
        <v>-2000</v>
      </c>
      <c r="F39" s="1">
        <f t="shared" si="1"/>
        <v>2056</v>
      </c>
    </row>
    <row r="40" spans="1:6" x14ac:dyDescent="0.25">
      <c r="A40">
        <v>14</v>
      </c>
      <c r="B40" s="6"/>
      <c r="C40" s="2" t="s">
        <v>90</v>
      </c>
      <c r="E40" s="1">
        <v>-1000</v>
      </c>
      <c r="F40" s="1">
        <f t="shared" si="1"/>
        <v>1056</v>
      </c>
    </row>
    <row r="41" spans="1:6" x14ac:dyDescent="0.25">
      <c r="B41" s="6"/>
      <c r="E41" s="1"/>
      <c r="F41" s="1">
        <f t="shared" si="1"/>
        <v>1056</v>
      </c>
    </row>
    <row r="42" spans="1:6" x14ac:dyDescent="0.25">
      <c r="B42" s="6"/>
      <c r="E42" s="69" t="s">
        <v>71</v>
      </c>
      <c r="F42" s="1">
        <f>F41</f>
        <v>1056</v>
      </c>
    </row>
    <row r="43" spans="1:6" x14ac:dyDescent="0.25">
      <c r="B43" s="6"/>
      <c r="E43" s="69"/>
    </row>
    <row r="44" spans="1:6" x14ac:dyDescent="0.25">
      <c r="B44" s="6"/>
      <c r="E44" s="69"/>
    </row>
    <row r="45" spans="1:6" x14ac:dyDescent="0.25">
      <c r="B45" s="6"/>
      <c r="E45" s="69"/>
    </row>
    <row r="46" spans="1:6" x14ac:dyDescent="0.25">
      <c r="B46" s="6"/>
      <c r="E46" s="69"/>
    </row>
    <row r="47" spans="1:6" ht="21" x14ac:dyDescent="0.35">
      <c r="B47" s="3" t="s">
        <v>102</v>
      </c>
      <c r="E47" s="69"/>
      <c r="F47" s="73">
        <f>E53/12</f>
        <v>5190</v>
      </c>
    </row>
    <row r="48" spans="1:6" x14ac:dyDescent="0.25">
      <c r="C48" s="66" t="s">
        <v>63</v>
      </c>
      <c r="D48" s="66"/>
      <c r="E48" s="67">
        <v>4253</v>
      </c>
      <c r="F48" s="68">
        <f>E53/E48</f>
        <v>14.643780860569009</v>
      </c>
    </row>
    <row r="49" spans="1:6" x14ac:dyDescent="0.25">
      <c r="C49" s="2" t="s">
        <v>67</v>
      </c>
    </row>
    <row r="50" spans="1:6" x14ac:dyDescent="0.25">
      <c r="E50" s="4" t="s">
        <v>0</v>
      </c>
      <c r="F50" s="5" t="s">
        <v>1</v>
      </c>
    </row>
    <row r="51" spans="1:6" x14ac:dyDescent="0.25">
      <c r="C51" t="s">
        <v>80</v>
      </c>
      <c r="E51" s="4"/>
      <c r="F51" s="1">
        <f>E51</f>
        <v>0</v>
      </c>
    </row>
    <row r="52" spans="1:6" x14ac:dyDescent="0.25">
      <c r="C52" t="s">
        <v>81</v>
      </c>
      <c r="E52" s="4"/>
      <c r="F52" s="1">
        <f>F51+E52</f>
        <v>0</v>
      </c>
    </row>
    <row r="53" spans="1:6" x14ac:dyDescent="0.25">
      <c r="C53" s="2" t="s">
        <v>79</v>
      </c>
      <c r="E53" s="4">
        <v>62280</v>
      </c>
      <c r="F53" s="1">
        <f>F52+E53</f>
        <v>62280</v>
      </c>
    </row>
    <row r="54" spans="1:6" x14ac:dyDescent="0.25">
      <c r="A54">
        <v>1</v>
      </c>
      <c r="B54" s="6">
        <v>44803</v>
      </c>
      <c r="C54" t="s">
        <v>3</v>
      </c>
      <c r="E54">
        <v>-3000</v>
      </c>
      <c r="F54" s="1">
        <f>F53+E54</f>
        <v>59280</v>
      </c>
    </row>
    <row r="55" spans="1:6" x14ac:dyDescent="0.25">
      <c r="A55">
        <v>2</v>
      </c>
      <c r="B55" s="6">
        <v>44834</v>
      </c>
      <c r="C55" t="s">
        <v>91</v>
      </c>
      <c r="E55">
        <v>-3000</v>
      </c>
      <c r="F55" s="1">
        <f t="shared" ref="F55:F66" si="2">F54+E55</f>
        <v>56280</v>
      </c>
    </row>
    <row r="56" spans="1:6" x14ac:dyDescent="0.25">
      <c r="A56">
        <v>3</v>
      </c>
      <c r="B56" s="6">
        <v>44864</v>
      </c>
      <c r="C56" t="s">
        <v>3</v>
      </c>
      <c r="E56">
        <v>-3000</v>
      </c>
      <c r="F56" s="1">
        <f t="shared" si="2"/>
        <v>53280</v>
      </c>
    </row>
    <row r="57" spans="1:6" x14ac:dyDescent="0.25">
      <c r="A57">
        <v>4</v>
      </c>
      <c r="B57" s="6">
        <v>44895</v>
      </c>
      <c r="C57" t="s">
        <v>92</v>
      </c>
      <c r="E57">
        <v>-3000</v>
      </c>
      <c r="F57" s="1">
        <f t="shared" si="2"/>
        <v>50280</v>
      </c>
    </row>
    <row r="58" spans="1:6" x14ac:dyDescent="0.25">
      <c r="A58">
        <v>5</v>
      </c>
      <c r="B58" s="6">
        <v>44925</v>
      </c>
      <c r="C58" t="s">
        <v>3</v>
      </c>
      <c r="E58">
        <v>-3000</v>
      </c>
      <c r="F58" s="1">
        <f t="shared" si="2"/>
        <v>47280</v>
      </c>
    </row>
    <row r="59" spans="1:6" x14ac:dyDescent="0.25">
      <c r="A59">
        <v>6</v>
      </c>
      <c r="B59" s="6">
        <v>44956</v>
      </c>
      <c r="C59" t="s">
        <v>93</v>
      </c>
      <c r="E59">
        <v>-6000</v>
      </c>
      <c r="F59" s="1">
        <f t="shared" si="2"/>
        <v>41280</v>
      </c>
    </row>
    <row r="60" spans="1:6" x14ac:dyDescent="0.25">
      <c r="A60">
        <v>7</v>
      </c>
      <c r="B60" s="6">
        <v>44985</v>
      </c>
      <c r="C60" t="s">
        <v>94</v>
      </c>
      <c r="E60">
        <v>-6500</v>
      </c>
      <c r="F60" s="1">
        <f t="shared" si="2"/>
        <v>34780</v>
      </c>
    </row>
    <row r="61" spans="1:6" x14ac:dyDescent="0.25">
      <c r="A61">
        <v>8</v>
      </c>
      <c r="B61" s="6">
        <v>45015</v>
      </c>
      <c r="C61" t="s">
        <v>4</v>
      </c>
      <c r="E61">
        <v>-6500</v>
      </c>
      <c r="F61" s="1">
        <f t="shared" si="2"/>
        <v>28280</v>
      </c>
    </row>
    <row r="62" spans="1:6" x14ac:dyDescent="0.25">
      <c r="A62">
        <v>9</v>
      </c>
      <c r="B62" s="6">
        <v>45046</v>
      </c>
      <c r="C62" t="s">
        <v>4</v>
      </c>
      <c r="E62">
        <v>-6500</v>
      </c>
      <c r="F62" s="1">
        <f t="shared" si="2"/>
        <v>21780</v>
      </c>
    </row>
    <row r="63" spans="1:6" x14ac:dyDescent="0.25">
      <c r="A63">
        <v>10</v>
      </c>
      <c r="B63" s="6">
        <v>45076</v>
      </c>
      <c r="C63" t="s">
        <v>95</v>
      </c>
      <c r="E63">
        <v>-6500</v>
      </c>
      <c r="F63" s="1">
        <f t="shared" si="2"/>
        <v>15280</v>
      </c>
    </row>
    <row r="64" spans="1:6" x14ac:dyDescent="0.25">
      <c r="A64">
        <v>11</v>
      </c>
      <c r="B64" s="6">
        <v>45107</v>
      </c>
      <c r="C64" t="s">
        <v>4</v>
      </c>
      <c r="E64">
        <v>-6500</v>
      </c>
      <c r="F64" s="1">
        <f t="shared" si="2"/>
        <v>8780</v>
      </c>
    </row>
    <row r="65" spans="1:6" x14ac:dyDescent="0.25">
      <c r="A65">
        <v>12</v>
      </c>
      <c r="B65" s="6">
        <v>45137</v>
      </c>
      <c r="C65" t="s">
        <v>4</v>
      </c>
      <c r="E65">
        <v>-6500</v>
      </c>
      <c r="F65" s="1">
        <f t="shared" si="2"/>
        <v>2280</v>
      </c>
    </row>
    <row r="66" spans="1:6" x14ac:dyDescent="0.25">
      <c r="F66" s="1">
        <f t="shared" si="2"/>
        <v>2280</v>
      </c>
    </row>
    <row r="67" spans="1:6" x14ac:dyDescent="0.25">
      <c r="E67" s="69" t="s">
        <v>71</v>
      </c>
      <c r="F67" s="1">
        <f>F66</f>
        <v>2280</v>
      </c>
    </row>
    <row r="69" spans="1:6" ht="21" x14ac:dyDescent="0.35">
      <c r="B69" s="3" t="s">
        <v>103</v>
      </c>
      <c r="F69" s="73">
        <f>E75/12</f>
        <v>10750</v>
      </c>
    </row>
    <row r="70" spans="1:6" x14ac:dyDescent="0.25">
      <c r="C70" s="66" t="s">
        <v>63</v>
      </c>
      <c r="D70" s="66"/>
      <c r="E70" s="67">
        <v>8506</v>
      </c>
      <c r="F70" s="68">
        <f>E75/E70</f>
        <v>15.165765342111451</v>
      </c>
    </row>
    <row r="71" spans="1:6" x14ac:dyDescent="0.25">
      <c r="C71" s="2" t="s">
        <v>68</v>
      </c>
    </row>
    <row r="72" spans="1:6" x14ac:dyDescent="0.25">
      <c r="E72" s="4" t="s">
        <v>0</v>
      </c>
      <c r="F72" s="5" t="s">
        <v>1</v>
      </c>
    </row>
    <row r="73" spans="1:6" x14ac:dyDescent="0.25">
      <c r="C73" t="s">
        <v>83</v>
      </c>
      <c r="E73" s="4"/>
      <c r="F73" s="1">
        <f>E73</f>
        <v>0</v>
      </c>
    </row>
    <row r="74" spans="1:6" x14ac:dyDescent="0.25">
      <c r="C74" t="s">
        <v>82</v>
      </c>
      <c r="E74" s="4"/>
      <c r="F74" s="1">
        <f>F73+E74</f>
        <v>0</v>
      </c>
    </row>
    <row r="75" spans="1:6" x14ac:dyDescent="0.25">
      <c r="C75" s="70" t="s">
        <v>79</v>
      </c>
      <c r="D75" s="66"/>
      <c r="E75" s="67">
        <v>129000</v>
      </c>
      <c r="F75" s="1">
        <f>F74+E75</f>
        <v>129000</v>
      </c>
    </row>
    <row r="76" spans="1:6" x14ac:dyDescent="0.25">
      <c r="A76">
        <v>1</v>
      </c>
      <c r="B76" s="6">
        <v>45168</v>
      </c>
      <c r="C76" t="s">
        <v>4</v>
      </c>
      <c r="E76">
        <v>-6500</v>
      </c>
      <c r="F76" s="1">
        <f>F75+E76</f>
        <v>122500</v>
      </c>
    </row>
    <row r="77" spans="1:6" x14ac:dyDescent="0.25">
      <c r="A77">
        <v>2</v>
      </c>
      <c r="B77" s="6">
        <v>45199</v>
      </c>
      <c r="C77" t="s">
        <v>96</v>
      </c>
      <c r="E77">
        <v>-6500</v>
      </c>
      <c r="F77" s="1">
        <f t="shared" ref="F77:F88" si="3">F76+E77</f>
        <v>116000</v>
      </c>
    </row>
    <row r="78" spans="1:6" x14ac:dyDescent="0.25">
      <c r="A78">
        <v>3</v>
      </c>
      <c r="B78" s="6">
        <v>45229</v>
      </c>
      <c r="C78" t="s">
        <v>4</v>
      </c>
      <c r="E78">
        <v>-6500</v>
      </c>
      <c r="F78" s="1">
        <f t="shared" si="3"/>
        <v>109500</v>
      </c>
    </row>
    <row r="79" spans="1:6" x14ac:dyDescent="0.25">
      <c r="A79">
        <v>4</v>
      </c>
      <c r="B79" s="6">
        <v>45260</v>
      </c>
      <c r="C79" t="s">
        <v>4</v>
      </c>
      <c r="E79">
        <v>-6500</v>
      </c>
      <c r="F79" s="1">
        <f t="shared" si="3"/>
        <v>103000</v>
      </c>
    </row>
    <row r="80" spans="1:6" x14ac:dyDescent="0.25">
      <c r="A80">
        <v>5</v>
      </c>
      <c r="B80" s="6">
        <v>45290</v>
      </c>
      <c r="C80" t="s">
        <v>4</v>
      </c>
      <c r="E80">
        <v>-6500</v>
      </c>
      <c r="F80" s="1">
        <f t="shared" si="3"/>
        <v>96500</v>
      </c>
    </row>
    <row r="81" spans="1:6" x14ac:dyDescent="0.25">
      <c r="A81">
        <v>6</v>
      </c>
      <c r="B81" s="6">
        <v>45321</v>
      </c>
      <c r="C81" t="s">
        <v>97</v>
      </c>
      <c r="E81">
        <v>-6500</v>
      </c>
      <c r="F81" s="1">
        <f t="shared" si="3"/>
        <v>90000</v>
      </c>
    </row>
    <row r="82" spans="1:6" x14ac:dyDescent="0.25">
      <c r="A82">
        <v>7</v>
      </c>
      <c r="B82" s="6">
        <v>45350</v>
      </c>
      <c r="C82" t="s">
        <v>98</v>
      </c>
      <c r="E82" s="72">
        <v>-6500</v>
      </c>
      <c r="F82" s="1">
        <f t="shared" si="3"/>
        <v>83500</v>
      </c>
    </row>
    <row r="83" spans="1:6" x14ac:dyDescent="0.25">
      <c r="A83">
        <v>8</v>
      </c>
      <c r="B83" s="6">
        <v>45381</v>
      </c>
      <c r="C83" t="s">
        <v>99</v>
      </c>
      <c r="E83">
        <v>-15000</v>
      </c>
      <c r="F83" s="1">
        <f t="shared" si="3"/>
        <v>68500</v>
      </c>
    </row>
    <row r="84" spans="1:6" x14ac:dyDescent="0.25">
      <c r="A84">
        <v>9</v>
      </c>
      <c r="B84" s="6">
        <v>45412</v>
      </c>
      <c r="C84" t="s">
        <v>64</v>
      </c>
      <c r="E84">
        <v>-15000</v>
      </c>
      <c r="F84" s="1">
        <f t="shared" si="3"/>
        <v>53500</v>
      </c>
    </row>
    <row r="85" spans="1:6" x14ac:dyDescent="0.25">
      <c r="A85">
        <v>10</v>
      </c>
      <c r="B85" s="6">
        <v>45442</v>
      </c>
      <c r="C85" t="s">
        <v>64</v>
      </c>
      <c r="E85">
        <v>-15000</v>
      </c>
      <c r="F85" s="1">
        <f t="shared" si="3"/>
        <v>38500</v>
      </c>
    </row>
    <row r="86" spans="1:6" x14ac:dyDescent="0.25">
      <c r="A86">
        <v>11</v>
      </c>
      <c r="B86" s="6">
        <v>45473</v>
      </c>
      <c r="C86" t="s">
        <v>107</v>
      </c>
      <c r="E86">
        <v>-15000</v>
      </c>
      <c r="F86" s="1">
        <f t="shared" si="3"/>
        <v>23500</v>
      </c>
    </row>
    <row r="87" spans="1:6" x14ac:dyDescent="0.25">
      <c r="A87">
        <v>12</v>
      </c>
      <c r="B87" s="6">
        <v>45503</v>
      </c>
      <c r="C87" t="s">
        <v>64</v>
      </c>
      <c r="F87" s="1">
        <f t="shared" si="3"/>
        <v>23500</v>
      </c>
    </row>
    <row r="88" spans="1:6" x14ac:dyDescent="0.25">
      <c r="F88" s="1">
        <f t="shared" si="3"/>
        <v>23500</v>
      </c>
    </row>
    <row r="89" spans="1:6" x14ac:dyDescent="0.25">
      <c r="E89" s="69" t="s">
        <v>71</v>
      </c>
      <c r="F89" s="1">
        <f>F88</f>
        <v>23500</v>
      </c>
    </row>
  </sheetData>
  <pageMargins left="0.78740157480314954" right="0.78740157480314954" top="1.1511811023622047" bottom="1.1511811023622047" header="0.78740157480314954" footer="0.78740157480314954"/>
  <pageSetup paperSize="9" fitToWidth="0" fitToHeight="0" orientation="portrait" verticalDpi="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0"/>
  <sheetViews>
    <sheetView workbookViewId="0">
      <selection activeCell="C5" sqref="C5"/>
    </sheetView>
  </sheetViews>
  <sheetFormatPr defaultRowHeight="15" x14ac:dyDescent="0.25"/>
  <cols>
    <col min="1" max="1" width="5" style="10" customWidth="1"/>
    <col min="2" max="2" width="34.85546875" style="15" customWidth="1"/>
    <col min="3" max="3" width="115" style="10" customWidth="1"/>
    <col min="4" max="1024" width="12.140625" style="10" customWidth="1"/>
  </cols>
  <sheetData>
    <row r="1" spans="1:5" ht="25.35" customHeight="1" x14ac:dyDescent="0.25">
      <c r="A1" s="75"/>
      <c r="B1" s="7" t="s">
        <v>5</v>
      </c>
      <c r="C1" s="8" t="s">
        <v>6</v>
      </c>
      <c r="D1" s="9"/>
      <c r="E1" s="9"/>
    </row>
    <row r="2" spans="1:5" ht="25.35" customHeight="1" x14ac:dyDescent="0.25">
      <c r="A2" s="75"/>
      <c r="B2" s="7" t="s">
        <v>7</v>
      </c>
      <c r="C2" s="8" t="s">
        <v>8</v>
      </c>
      <c r="D2" s="9"/>
      <c r="E2" s="9"/>
    </row>
    <row r="3" spans="1:5" ht="25.35" customHeight="1" x14ac:dyDescent="0.25">
      <c r="B3" s="11"/>
      <c r="C3" s="9"/>
      <c r="D3" s="9"/>
      <c r="E3" s="9"/>
    </row>
    <row r="4" spans="1:5" ht="25.35" customHeight="1" x14ac:dyDescent="0.25">
      <c r="A4" s="76" t="s">
        <v>9</v>
      </c>
      <c r="B4" s="7" t="s">
        <v>10</v>
      </c>
      <c r="C4" s="12" t="s">
        <v>105</v>
      </c>
      <c r="D4" s="9"/>
      <c r="E4" s="9"/>
    </row>
    <row r="5" spans="1:5" ht="25.35" customHeight="1" x14ac:dyDescent="0.25">
      <c r="A5" s="76"/>
      <c r="B5" s="7" t="s">
        <v>11</v>
      </c>
      <c r="C5" s="12" t="s">
        <v>19</v>
      </c>
      <c r="D5" s="9"/>
      <c r="E5" s="9"/>
    </row>
    <row r="6" spans="1:5" ht="25.35" customHeight="1" x14ac:dyDescent="0.25">
      <c r="A6" s="76"/>
      <c r="B6" s="7" t="s">
        <v>12</v>
      </c>
      <c r="C6" s="12" t="s">
        <v>13</v>
      </c>
      <c r="D6" s="9"/>
      <c r="E6" s="9"/>
    </row>
    <row r="7" spans="1:5" ht="25.35" customHeight="1" x14ac:dyDescent="0.25">
      <c r="A7" s="76"/>
      <c r="B7" s="7" t="s">
        <v>14</v>
      </c>
      <c r="C7" s="12" t="s">
        <v>15</v>
      </c>
      <c r="D7" s="9"/>
      <c r="E7" s="9"/>
    </row>
    <row r="8" spans="1:5" ht="25.35" customHeight="1" x14ac:dyDescent="0.25">
      <c r="A8" s="76"/>
      <c r="B8" s="7" t="s">
        <v>16</v>
      </c>
      <c r="C8" s="12" t="s">
        <v>17</v>
      </c>
      <c r="D8" s="9"/>
      <c r="E8" s="9"/>
    </row>
    <row r="9" spans="1:5" ht="25.35" customHeight="1" x14ac:dyDescent="0.25">
      <c r="A9" s="76" t="s">
        <v>18</v>
      </c>
      <c r="B9" s="7" t="s">
        <v>11</v>
      </c>
      <c r="C9" s="12" t="s">
        <v>19</v>
      </c>
      <c r="D9" s="9"/>
      <c r="E9" s="9"/>
    </row>
    <row r="10" spans="1:5" ht="25.35" customHeight="1" x14ac:dyDescent="0.3">
      <c r="A10" s="76"/>
      <c r="B10" s="7" t="s">
        <v>12</v>
      </c>
      <c r="C10" s="13" t="s">
        <v>20</v>
      </c>
      <c r="D10" s="9"/>
      <c r="E10" s="9"/>
    </row>
    <row r="11" spans="1:5" ht="25.35" customHeight="1" x14ac:dyDescent="0.25">
      <c r="A11" s="76"/>
      <c r="B11" s="7" t="s">
        <v>14</v>
      </c>
      <c r="C11" s="12" t="s">
        <v>15</v>
      </c>
      <c r="D11" s="9"/>
      <c r="E11" s="9"/>
    </row>
    <row r="12" spans="1:5" ht="25.35" customHeight="1" x14ac:dyDescent="0.3">
      <c r="A12" s="76"/>
      <c r="B12" s="7" t="s">
        <v>16</v>
      </c>
      <c r="C12" s="14" t="s">
        <v>17</v>
      </c>
      <c r="D12" s="9"/>
      <c r="E12" s="9"/>
    </row>
    <row r="13" spans="1:5" ht="25.35" customHeight="1" x14ac:dyDescent="0.25">
      <c r="B13" s="11"/>
      <c r="C13" s="9"/>
      <c r="D13" s="9"/>
      <c r="E13" s="9"/>
    </row>
    <row r="14" spans="1:5" ht="25.35" customHeight="1" x14ac:dyDescent="0.25">
      <c r="B14" s="11"/>
      <c r="C14" s="9"/>
      <c r="D14" s="9"/>
      <c r="E14" s="9"/>
    </row>
    <row r="15" spans="1:5" ht="25.35" customHeight="1" x14ac:dyDescent="0.25">
      <c r="B15" s="11"/>
      <c r="C15" s="9"/>
      <c r="D15" s="9"/>
      <c r="E15" s="9"/>
    </row>
    <row r="16" spans="1:5" ht="25.35" customHeight="1" x14ac:dyDescent="0.25">
      <c r="B16" s="11"/>
      <c r="C16" s="9"/>
      <c r="D16" s="9"/>
      <c r="E16" s="9"/>
    </row>
    <row r="17" ht="13.9" customHeight="1" x14ac:dyDescent="0.25"/>
    <row r="18" ht="13.9" customHeight="1" x14ac:dyDescent="0.25"/>
    <row r="19" ht="13.9" customHeight="1" x14ac:dyDescent="0.25"/>
    <row r="20" ht="13.9" customHeight="1" x14ac:dyDescent="0.25"/>
  </sheetData>
  <mergeCells count="3">
    <mergeCell ref="A1:A2"/>
    <mergeCell ref="A4:A8"/>
    <mergeCell ref="A9:A12"/>
  </mergeCells>
  <dataValidations count="1">
    <dataValidation type="list" allowBlank="1" showInputMessage="1" showErrorMessage="1" sqref="C4" xr:uid="{00000000-0002-0000-0100-000000000000}">
      <formula1>"Gerçek Kişi,Tüzel Kişi"</formula1>
    </dataValidation>
  </dataValidations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34" sqref="E34"/>
    </sheetView>
  </sheetViews>
  <sheetFormatPr defaultRowHeight="15" x14ac:dyDescent="0.25"/>
  <cols>
    <col min="1" max="1" width="4.85546875" customWidth="1"/>
    <col min="2" max="2" width="12.28515625" style="29" customWidth="1"/>
    <col min="3" max="3" width="21" style="29" customWidth="1"/>
    <col min="4" max="4" width="17.85546875" style="29" customWidth="1"/>
    <col min="5" max="5" width="18.5703125" customWidth="1"/>
    <col min="6" max="6" width="27.5703125" style="28" customWidth="1"/>
    <col min="7" max="7" width="23.140625" style="29" customWidth="1"/>
    <col min="8" max="8" width="28.85546875" style="29" customWidth="1"/>
    <col min="9" max="64" width="15.42578125" customWidth="1"/>
  </cols>
  <sheetData>
    <row r="1" spans="1:8" ht="18.75" x14ac:dyDescent="0.3">
      <c r="A1" s="77"/>
      <c r="B1" s="17"/>
      <c r="C1" s="18"/>
      <c r="D1" s="19"/>
      <c r="E1" s="9"/>
      <c r="F1" s="20"/>
      <c r="G1" s="21"/>
      <c r="H1" s="21"/>
    </row>
    <row r="2" spans="1:8" ht="18.75" x14ac:dyDescent="0.25">
      <c r="A2" s="77"/>
      <c r="B2" s="17" t="s">
        <v>21</v>
      </c>
      <c r="C2" s="17" t="s">
        <v>22</v>
      </c>
      <c r="D2" s="17" t="s">
        <v>23</v>
      </c>
      <c r="E2" s="11" t="s">
        <v>24</v>
      </c>
      <c r="F2" s="22" t="s">
        <v>25</v>
      </c>
      <c r="G2" s="17" t="s">
        <v>26</v>
      </c>
      <c r="H2" s="17" t="s">
        <v>27</v>
      </c>
    </row>
    <row r="3" spans="1:8" ht="18.75" x14ac:dyDescent="0.25">
      <c r="A3" s="78"/>
      <c r="B3" s="18">
        <v>1</v>
      </c>
      <c r="C3" s="23">
        <v>45503</v>
      </c>
      <c r="D3" s="23">
        <v>45534</v>
      </c>
      <c r="E3" s="24">
        <v>17000</v>
      </c>
      <c r="F3" s="25" t="str">
        <f t="shared" ref="F3:F14" si="0">PROPER(IF(IF(LEN(SUBSTITUTE(ROUND(E3,2), ",", ""))=LEN(ROUND(E3,2)),ROUND(E3,2),TRIM(LEFT(ROUND(E3,2),FIND(",",ROUND(E3,2))-1)))*1&gt;=10^6,CHOOSE(LEFT(RIGHT(IF(LEN(SUBSTITUTE(ROUND(E3,2), ",", ""))=LEN(ROUND(E3,2)),ROUND(E3,2),TRIM(LEFT(ROUND(E3,2),FIND(",",ROUND(E3,2))-1)))*1,7),1)+1,"","birmilyon","ikimilyon","üçmilyon","dörtmilyon","beşmilyon","altımilyon","yedimilyon","sekizmilyon","dokuzmilyon"),"")&amp;IF(IF(LEN(SUBSTITUTE(ROUND(E3,2), ",", ""))=LEN(ROUND(E3,2)),ROUND(E3,2),TRIM(LEFT(ROUND(E3,2),FIND(",",ROUND(E3,2))-1)))*1&gt;=10^5,CHOOSE(LEFT(RIGHT(IF(LEN(SUBSTITUTE(ROUND(E3,2), ",", ""))=LEN(ROUND(E3,2)),ROUND(E3,2),TRIM(LEFT(ROUND(E3,2),FIND(",",ROUND(E3,2))-1)))*1,6),1)+1,"","yüz","ikiyüz","üçyüz","dörtyüz","beşyüz","altıyüz","yediyüz","sekizyüz","dokuzyüz"),"")&amp;IF(IF(LEN(SUBSTITUTE(ROUND(E3,2), ",", ""))=LEN(ROUND(E3,2)),ROUND(E3,2),TRIM(LEFT(ROUND(E3,2),FIND(",",ROUND(E3,2))-1)))*1&gt;=10^4,CHOOSE(LEFT(RIGHT(IF(LEN(SUBSTITUTE(ROUND(E3,2), ",", ""))=LEN(ROUND(E3,2)),ROUND(E3,2),TRIM(LEFT(ROUND(E3,2),FIND(",",ROUND(E3,2))-1)))*1,5),1)+1,"","on","yirmi","otuz","kırk","elli","altmış","yetmiş","seksen","doksan"),"")&amp;IF(IF(LEN(SUBSTITUTE(ROUND(E3,2), ",", ""))=LEN(ROUND(E3,2)),ROUND(E3,2),TRIM(LEFT(ROUND(E3,2),FIND(",",ROUND(E3,2))-1)))*1&gt;=10^3,CHOOSE(LEFT(RIGHT(IF(LEN(SUBSTITUTE(ROUND(E3,2), ",", ""))=LEN(ROUND(E3,2)),ROUND(E3,2),TRIM(LEFT(ROUND(E3,2),FIND(",",ROUND(E3,2))-1)))*1,4),1)+1,"","","iki","üç","dört","beş","altı","yedi","sekiz","dokuz"),"")&amp;IF(AND(IF(LEN(SUBSTITUTE(ROUND(E3,2), ",", ""))=LEN(ROUND(E3,2)),ROUND(E3,2),TRIM(LEFT(ROUND(E3,2),FIND(",",ROUND(E3,2))-1)))*1&gt;=10^3,VALUE(LEFT(RIGHT(IF(LEN(SUBSTITUTE(ROUND(E3,2), ",", ""))=LEN(ROUND(E3,2)),ROUND(E3,2),TRIM(LEFT(ROUND(E3,2),FIND(",",ROUND(E3,2))-1)))*1,6),3))&gt;0),IF(AND(IF(LEN(SUBSTITUTE(ROUND(E3,2), ",", ""))=LEN(ROUND(E3,2)),ROUND(E3,2),TRIM(LEFT(ROUND(E3,2),FIND(",",ROUND(E3,2))-1)))*1&gt;1999,LEFT(RIGHT(IF(LEN(SUBSTITUTE(ROUND(E3,2), ",", ""))=LEN(ROUND(E3,2)),ROUND(E3,2),TRIM(LEFT(ROUND(E3,2),FIND(",",ROUND(E3,2))-1)))*1,4),1)="1",LEFT(RIGHT(IF(LEN(SUBSTITUTE(ROUND(E3,2), ",", ""))=LEN(ROUND(E3,2)),ROUND(E3,2),TRIM(LEFT(ROUND(E3,2),FIND(",",ROUND(E3,2))-1)))*1,6),2)&lt;&gt;"00"),"birbin","bin"),"")&amp;IF(IF(LEN(SUBSTITUTE(ROUND(E3,2), ",", ""))=LEN(ROUND(E3,2)),ROUND(E3,2),TRIM(LEFT(ROUND(E3,2),FIND(",",ROUND(E3,2))-1)))*1&gt;=100,CHOOSE(LEFT(RIGHT(IF(LEN(SUBSTITUTE(ROUND(E3,2), ",", ""))=LEN(ROUND(E3,2)),ROUND(E3,2),TRIM(LEFT(ROUND(E3,2),FIND(",",ROUND(E3,2))-1)))*1,3),1)+1,"","yüz","ikiyüz","üçyüz","dörtyüz","beşyüz","altıyüz","yediyüz","sekizyüz","dokuzyüz"),"")&amp;IF(IF(LEN(SUBSTITUTE(ROUND(E3,2), ",", ""))=LEN(ROUND(E3,2)),ROUND(E3,2),TRIM(LEFT(ROUND(E3,2),FIND(",",ROUND(E3,2))-1)))*1&gt;=10,CHOOSE(LEFT(RIGHT(IF(LEN(SUBSTITUTE(ROUND(E3,2), ",", ""))=LEN(ROUND(E3,2)),ROUND(E3,2),TRIM(LEFT(ROUND(E3,2),FIND(",",ROUND(E3,2))-1)))*1,2),1)+1,"","on","yirmi","otuz","kırk","elli","altmış","yetmiş","seksen","doksan"),"")&amp;CHOOSE(MOD(IF(LEN(SUBSTITUTE(ROUND(E3,2), ",", ""))=LEN(ROUND(E3,2)),ROUND(E3,2),TRIM(LEFT(ROUND(E3,2),FIND(",",ROUND(E3,2))-1)))*1,10)+1,"","bir","iki","üç","dört","beş","altı","yedi","sekiz","dokuz")) &amp; " TL " &amp; IF(OR(LEN(SUBSTITUTE(E3, ",", ""))=LEN(E3),LEN(SUBSTITUTE(ROUND(E3,2), ",", ""))=LEN(ROUND(E3,2))),"", PROPER(IF(IF(LEN(TRIM(RIGHT(ROUND(E3,2),LEN(ROUND(E3,2))-FIND(",",ROUND(E3,2)))))&lt;2,TRIM(RIGHT(ROUND(E3,2),LEN(ROUND(E3,2))-FIND(",",ROUND(E3,2))))*10,TRIM(RIGHT(ROUND(E3,2),LEN(ROUND(E3,2))-FIND(",",ROUND(E3,2))))*1)&gt;=10^5,CHOOSE(LEFT(RIGHT(IF(LEN(TRIM(RIGHT(ROUND(E3,2),LEN(ROUND(E3,2))-FIND(",",ROUND(E3,2)))))&lt;2,TRIM(RIGHT(ROUND(E3,2),LEN(ROUND(E3,2))-FIND(",",ROUND(E3,2))))*10,TRIM(RIGHT(ROUND(E3,2),LEN(ROUND(E3,2))-FIND(",",ROUND(E3,2))))*1),6),1)+1,"","yüz","ikiyüz","üçyüz","dörtyüz","beşyüz","altıyüz","yediyüz","sekizyüz","dokuzyüz"),"")&amp;IF(IF(LEN(TRIM(RIGHT(ROUND(E3,2),LEN(ROUND(E3,2))-FIND(",",ROUND(E3,2)))))&lt;2,TRIM(RIGHT(ROUND(E3,2),LEN(ROUND(E3,2))-FIND(",",ROUND(E3,2))))*10,TRIM(RIGHT(ROUND(E3,2),LEN(ROUND(E3,2))-FIND(",",ROUND(E3,2))))*1)&gt;=10^4,CHOOSE(LEFT(RIGHT(IF(LEN(TRIM(RIGHT(ROUND(E3,2),LEN(ROUND(E3,2))-FIND(",",ROUND(E3,2)))))&lt;2,TRIM(RIGHT(ROUND(E3,2),LEN(ROUND(E3,2))-FIND(",",ROUND(E3,2))))*10,TRIM(RIGHT(ROUND(E3,2),LEN(ROUND(E3,2))-FIND(",",ROUND(E3,2))))*1),5),1)+1,"","on","yirmi","otuz","kırk","elli","altmış","yetmiş","seksen","doksan"),"")&amp;IF(IF(LEN(TRIM(RIGHT(ROUND(E3,2),LEN(ROUND(E3,2))-FIND(",",ROUND(E3,2)))))&lt;2,TRIM(RIGHT(ROUND(E3,2),LEN(ROUND(E3,2))-FIND(",",ROUND(E3,2))))*10,TRIM(RIGHT(ROUND(E3,2),LEN(ROUND(E3,2))-FIND(",",ROUND(E3,2))))*1)&gt;=10^3,CHOOSE(LEFT(RIGHT(IF(LEN(TRIM(RIGHT(ROUND(E3,2),LEN(ROUND(E3,2))-FIND(",",ROUND(E3,2)))))&lt;2,TRIM(RIGHT(ROUND(E3,2),LEN(ROUND(E3,2))-FIND(",",ROUND(E3,2))))*10,TRIM(RIGHT(ROUND(E3,2),LEN(ROUND(E3,2))-FIND(",",ROUND(E3,2))))*1),4),1)+1,"","","iki","üç","dört","beş","altı","yedi","sekiz","dokuz"),"")&amp;IF(IF(LEN(TRIM(RIGHT(ROUND(E3,2),LEN(ROUND(E3,2))-FIND(",",ROUND(E3,2)))))&lt;2,TRIM(RIGHT(ROUND(E3,2),LEN(ROUND(E3,2))-FIND(",",ROUND(E3,2))))*10,TRIM(RIGHT(ROUND(E3,2),LEN(ROUND(E3,2))-FIND(",",ROUND(E3,2))))*1)&gt;=10,CHOOSE(LEFT(RIGHT(IF(LEN(TRIM(RIGHT(ROUND(E3,2),LEN(ROUND(E3,2))-FIND(",",ROUND(E3,2)))))&lt;2,TRIM(RIGHT(ROUND(E3,2),LEN(ROUND(E3,2))-FIND(",",ROUND(E3,2))))*10,TRIM(RIGHT(ROUND(E3,2),LEN(ROUND(E3,2))-FIND(",",ROUND(E3,2))))*1),2),1)+1,"","on","yirmi","otuz","kırk","elli","altmış","yetmiş","seksen","doksan"),"")&amp;CHOOSE(MOD(IF(LEN(TRIM(RIGHT(ROUND(E3,2),LEN(ROUND(E3,2))-FIND(",",ROUND(E3,2)))))&lt;2,TRIM(RIGHT(ROUND(E3,2),LEN(ROUND(E3,2))-FIND(",",ROUND(E3,2))))*10,TRIM(RIGHT(ROUND(E3,2),LEN(ROUND(E3,2))-FIND(",",ROUND(E3,2))))*1),10)+1,"","bir","iki","üç","dört","beş","altı","yedi","sekiz","dokuz")) &amp; " Kr")</f>
        <v xml:space="preserve">Onyedibin TL </v>
      </c>
      <c r="G3" s="18" t="s">
        <v>28</v>
      </c>
      <c r="H3" s="18" t="s">
        <v>29</v>
      </c>
    </row>
    <row r="4" spans="1:8" ht="18.75" x14ac:dyDescent="0.3">
      <c r="A4" s="78"/>
      <c r="B4" s="21">
        <v>2</v>
      </c>
      <c r="C4" s="23">
        <v>45503</v>
      </c>
      <c r="D4" s="23">
        <v>45565</v>
      </c>
      <c r="E4" s="26">
        <v>17000</v>
      </c>
      <c r="F4" s="25" t="str">
        <f t="shared" si="0"/>
        <v xml:space="preserve">Onyedibin TL </v>
      </c>
      <c r="G4" s="21" t="str">
        <f t="shared" ref="G4:G13" si="1">G3</f>
        <v>NAKDEN</v>
      </c>
      <c r="H4" s="18" t="s">
        <v>30</v>
      </c>
    </row>
    <row r="5" spans="1:8" ht="18.75" x14ac:dyDescent="0.3">
      <c r="A5" s="78"/>
      <c r="B5" s="21">
        <v>3</v>
      </c>
      <c r="C5" s="23">
        <v>45503</v>
      </c>
      <c r="D5" s="23">
        <v>45595</v>
      </c>
      <c r="E5" s="26">
        <v>17000</v>
      </c>
      <c r="F5" s="25" t="str">
        <f t="shared" si="0"/>
        <v xml:space="preserve">Onyedibin TL </v>
      </c>
      <c r="G5" s="21" t="str">
        <f t="shared" si="1"/>
        <v>NAKDEN</v>
      </c>
      <c r="H5" s="18" t="s">
        <v>31</v>
      </c>
    </row>
    <row r="6" spans="1:8" ht="18.75" x14ac:dyDescent="0.3">
      <c r="A6" s="78"/>
      <c r="B6" s="21">
        <v>4</v>
      </c>
      <c r="C6" s="23">
        <v>45503</v>
      </c>
      <c r="D6" s="23">
        <v>45626</v>
      </c>
      <c r="E6" s="26">
        <v>17000</v>
      </c>
      <c r="F6" s="25" t="str">
        <f t="shared" si="0"/>
        <v xml:space="preserve">Onyedibin TL </v>
      </c>
      <c r="G6" s="21" t="str">
        <f t="shared" si="1"/>
        <v>NAKDEN</v>
      </c>
      <c r="H6" s="18" t="s">
        <v>32</v>
      </c>
    </row>
    <row r="7" spans="1:8" ht="18.75" x14ac:dyDescent="0.3">
      <c r="A7" s="78"/>
      <c r="B7" s="21">
        <v>5</v>
      </c>
      <c r="C7" s="23">
        <v>45503</v>
      </c>
      <c r="D7" s="23">
        <v>45656</v>
      </c>
      <c r="E7" s="26">
        <v>17000</v>
      </c>
      <c r="F7" s="25" t="str">
        <f t="shared" si="0"/>
        <v xml:space="preserve">Onyedibin TL </v>
      </c>
      <c r="G7" s="21" t="str">
        <f t="shared" si="1"/>
        <v>NAKDEN</v>
      </c>
      <c r="H7" s="18" t="s">
        <v>33</v>
      </c>
    </row>
    <row r="8" spans="1:8" ht="18.75" x14ac:dyDescent="0.3">
      <c r="A8" s="78"/>
      <c r="B8" s="21">
        <v>6</v>
      </c>
      <c r="C8" s="23">
        <v>45503</v>
      </c>
      <c r="D8" s="23">
        <v>45687</v>
      </c>
      <c r="E8" s="26">
        <v>17000</v>
      </c>
      <c r="F8" s="25" t="str">
        <f t="shared" si="0"/>
        <v xml:space="preserve">Onyedibin TL </v>
      </c>
      <c r="G8" s="21" t="str">
        <f t="shared" si="1"/>
        <v>NAKDEN</v>
      </c>
      <c r="H8" s="18" t="s">
        <v>34</v>
      </c>
    </row>
    <row r="9" spans="1:8" ht="18.75" x14ac:dyDescent="0.3">
      <c r="A9" s="78"/>
      <c r="B9" s="21">
        <v>7</v>
      </c>
      <c r="C9" s="23">
        <v>45503</v>
      </c>
      <c r="D9" s="23">
        <v>45716</v>
      </c>
      <c r="E9" s="26">
        <v>17000</v>
      </c>
      <c r="F9" s="25" t="str">
        <f t="shared" si="0"/>
        <v xml:space="preserve">Onyedibin TL </v>
      </c>
      <c r="G9" s="21" t="str">
        <f t="shared" si="1"/>
        <v>NAKDEN</v>
      </c>
      <c r="H9" s="18" t="s">
        <v>35</v>
      </c>
    </row>
    <row r="10" spans="1:8" ht="18.75" x14ac:dyDescent="0.3">
      <c r="A10" s="10"/>
      <c r="B10" s="21">
        <v>8</v>
      </c>
      <c r="C10" s="23">
        <v>45503</v>
      </c>
      <c r="D10" s="23">
        <v>45746</v>
      </c>
      <c r="E10" s="26">
        <v>17000</v>
      </c>
      <c r="F10" s="25" t="str">
        <f t="shared" si="0"/>
        <v xml:space="preserve">Onyedibin TL </v>
      </c>
      <c r="G10" s="21" t="str">
        <f t="shared" si="1"/>
        <v>NAKDEN</v>
      </c>
      <c r="H10" s="18" t="s">
        <v>36</v>
      </c>
    </row>
    <row r="11" spans="1:8" ht="18.75" x14ac:dyDescent="0.3">
      <c r="A11" s="77"/>
      <c r="B11" s="21">
        <v>9</v>
      </c>
      <c r="C11" s="23">
        <v>45503</v>
      </c>
      <c r="D11" s="23">
        <v>45777</v>
      </c>
      <c r="E11" s="26">
        <v>17000</v>
      </c>
      <c r="F11" s="25" t="str">
        <f t="shared" si="0"/>
        <v xml:space="preserve">Onyedibin TL </v>
      </c>
      <c r="G11" s="21" t="str">
        <f t="shared" si="1"/>
        <v>NAKDEN</v>
      </c>
      <c r="H11" s="18" t="s">
        <v>37</v>
      </c>
    </row>
    <row r="12" spans="1:8" ht="18.75" x14ac:dyDescent="0.3">
      <c r="A12" s="77"/>
      <c r="B12" s="21">
        <v>10</v>
      </c>
      <c r="C12" s="23">
        <v>45503</v>
      </c>
      <c r="D12" s="23">
        <v>45807</v>
      </c>
      <c r="E12" s="26">
        <v>17000</v>
      </c>
      <c r="F12" s="25" t="str">
        <f t="shared" si="0"/>
        <v xml:space="preserve">Onyedibin TL </v>
      </c>
      <c r="G12" s="21" t="str">
        <f t="shared" si="1"/>
        <v>NAKDEN</v>
      </c>
      <c r="H12" s="18" t="s">
        <v>38</v>
      </c>
    </row>
    <row r="13" spans="1:8" ht="18.75" x14ac:dyDescent="0.3">
      <c r="A13" s="77"/>
      <c r="B13" s="21">
        <v>11</v>
      </c>
      <c r="C13" s="23">
        <v>45503</v>
      </c>
      <c r="D13" s="23">
        <v>45838</v>
      </c>
      <c r="E13" s="26">
        <v>17000</v>
      </c>
      <c r="F13" s="25" t="str">
        <f t="shared" si="0"/>
        <v xml:space="preserve">Onyedibin TL </v>
      </c>
      <c r="G13" s="21" t="str">
        <f t="shared" si="1"/>
        <v>NAKDEN</v>
      </c>
      <c r="H13" s="18" t="s">
        <v>39</v>
      </c>
    </row>
    <row r="14" spans="1:8" ht="18.75" x14ac:dyDescent="0.3">
      <c r="A14" s="77"/>
      <c r="B14" s="21"/>
      <c r="C14" s="23">
        <v>45503</v>
      </c>
      <c r="D14" s="23"/>
      <c r="E14" s="26"/>
      <c r="F14" s="25" t="str">
        <f t="shared" si="0"/>
        <v xml:space="preserve"> TL </v>
      </c>
      <c r="G14" s="21" t="s">
        <v>106</v>
      </c>
      <c r="H14" s="18"/>
    </row>
    <row r="15" spans="1:8" ht="18.75" x14ac:dyDescent="0.3">
      <c r="A15" s="77"/>
      <c r="B15" s="17"/>
      <c r="C15" s="23"/>
      <c r="D15" s="19"/>
      <c r="E15" s="9"/>
      <c r="F15" s="20"/>
      <c r="G15" s="21"/>
      <c r="H15" s="21"/>
    </row>
    <row r="16" spans="1:8" ht="18.75" x14ac:dyDescent="0.3">
      <c r="A16" s="77"/>
      <c r="B16" s="17"/>
      <c r="C16" s="23"/>
      <c r="D16" s="19"/>
      <c r="E16" s="9"/>
      <c r="F16" s="20"/>
      <c r="G16" s="21"/>
      <c r="H16" s="21"/>
    </row>
    <row r="17" spans="1:8" ht="18.75" x14ac:dyDescent="0.3">
      <c r="A17" s="77"/>
      <c r="B17" s="17"/>
      <c r="C17" s="23"/>
      <c r="D17" s="19"/>
      <c r="E17" s="9"/>
      <c r="F17" s="20"/>
      <c r="G17" s="21"/>
      <c r="H17" s="21"/>
    </row>
    <row r="18" spans="1:8" ht="18.75" x14ac:dyDescent="0.3">
      <c r="A18" s="77"/>
      <c r="B18" s="17"/>
      <c r="C18" s="18"/>
      <c r="D18" s="19"/>
      <c r="E18" s="9"/>
      <c r="F18" s="20"/>
      <c r="G18" s="21"/>
      <c r="H18" s="21"/>
    </row>
    <row r="19" spans="1:8" ht="18.75" x14ac:dyDescent="0.3">
      <c r="A19" s="77"/>
      <c r="B19" s="17"/>
      <c r="C19" s="21"/>
      <c r="D19" s="19"/>
      <c r="E19" s="9"/>
      <c r="F19" s="20"/>
      <c r="G19" s="21"/>
      <c r="H19" s="21"/>
    </row>
    <row r="20" spans="1:8" x14ac:dyDescent="0.25">
      <c r="A20" s="10"/>
      <c r="B20" s="27"/>
      <c r="C20" s="16"/>
      <c r="D20" s="16"/>
      <c r="E20" s="10"/>
    </row>
    <row r="21" spans="1:8" x14ac:dyDescent="0.25">
      <c r="A21" s="10"/>
      <c r="B21" s="27"/>
      <c r="C21" s="16"/>
      <c r="D21" s="16"/>
      <c r="E21" s="10"/>
    </row>
    <row r="22" spans="1:8" x14ac:dyDescent="0.25">
      <c r="A22" s="10"/>
      <c r="B22" s="27"/>
      <c r="C22" s="16"/>
      <c r="D22" s="16"/>
      <c r="E22" s="10"/>
    </row>
  </sheetData>
  <mergeCells count="4">
    <mergeCell ref="A1:A2"/>
    <mergeCell ref="A3:A9"/>
    <mergeCell ref="A11:A15"/>
    <mergeCell ref="A16:A19"/>
  </mergeCells>
  <phoneticPr fontId="28" type="noConversion"/>
  <pageMargins left="0.78740157480314954" right="0.78740157480314954" top="1.1511811023622047" bottom="1.1511811023622047" header="0.78740157480314954" footer="0.78740157480314954"/>
  <pageSetup paperSize="0" fitToWidth="0" fitToHeight="0" orientation="portrait" horizontalDpi="0" verticalDpi="0" copies="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1048576"/>
  <sheetViews>
    <sheetView topLeftCell="A223" zoomScale="85" zoomScaleNormal="85" workbookViewId="0">
      <selection activeCell="D234" sqref="D234"/>
    </sheetView>
  </sheetViews>
  <sheetFormatPr defaultRowHeight="23.25" x14ac:dyDescent="0.35"/>
  <cols>
    <col min="1" max="1" width="2.28515625" style="34" customWidth="1"/>
    <col min="2" max="2" width="5.28515625" style="34" customWidth="1"/>
    <col min="3" max="3" width="2.140625" style="34" customWidth="1"/>
    <col min="4" max="4" width="27.5703125" style="34" customWidth="1"/>
    <col min="5" max="5" width="28.42578125" style="34" customWidth="1"/>
    <col min="6" max="6" width="6.42578125" style="34" customWidth="1"/>
    <col min="7" max="7" width="36.140625" style="34" customWidth="1"/>
    <col min="8" max="8" width="8" style="34" customWidth="1"/>
    <col min="9" max="9" width="26.28515625" style="34" customWidth="1"/>
    <col min="10" max="10" width="34.42578125" style="34" customWidth="1"/>
    <col min="11" max="11" width="14.42578125" style="34" customWidth="1"/>
    <col min="12" max="12" width="9.7109375" style="34" customWidth="1"/>
    <col min="13" max="13" width="9.5703125" style="34" customWidth="1"/>
    <col min="14" max="14" width="3.85546875" style="34" customWidth="1"/>
    <col min="15" max="15" width="38" style="34" customWidth="1"/>
    <col min="16" max="16" width="2.28515625" style="34" customWidth="1"/>
    <col min="17" max="1024" width="12.140625" style="34" customWidth="1"/>
  </cols>
  <sheetData>
    <row r="1" spans="1:16" ht="23.85" customHeight="1" x14ac:dyDescent="0.35">
      <c r="A1" s="30"/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6" s="41" customFormat="1" ht="23.85" customHeight="1" x14ac:dyDescent="0.35">
      <c r="A2" s="35"/>
      <c r="B2" s="36"/>
      <c r="C2" s="35"/>
      <c r="D2" s="37" t="s">
        <v>40</v>
      </c>
      <c r="E2" s="89" t="str">
        <f>$D9 &amp;"    - Taksit No: " &amp; $D4&amp;"  "</f>
        <v xml:space="preserve">Adem Duman    - Taksit No: # 1 #  </v>
      </c>
      <c r="F2" s="35"/>
      <c r="G2" s="38" t="s">
        <v>41</v>
      </c>
      <c r="H2" s="35"/>
      <c r="I2" s="38" t="s">
        <v>42</v>
      </c>
      <c r="J2" s="38" t="s">
        <v>43</v>
      </c>
      <c r="K2"/>
      <c r="L2" s="35"/>
      <c r="M2" s="38" t="s">
        <v>44</v>
      </c>
      <c r="N2" s="39"/>
      <c r="O2" s="38" t="s">
        <v>22</v>
      </c>
      <c r="P2" s="40"/>
    </row>
    <row r="3" spans="1:16" ht="23.85" customHeight="1" x14ac:dyDescent="0.35">
      <c r="A3" s="30"/>
      <c r="B3" s="42"/>
      <c r="C3" s="43"/>
      <c r="D3" s="44" t="s">
        <v>45</v>
      </c>
      <c r="E3" s="89"/>
      <c r="F3" s="30"/>
      <c r="G3" s="45">
        <f>D17</f>
        <v>45534</v>
      </c>
      <c r="H3" s="46"/>
      <c r="I3" s="47" t="str">
        <f>D6</f>
        <v># 17.000 TL #</v>
      </c>
      <c r="J3" s="48" t="str">
        <f>D7</f>
        <v>#   Krş #</v>
      </c>
      <c r="K3"/>
      <c r="L3" s="46"/>
      <c r="M3" s="49" t="str">
        <f>D4</f>
        <v># 1 #</v>
      </c>
      <c r="N3" s="39"/>
      <c r="O3" s="50">
        <f>D19</f>
        <v>45503</v>
      </c>
      <c r="P3" s="51"/>
    </row>
    <row r="4" spans="1:16" ht="23.85" customHeight="1" x14ac:dyDescent="0.35">
      <c r="A4" s="30"/>
      <c r="B4" s="42"/>
      <c r="C4" s="43"/>
      <c r="D4" s="52" t="str">
        <f>"# "&amp;TEXT(INT('Senet Taksit Giriş'!B3),"##.##0")&amp;" #"</f>
        <v># 1 #</v>
      </c>
      <c r="E4" s="89"/>
      <c r="F4" s="30"/>
      <c r="G4" s="30"/>
      <c r="H4" s="30"/>
      <c r="I4" s="30"/>
      <c r="J4" s="30"/>
      <c r="K4" s="30"/>
      <c r="L4" s="30"/>
      <c r="M4" s="30"/>
      <c r="N4" s="30"/>
      <c r="O4" s="30"/>
      <c r="P4" s="51"/>
    </row>
    <row r="5" spans="1:16" ht="23.85" customHeight="1" x14ac:dyDescent="0.35">
      <c r="A5" s="30"/>
      <c r="B5" s="42"/>
      <c r="C5" s="43"/>
      <c r="D5" s="53" t="s">
        <v>46</v>
      </c>
      <c r="E5" s="89"/>
      <c r="F5" s="86" t="str">
        <f>"   İş bu emre muharrer senedim"&amp;IF('Senet Borçlu Alacaklı Giriş'!$C$4="Gerçek Kişi","in","izin")&amp;" mükabilinde "&amp;TEXT(G3,"dd mmmm yyyy")&amp;" tarihinde Sayın : "&amp;'Senet Borçlu Alacaklı Giriş'!$C$1&amp;" 'ya veyahut emruhavalesine yukarıda yazılı Yalnız # "&amp;'Senet Taksit Giriş'!F3&amp;" # ödeyeceği"&amp;IF('Senet Borçlu Alacaklı Giriş'!$C$4="Gerçek Kişi","m.","z.")&amp;" Bedeli "&amp;'Senet Taksit Giriş'!G3&amp;"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5" s="86"/>
      <c r="H5" s="86"/>
      <c r="I5" s="86"/>
      <c r="J5" s="86"/>
      <c r="K5" s="86"/>
      <c r="L5" s="86"/>
      <c r="M5" s="86"/>
      <c r="N5" s="86"/>
      <c r="O5" s="86"/>
      <c r="P5" s="51"/>
    </row>
    <row r="6" spans="1:16" ht="23.85" customHeight="1" x14ac:dyDescent="0.35">
      <c r="A6" s="30"/>
      <c r="B6" s="42"/>
      <c r="C6" s="43"/>
      <c r="D6" s="54" t="str">
        <f>"# "&amp;TEXT(INT('Senet Taksit Giriş'!E3),"##.##0")&amp;" TL #"</f>
        <v># 17.000 TL #</v>
      </c>
      <c r="E6" s="89"/>
      <c r="F6" s="86"/>
      <c r="G6" s="86"/>
      <c r="H6" s="86"/>
      <c r="I6" s="86"/>
      <c r="J6" s="86"/>
      <c r="K6" s="86"/>
      <c r="L6" s="86"/>
      <c r="M6" s="86"/>
      <c r="N6" s="86"/>
      <c r="O6" s="86"/>
      <c r="P6" s="51"/>
    </row>
    <row r="7" spans="1:16" ht="23.85" customHeight="1" x14ac:dyDescent="0.35">
      <c r="A7" s="30"/>
      <c r="B7" s="42"/>
      <c r="C7" s="30"/>
      <c r="D7" s="52" t="str">
        <f>"# "&amp;TEXT(('Senet Taksit Giriş'!E3-INT('Senet Taksit Giriş'!E3))*100,"##.##")&amp;"  Krş #"</f>
        <v>#   Krş #</v>
      </c>
      <c r="E7" s="89"/>
      <c r="F7" s="86"/>
      <c r="G7" s="86"/>
      <c r="H7" s="86"/>
      <c r="I7" s="86"/>
      <c r="J7" s="86"/>
      <c r="K7" s="86"/>
      <c r="L7" s="86"/>
      <c r="M7" s="86"/>
      <c r="N7" s="86"/>
      <c r="O7" s="86"/>
      <c r="P7" s="51"/>
    </row>
    <row r="8" spans="1:16" ht="23.85" customHeight="1" x14ac:dyDescent="0.35">
      <c r="A8" s="30"/>
      <c r="B8" s="42"/>
      <c r="C8" s="30"/>
      <c r="D8" s="53" t="s">
        <v>47</v>
      </c>
      <c r="E8" s="89"/>
      <c r="F8" s="86"/>
      <c r="G8" s="86"/>
      <c r="H8" s="86"/>
      <c r="I8" s="86"/>
      <c r="J8" s="86"/>
      <c r="K8" s="86"/>
      <c r="L8" s="86"/>
      <c r="M8" s="86"/>
      <c r="N8" s="86"/>
      <c r="O8" s="86"/>
      <c r="P8" s="51"/>
    </row>
    <row r="9" spans="1:16" ht="23.85" customHeight="1" x14ac:dyDescent="0.35">
      <c r="A9" s="30"/>
      <c r="B9" s="55"/>
      <c r="C9" s="30"/>
      <c r="D9" s="79" t="str">
        <f>'Senet Borçlu Alacaklı Giriş'!C5</f>
        <v>Adem Duman</v>
      </c>
      <c r="E9" s="89"/>
      <c r="F9" s="39"/>
      <c r="G9" s="39"/>
      <c r="H9" s="39"/>
      <c r="I9" s="39"/>
      <c r="J9" s="39"/>
      <c r="K9" s="39"/>
      <c r="L9" s="39"/>
      <c r="M9" s="39"/>
      <c r="N9" s="39"/>
      <c r="O9" s="39"/>
      <c r="P9" s="51"/>
    </row>
    <row r="10" spans="1:16" ht="23.85" customHeight="1" x14ac:dyDescent="0.35">
      <c r="A10" s="30"/>
      <c r="B10" s="42"/>
      <c r="C10" s="30"/>
      <c r="D10" s="79"/>
      <c r="E10" s="89"/>
      <c r="F10" s="80" t="s">
        <v>48</v>
      </c>
      <c r="G10" s="81" t="str">
        <f>"İsim : "&amp;$D9</f>
        <v>İsim : Adem Duman</v>
      </c>
      <c r="H10" s="81"/>
      <c r="I10" s="81"/>
      <c r="J10" s="81"/>
      <c r="K10" s="82"/>
      <c r="L10" s="82"/>
      <c r="M10" s="82"/>
      <c r="N10" s="82"/>
      <c r="O10" s="33"/>
      <c r="P10" s="51"/>
    </row>
    <row r="11" spans="1:16" ht="23.85" customHeight="1" x14ac:dyDescent="0.35">
      <c r="A11" s="30"/>
      <c r="B11" s="56"/>
      <c r="C11" s="57"/>
      <c r="D11" s="79"/>
      <c r="E11" s="89"/>
      <c r="F11" s="80"/>
      <c r="G11" s="83" t="str">
        <f>"Adres : " &amp;'Senet Borçlu Alacaklı Giriş'!$C$6</f>
        <v>Adres : Hızarhane Cad. No:5 TOKAT</v>
      </c>
      <c r="H11" s="83"/>
      <c r="I11" s="83"/>
      <c r="J11" s="83"/>
      <c r="K11" s="83"/>
      <c r="L11" s="30"/>
      <c r="M11" s="30"/>
      <c r="N11" s="30"/>
      <c r="O11" s="51"/>
      <c r="P11" s="51"/>
    </row>
    <row r="12" spans="1:16" ht="23.85" customHeight="1" x14ac:dyDescent="0.35">
      <c r="A12" s="30"/>
      <c r="B12" s="56"/>
      <c r="C12" s="57"/>
      <c r="D12" s="79"/>
      <c r="E12" s="89"/>
      <c r="F12" s="80"/>
      <c r="G12" s="83"/>
      <c r="H12" s="83"/>
      <c r="I12" s="83"/>
      <c r="J12" s="83"/>
      <c r="K12" s="83"/>
      <c r="L12" s="43" t="s">
        <v>49</v>
      </c>
      <c r="M12" s="43"/>
      <c r="N12" s="39"/>
      <c r="O12" s="51"/>
      <c r="P12" s="51"/>
    </row>
    <row r="13" spans="1:16" ht="23.85" customHeight="1" x14ac:dyDescent="0.35">
      <c r="A13" s="30"/>
      <c r="B13" s="56"/>
      <c r="C13" s="57"/>
      <c r="D13" s="79"/>
      <c r="E13" s="89"/>
      <c r="F13" s="80"/>
      <c r="G13" s="84" t="str">
        <f>"Vergi Dairesi : "&amp;'Senet Borçlu Alacaklı Giriş'!$C$7</f>
        <v>Vergi Dairesi : Tokat</v>
      </c>
      <c r="H13" s="84"/>
      <c r="I13" s="84"/>
      <c r="J13" s="84"/>
      <c r="K13" s="30"/>
      <c r="L13" s="30"/>
      <c r="M13" s="30"/>
      <c r="N13" s="30"/>
      <c r="O13" s="51"/>
      <c r="P13" s="51"/>
    </row>
    <row r="14" spans="1:16" ht="23.85" customHeight="1" x14ac:dyDescent="0.35">
      <c r="A14" s="30"/>
      <c r="B14" s="42"/>
      <c r="C14" s="30"/>
      <c r="D14" s="79"/>
      <c r="E14" s="89"/>
      <c r="F14" s="80"/>
      <c r="G14" s="85" t="str">
        <f>"Vergi No / TC Kimlik No : "&amp;'Senet Borçlu Alacaklı Giriş'!$C$8</f>
        <v>Vergi No / TC Kimlik No : 341 3267 6260</v>
      </c>
      <c r="H14" s="85"/>
      <c r="I14" s="85"/>
      <c r="J14" s="85"/>
      <c r="K14" s="58"/>
      <c r="L14" s="58"/>
      <c r="M14" s="58"/>
      <c r="N14" s="58"/>
      <c r="O14" s="59"/>
      <c r="P14" s="51"/>
    </row>
    <row r="15" spans="1:16" ht="23.85" customHeight="1" x14ac:dyDescent="0.35">
      <c r="A15" s="30"/>
      <c r="B15" s="55"/>
      <c r="C15" s="30"/>
      <c r="D15" s="79"/>
      <c r="E15" s="89"/>
      <c r="F15" s="80" t="s">
        <v>18</v>
      </c>
      <c r="G15" s="88" t="str">
        <f>"İsim Unvan : "&amp;'Senet Borçlu Alacaklı Giriş'!$C$9</f>
        <v>İsim Unvan : Adem Duman</v>
      </c>
      <c r="H15" s="88"/>
      <c r="I15" s="88"/>
      <c r="J15" s="88"/>
      <c r="K15" s="32"/>
      <c r="L15" s="60"/>
      <c r="M15" s="32"/>
      <c r="N15" s="32"/>
      <c r="O15" s="33"/>
      <c r="P15" s="51"/>
    </row>
    <row r="16" spans="1:16" ht="23.85" customHeight="1" x14ac:dyDescent="0.35">
      <c r="A16" s="30"/>
      <c r="B16" s="42"/>
      <c r="C16" s="30"/>
      <c r="D16" s="53" t="s">
        <v>50</v>
      </c>
      <c r="E16" s="89"/>
      <c r="F16" s="80"/>
      <c r="G16" s="83" t="str">
        <f>"Adres : " &amp;'Senet Borçlu Alacaklı Giriş'!$C$10</f>
        <v>Adres : Esentepe Mah. Şehit Ulaşar Cad. Belde Sitesi B Blk. K1: D:3 TOKAT</v>
      </c>
      <c r="H16" s="83"/>
      <c r="I16" s="83"/>
      <c r="J16" s="83"/>
      <c r="K16" s="30"/>
      <c r="L16" s="30"/>
      <c r="M16" s="30"/>
      <c r="N16" s="30"/>
      <c r="O16" s="51"/>
      <c r="P16" s="51"/>
    </row>
    <row r="17" spans="1:16" ht="23.85" customHeight="1" x14ac:dyDescent="0.35">
      <c r="A17" s="30"/>
      <c r="B17" s="55"/>
      <c r="C17" s="30"/>
      <c r="D17" s="61">
        <f>'Senet Taksit Giriş'!D3</f>
        <v>45534</v>
      </c>
      <c r="E17" s="89"/>
      <c r="F17" s="80"/>
      <c r="G17" s="83"/>
      <c r="H17" s="83"/>
      <c r="I17" s="83"/>
      <c r="J17" s="83"/>
      <c r="K17" s="30"/>
      <c r="L17" s="43" t="s">
        <v>49</v>
      </c>
      <c r="M17" s="30"/>
      <c r="N17" s="30"/>
      <c r="O17" s="51"/>
      <c r="P17" s="51"/>
    </row>
    <row r="18" spans="1:16" ht="23.85" customHeight="1" x14ac:dyDescent="0.35">
      <c r="A18" s="30"/>
      <c r="B18" s="42"/>
      <c r="C18" s="30"/>
      <c r="D18" s="53" t="s">
        <v>51</v>
      </c>
      <c r="E18" s="89"/>
      <c r="F18" s="80"/>
      <c r="G18" s="84" t="str">
        <f>"Vergi Dairesi : "&amp;'Senet Borçlu Alacaklı Giriş'!$C$11</f>
        <v>Vergi Dairesi : Tokat</v>
      </c>
      <c r="H18" s="84"/>
      <c r="I18" s="84"/>
      <c r="J18" s="84"/>
      <c r="K18" s="30"/>
      <c r="L18" s="30"/>
      <c r="M18" s="30"/>
      <c r="N18" s="30"/>
      <c r="O18" s="51"/>
      <c r="P18" s="51"/>
    </row>
    <row r="19" spans="1:16" ht="23.85" customHeight="1" x14ac:dyDescent="0.35">
      <c r="A19" s="30"/>
      <c r="B19" s="42"/>
      <c r="C19" s="30"/>
      <c r="D19" s="61">
        <f>'Senet Taksit Giriş'!C3</f>
        <v>45503</v>
      </c>
      <c r="E19" s="89"/>
      <c r="F19" s="80"/>
      <c r="G19" s="85" t="str">
        <f>"Vergi No / TC Kimlik No : "&amp;'Senet Borçlu Alacaklı Giriş'!$C$12</f>
        <v>Vergi No / TC Kimlik No : 341 3267 6260</v>
      </c>
      <c r="H19" s="85"/>
      <c r="I19" s="85"/>
      <c r="J19" s="85"/>
      <c r="K19" s="58"/>
      <c r="L19" s="58"/>
      <c r="M19" s="58"/>
      <c r="N19" s="58"/>
      <c r="O19" s="59"/>
      <c r="P19" s="51"/>
    </row>
    <row r="20" spans="1:16" ht="23.85" customHeight="1" x14ac:dyDescent="0.35">
      <c r="A20" s="30"/>
      <c r="B20" s="62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9"/>
    </row>
    <row r="21" spans="1:16" ht="23.85" customHeight="1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23.85" customHeight="1" x14ac:dyDescent="0.35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</row>
    <row r="23" spans="1:16" ht="23.85" customHeight="1" x14ac:dyDescent="0.35">
      <c r="A23" s="35"/>
      <c r="B23" s="36"/>
      <c r="C23" s="35"/>
      <c r="D23" s="37" t="s">
        <v>40</v>
      </c>
      <c r="E23" s="89" t="str">
        <f>$D30 &amp;"    - Taksit No: " &amp; $D25&amp;"  "</f>
        <v xml:space="preserve">Adem Duman    - Taksit No: # 2 #  </v>
      </c>
      <c r="F23" s="35"/>
      <c r="G23" s="38" t="s">
        <v>41</v>
      </c>
      <c r="H23" s="35"/>
      <c r="I23" s="38" t="s">
        <v>42</v>
      </c>
      <c r="J23" s="38" t="s">
        <v>43</v>
      </c>
      <c r="K23"/>
      <c r="L23" s="35"/>
      <c r="M23" s="38" t="s">
        <v>44</v>
      </c>
      <c r="N23" s="39"/>
      <c r="O23" s="38" t="s">
        <v>22</v>
      </c>
      <c r="P23" s="40"/>
    </row>
    <row r="24" spans="1:16" ht="23.85" customHeight="1" x14ac:dyDescent="0.35">
      <c r="A24" s="30"/>
      <c r="B24" s="42"/>
      <c r="C24" s="43"/>
      <c r="D24" s="44" t="s">
        <v>45</v>
      </c>
      <c r="E24" s="89"/>
      <c r="F24" s="30"/>
      <c r="G24" s="45">
        <f>D38</f>
        <v>45565</v>
      </c>
      <c r="H24" s="46"/>
      <c r="I24" s="47" t="str">
        <f>D27</f>
        <v># 17.000 TL #</v>
      </c>
      <c r="J24" s="48" t="str">
        <f>D28</f>
        <v>#   Krş #</v>
      </c>
      <c r="K24"/>
      <c r="L24" s="46"/>
      <c r="M24" s="49" t="str">
        <f>D25</f>
        <v># 2 #</v>
      </c>
      <c r="N24" s="39"/>
      <c r="O24" s="50">
        <f>D40</f>
        <v>45503</v>
      </c>
      <c r="P24" s="51"/>
    </row>
    <row r="25" spans="1:16" ht="23.85" customHeight="1" x14ac:dyDescent="0.35">
      <c r="A25" s="30"/>
      <c r="B25" s="42"/>
      <c r="C25" s="43"/>
      <c r="D25" s="52" t="str">
        <f>"# "&amp;TEXT(INT('Senet Taksit Giriş'!B4),"##.##0")&amp;" #"</f>
        <v># 2 #</v>
      </c>
      <c r="E25" s="8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51"/>
    </row>
    <row r="26" spans="1:16" ht="23.85" customHeight="1" x14ac:dyDescent="0.35">
      <c r="A26" s="30"/>
      <c r="B26" s="42"/>
      <c r="C26" s="43"/>
      <c r="D26" s="53" t="s">
        <v>46</v>
      </c>
      <c r="E26" s="89"/>
      <c r="F26" s="86" t="str">
        <f>"   İş bu emre muharrer senedim"&amp;IF('Senet Borçlu Alacaklı Giriş'!$C$4="Gerçek Kişi","in","izin")&amp;" mükabilinde "&amp;TEXT(G24,"dd mmmm yyyy")&amp;" tarihinde Sayın : "&amp;'Senet Borçlu Alacaklı Giriş'!$C$1&amp;" 'ya veyahut emruhavalesine yukarıda yazılı Yalnız # "&amp;'Senet Taksit Giriş'!F4&amp;" # ödeyeceği"&amp;IF('Senet Borçlu Alacaklı Giriş'!$C$4="Gerçek Kişi","m.","z.")&amp;" Bedeli "&amp;'Senet Taksit Giriş'!G4&amp;"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6" s="86"/>
      <c r="H26" s="86"/>
      <c r="I26" s="86"/>
      <c r="J26" s="86"/>
      <c r="K26" s="86"/>
      <c r="L26" s="86"/>
      <c r="M26" s="86"/>
      <c r="N26" s="86"/>
      <c r="O26" s="86"/>
      <c r="P26" s="51"/>
    </row>
    <row r="27" spans="1:16" ht="23.85" customHeight="1" x14ac:dyDescent="0.35">
      <c r="A27" s="30"/>
      <c r="B27" s="42"/>
      <c r="C27" s="43"/>
      <c r="D27" s="54" t="str">
        <f>"# "&amp;TEXT(INT('Senet Taksit Giriş'!E4),"##.##0")&amp;" TL #"</f>
        <v># 17.000 TL #</v>
      </c>
      <c r="E27" s="89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51"/>
    </row>
    <row r="28" spans="1:16" ht="23.85" customHeight="1" x14ac:dyDescent="0.35">
      <c r="A28" s="30"/>
      <c r="B28" s="42"/>
      <c r="C28" s="30"/>
      <c r="D28" s="52" t="str">
        <f>"# "&amp;TEXT(('Senet Taksit Giriş'!E24-INT('Senet Taksit Giriş'!E24))*100,"##.##")&amp;"  Krş #"</f>
        <v>#   Krş #</v>
      </c>
      <c r="E28" s="89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51"/>
    </row>
    <row r="29" spans="1:16" ht="23.85" customHeight="1" x14ac:dyDescent="0.35">
      <c r="A29" s="30"/>
      <c r="B29" s="42"/>
      <c r="C29" s="30"/>
      <c r="D29" s="53" t="s">
        <v>47</v>
      </c>
      <c r="E29" s="89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51"/>
    </row>
    <row r="30" spans="1:16" ht="23.85" customHeight="1" x14ac:dyDescent="0.35">
      <c r="A30" s="30"/>
      <c r="B30" s="55"/>
      <c r="C30" s="30"/>
      <c r="D30" s="79" t="str">
        <f>$D$9</f>
        <v>Adem Duman</v>
      </c>
      <c r="E30" s="89"/>
      <c r="F30"/>
      <c r="G30"/>
      <c r="H30"/>
      <c r="I30"/>
      <c r="J30"/>
      <c r="K30"/>
      <c r="L30"/>
      <c r="M30"/>
      <c r="N30"/>
      <c r="O30"/>
      <c r="P30" s="51"/>
    </row>
    <row r="31" spans="1:16" ht="23.85" customHeight="1" x14ac:dyDescent="0.35">
      <c r="A31" s="30"/>
      <c r="B31" s="42"/>
      <c r="C31" s="30"/>
      <c r="D31" s="79"/>
      <c r="E31" s="89"/>
      <c r="F31" s="80" t="s">
        <v>48</v>
      </c>
      <c r="G31" s="88" t="str">
        <f>"İsim : "&amp;$D30</f>
        <v>İsim : Adem Duman</v>
      </c>
      <c r="H31" s="88"/>
      <c r="I31" s="88"/>
      <c r="J31" s="88"/>
      <c r="K31" s="32"/>
      <c r="L31" s="32"/>
      <c r="M31" s="82"/>
      <c r="N31" s="82"/>
      <c r="O31" s="33"/>
      <c r="P31" s="51"/>
    </row>
    <row r="32" spans="1:16" ht="23.85" customHeight="1" x14ac:dyDescent="0.35">
      <c r="A32" s="30"/>
      <c r="B32" s="56"/>
      <c r="C32" s="57"/>
      <c r="D32" s="79"/>
      <c r="E32" s="89"/>
      <c r="F32" s="80"/>
      <c r="G32" s="83" t="str">
        <f>"Adres : " &amp;'Senet Borçlu Alacaklı Giriş'!$C$6</f>
        <v>Adres : Hızarhane Cad. No:5 TOKAT</v>
      </c>
      <c r="H32" s="83"/>
      <c r="I32" s="83"/>
      <c r="J32" s="83"/>
      <c r="K32" s="83"/>
      <c r="L32" s="30"/>
      <c r="M32" s="30"/>
      <c r="N32" s="30"/>
      <c r="O32" s="51"/>
      <c r="P32" s="51"/>
    </row>
    <row r="33" spans="1:16" ht="23.85" customHeight="1" x14ac:dyDescent="0.35">
      <c r="A33" s="30"/>
      <c r="B33" s="56"/>
      <c r="C33" s="57"/>
      <c r="D33" s="79"/>
      <c r="E33" s="89"/>
      <c r="F33" s="80"/>
      <c r="G33" s="83"/>
      <c r="H33" s="83"/>
      <c r="I33" s="83"/>
      <c r="J33" s="83"/>
      <c r="K33" s="83"/>
      <c r="L33" s="43" t="s">
        <v>49</v>
      </c>
      <c r="M33" s="43"/>
      <c r="N33" s="39"/>
      <c r="O33" s="51"/>
      <c r="P33" s="51"/>
    </row>
    <row r="34" spans="1:16" ht="23.85" customHeight="1" x14ac:dyDescent="0.35">
      <c r="A34" s="30"/>
      <c r="B34" s="56"/>
      <c r="C34" s="57"/>
      <c r="D34" s="79"/>
      <c r="E34" s="89"/>
      <c r="F34" s="80"/>
      <c r="G34" s="84" t="str">
        <f>"Vergi Dairesi : "&amp;'Senet Borçlu Alacaklı Giriş'!$C$7</f>
        <v>Vergi Dairesi : Tokat</v>
      </c>
      <c r="H34" s="84"/>
      <c r="I34" s="84"/>
      <c r="J34" s="84"/>
      <c r="K34" s="30"/>
      <c r="L34" s="30"/>
      <c r="M34" s="30"/>
      <c r="N34" s="30"/>
      <c r="O34" s="51"/>
      <c r="P34" s="51"/>
    </row>
    <row r="35" spans="1:16" ht="23.85" customHeight="1" x14ac:dyDescent="0.35">
      <c r="A35" s="30"/>
      <c r="B35" s="42"/>
      <c r="C35" s="30"/>
      <c r="D35" s="79"/>
      <c r="E35" s="89"/>
      <c r="F35" s="80"/>
      <c r="G35" s="85" t="str">
        <f>"Vergi No / TC Kimlik No : "&amp;'Senet Borçlu Alacaklı Giriş'!$C$8</f>
        <v>Vergi No / TC Kimlik No : 341 3267 6260</v>
      </c>
      <c r="H35" s="85"/>
      <c r="I35" s="85"/>
      <c r="J35" s="85"/>
      <c r="K35" s="58"/>
      <c r="L35" s="58"/>
      <c r="M35" s="58"/>
      <c r="N35" s="58"/>
      <c r="O35" s="59"/>
      <c r="P35" s="51"/>
    </row>
    <row r="36" spans="1:16" ht="23.85" customHeight="1" x14ac:dyDescent="0.35">
      <c r="A36" s="30"/>
      <c r="B36" s="55"/>
      <c r="C36" s="30"/>
      <c r="D36" s="79"/>
      <c r="E36" s="89"/>
      <c r="F36" s="80" t="s">
        <v>18</v>
      </c>
      <c r="G36" s="88" t="str">
        <f>"İsim Unvan : "&amp;'Senet Borçlu Alacaklı Giriş'!$C$9</f>
        <v>İsim Unvan : Adem Duman</v>
      </c>
      <c r="H36" s="88"/>
      <c r="I36" s="88"/>
      <c r="J36" s="88"/>
      <c r="K36" s="32"/>
      <c r="L36" s="60"/>
      <c r="M36" s="32"/>
      <c r="N36" s="32"/>
      <c r="O36" s="33"/>
      <c r="P36" s="51"/>
    </row>
    <row r="37" spans="1:16" ht="23.85" customHeight="1" x14ac:dyDescent="0.35">
      <c r="A37" s="30"/>
      <c r="B37" s="42"/>
      <c r="C37" s="30"/>
      <c r="D37" s="53" t="s">
        <v>50</v>
      </c>
      <c r="E37" s="89"/>
      <c r="F37" s="80"/>
      <c r="G37" s="83" t="str">
        <f>"Adres : " &amp;'Senet Borçlu Alacaklı Giriş'!$C$10</f>
        <v>Adres : Esentepe Mah. Şehit Ulaşar Cad. Belde Sitesi B Blk. K1: D:3 TOKAT</v>
      </c>
      <c r="H37" s="83"/>
      <c r="I37" s="83"/>
      <c r="J37" s="83"/>
      <c r="K37" s="30"/>
      <c r="L37" s="30"/>
      <c r="M37" s="30"/>
      <c r="N37" s="30"/>
      <c r="O37" s="51"/>
      <c r="P37" s="51"/>
    </row>
    <row r="38" spans="1:16" ht="23.85" customHeight="1" x14ac:dyDescent="0.35">
      <c r="A38" s="30"/>
      <c r="B38" s="55"/>
      <c r="C38" s="30"/>
      <c r="D38" s="61">
        <f>'Senet Taksit Giriş'!D4</f>
        <v>45565</v>
      </c>
      <c r="E38" s="89"/>
      <c r="F38" s="80"/>
      <c r="G38" s="83"/>
      <c r="H38" s="83"/>
      <c r="I38" s="83"/>
      <c r="J38" s="83"/>
      <c r="K38" s="30"/>
      <c r="L38" s="43" t="s">
        <v>49</v>
      </c>
      <c r="M38" s="30"/>
      <c r="N38" s="30"/>
      <c r="O38" s="51"/>
      <c r="P38" s="51"/>
    </row>
    <row r="39" spans="1:16" ht="23.85" customHeight="1" x14ac:dyDescent="0.35">
      <c r="A39" s="30"/>
      <c r="B39" s="42"/>
      <c r="C39" s="30"/>
      <c r="D39" s="53" t="s">
        <v>22</v>
      </c>
      <c r="E39" s="89"/>
      <c r="F39" s="80"/>
      <c r="G39" s="84" t="str">
        <f>"Vergi Dairesi : "&amp;'Senet Borçlu Alacaklı Giriş'!$C$11</f>
        <v>Vergi Dairesi : Tokat</v>
      </c>
      <c r="H39" s="84"/>
      <c r="I39" s="84"/>
      <c r="J39" s="84"/>
      <c r="K39" s="30"/>
      <c r="L39" s="30"/>
      <c r="M39" s="30"/>
      <c r="N39" s="30"/>
      <c r="O39" s="51"/>
      <c r="P39" s="51"/>
    </row>
    <row r="40" spans="1:16" ht="23.85" customHeight="1" x14ac:dyDescent="0.35">
      <c r="A40" s="30"/>
      <c r="B40" s="42"/>
      <c r="C40" s="30"/>
      <c r="D40" s="61">
        <f>'Senet Taksit Giriş'!C4</f>
        <v>45503</v>
      </c>
      <c r="E40" s="89"/>
      <c r="F40" s="80"/>
      <c r="G40" s="85" t="str">
        <f>"Vergi No / TC Kimlik No : "&amp;'Senet Borçlu Alacaklı Giriş'!$C$12</f>
        <v>Vergi No / TC Kimlik No : 341 3267 6260</v>
      </c>
      <c r="H40" s="85"/>
      <c r="I40" s="85"/>
      <c r="J40" s="85"/>
      <c r="K40" s="58"/>
      <c r="L40" s="58"/>
      <c r="M40" s="58"/>
      <c r="N40" s="58"/>
      <c r="O40" s="59"/>
      <c r="P40" s="51"/>
    </row>
    <row r="41" spans="1:16" ht="23.85" customHeight="1" x14ac:dyDescent="0.35">
      <c r="A41" s="30"/>
      <c r="B41" s="62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9"/>
    </row>
    <row r="43" spans="1:16" ht="23.85" customHeight="1" x14ac:dyDescent="0.35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 spans="1:16" ht="23.85" customHeight="1" x14ac:dyDescent="0.35">
      <c r="A44" s="35"/>
      <c r="B44" s="36"/>
      <c r="C44" s="35"/>
      <c r="D44" s="37" t="s">
        <v>40</v>
      </c>
      <c r="E44" s="89" t="str">
        <f>$D51 &amp;"    - Taksit No: " &amp; $D46&amp;"  "</f>
        <v xml:space="preserve">Adem Duman    - Taksit No: # 3 #  </v>
      </c>
      <c r="F44" s="35"/>
      <c r="G44" s="38" t="s">
        <v>41</v>
      </c>
      <c r="H44" s="35"/>
      <c r="I44" s="38" t="s">
        <v>42</v>
      </c>
      <c r="J44" s="38" t="s">
        <v>43</v>
      </c>
      <c r="K44"/>
      <c r="L44" s="35"/>
      <c r="M44" s="38" t="s">
        <v>44</v>
      </c>
      <c r="N44" s="39"/>
      <c r="O44" s="38" t="s">
        <v>22</v>
      </c>
      <c r="P44" s="40"/>
    </row>
    <row r="45" spans="1:16" ht="23.85" customHeight="1" x14ac:dyDescent="0.35">
      <c r="A45" s="30"/>
      <c r="B45" s="42"/>
      <c r="C45" s="43"/>
      <c r="D45" s="44" t="s">
        <v>45</v>
      </c>
      <c r="E45" s="89"/>
      <c r="F45" s="30"/>
      <c r="G45" s="45">
        <f>D59</f>
        <v>45595</v>
      </c>
      <c r="H45" s="46"/>
      <c r="I45" s="47" t="str">
        <f>D48</f>
        <v># 17.000 TL #</v>
      </c>
      <c r="J45" s="48" t="str">
        <f>D49</f>
        <v>#   Krş #</v>
      </c>
      <c r="K45"/>
      <c r="L45" s="46"/>
      <c r="M45" s="49" t="str">
        <f>D46</f>
        <v># 3 #</v>
      </c>
      <c r="N45" s="39"/>
      <c r="O45" s="50">
        <f>D61</f>
        <v>45503</v>
      </c>
      <c r="P45" s="51"/>
    </row>
    <row r="46" spans="1:16" ht="23.85" customHeight="1" x14ac:dyDescent="0.35">
      <c r="A46" s="30"/>
      <c r="B46" s="42"/>
      <c r="C46" s="43"/>
      <c r="D46" s="52" t="str">
        <f>"# "&amp;TEXT(INT('Senet Taksit Giriş'!B5),"##.##0")&amp;" #"</f>
        <v># 3 #</v>
      </c>
      <c r="E46" s="8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51"/>
    </row>
    <row r="47" spans="1:16" ht="23.85" customHeight="1" x14ac:dyDescent="0.35">
      <c r="A47" s="30"/>
      <c r="B47" s="42"/>
      <c r="C47" s="43"/>
      <c r="D47" s="53" t="s">
        <v>46</v>
      </c>
      <c r="E47" s="89"/>
      <c r="F47" s="86" t="str">
        <f>"   İş bu emre muharrer senedim"&amp;IF('Senet Borçlu Alacaklı Giriş'!$C$4="Gerçek Kişi","in","izin")&amp;" mükabilinde "&amp;TEXT(G45,"dd mmmm yyyy")&amp;" tarihinde Sayın : "&amp;'Senet Borçlu Alacaklı Giriş'!$C$1&amp;" 'ya veyahut emruhavalesine yukarıda yazılı Yalnız # "&amp;'Senet Taksit Giriş'!F5&amp;" # ödeyeceği"&amp;IF('Senet Borçlu Alacaklı Giriş'!$C$4="Gerçek Kişi","m.","z.")&amp;" Bedeli "&amp;'Senet Taksit Giriş'!G5&amp;"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47" s="86"/>
      <c r="H47" s="86"/>
      <c r="I47" s="86"/>
      <c r="J47" s="86"/>
      <c r="K47" s="86"/>
      <c r="L47" s="86"/>
      <c r="M47" s="86"/>
      <c r="N47" s="86"/>
      <c r="O47" s="86"/>
      <c r="P47" s="51"/>
    </row>
    <row r="48" spans="1:16" ht="23.85" customHeight="1" x14ac:dyDescent="0.35">
      <c r="A48" s="30"/>
      <c r="B48" s="42"/>
      <c r="C48" s="43"/>
      <c r="D48" s="54" t="str">
        <f>"# "&amp;TEXT(INT('Senet Taksit Giriş'!E5),"##.##0")&amp;" TL #"</f>
        <v># 17.000 TL #</v>
      </c>
      <c r="E48" s="89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51"/>
    </row>
    <row r="49" spans="1:16" ht="23.85" customHeight="1" x14ac:dyDescent="0.35">
      <c r="A49" s="30"/>
      <c r="B49" s="42"/>
      <c r="C49" s="30"/>
      <c r="D49" s="52" t="str">
        <f>"# "&amp;TEXT(('Senet Taksit Giriş'!E46-INT('Senet Taksit Giriş'!E46))*100,"##.##")&amp;"  Krş #"</f>
        <v>#   Krş #</v>
      </c>
      <c r="E49" s="89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51"/>
    </row>
    <row r="50" spans="1:16" ht="23.85" customHeight="1" x14ac:dyDescent="0.35">
      <c r="A50" s="30"/>
      <c r="B50" s="42"/>
      <c r="C50" s="30"/>
      <c r="D50" s="53" t="s">
        <v>47</v>
      </c>
      <c r="E50" s="89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51"/>
    </row>
    <row r="51" spans="1:16" ht="23.85" customHeight="1" x14ac:dyDescent="0.35">
      <c r="A51" s="30"/>
      <c r="B51" s="55"/>
      <c r="C51" s="30"/>
      <c r="D51" s="79" t="str">
        <f>$D$9</f>
        <v>Adem Duman</v>
      </c>
      <c r="E51" s="89"/>
      <c r="F51"/>
      <c r="G51"/>
      <c r="H51"/>
      <c r="I51"/>
      <c r="J51"/>
      <c r="K51"/>
      <c r="L51"/>
      <c r="M51"/>
      <c r="N51"/>
      <c r="O51"/>
      <c r="P51" s="51"/>
    </row>
    <row r="52" spans="1:16" ht="23.85" customHeight="1" x14ac:dyDescent="0.35">
      <c r="A52" s="30"/>
      <c r="B52" s="42"/>
      <c r="C52" s="30"/>
      <c r="D52" s="79"/>
      <c r="E52" s="89"/>
      <c r="F52" s="80" t="s">
        <v>48</v>
      </c>
      <c r="G52" s="88" t="str">
        <f>"İsim : "&amp;$D51</f>
        <v>İsim : Adem Duman</v>
      </c>
      <c r="H52" s="88"/>
      <c r="I52" s="88"/>
      <c r="J52" s="88"/>
      <c r="K52" s="32"/>
      <c r="L52" s="32"/>
      <c r="M52" s="82"/>
      <c r="N52" s="82"/>
      <c r="O52" s="33"/>
      <c r="P52" s="51"/>
    </row>
    <row r="53" spans="1:16" ht="23.85" customHeight="1" x14ac:dyDescent="0.35">
      <c r="A53" s="30"/>
      <c r="B53" s="56"/>
      <c r="C53" s="57"/>
      <c r="D53" s="79"/>
      <c r="E53" s="89"/>
      <c r="F53" s="80"/>
      <c r="G53" s="83" t="str">
        <f>"Adres : " &amp;'Senet Borçlu Alacaklı Giriş'!$C$6</f>
        <v>Adres : Hızarhane Cad. No:5 TOKAT</v>
      </c>
      <c r="H53" s="83"/>
      <c r="I53" s="83"/>
      <c r="J53" s="83"/>
      <c r="K53" s="83"/>
      <c r="L53" s="30"/>
      <c r="M53" s="30"/>
      <c r="N53" s="30"/>
      <c r="O53" s="51"/>
      <c r="P53" s="51"/>
    </row>
    <row r="54" spans="1:16" ht="23.85" customHeight="1" x14ac:dyDescent="0.35">
      <c r="A54" s="30"/>
      <c r="B54" s="56"/>
      <c r="C54" s="57"/>
      <c r="D54" s="79"/>
      <c r="E54" s="89"/>
      <c r="F54" s="80"/>
      <c r="G54" s="83"/>
      <c r="H54" s="83"/>
      <c r="I54" s="83"/>
      <c r="J54" s="83"/>
      <c r="K54" s="83"/>
      <c r="L54" s="43" t="s">
        <v>49</v>
      </c>
      <c r="M54" s="43"/>
      <c r="N54" s="39"/>
      <c r="O54" s="51"/>
      <c r="P54" s="51"/>
    </row>
    <row r="55" spans="1:16" ht="23.85" customHeight="1" x14ac:dyDescent="0.35">
      <c r="A55" s="30"/>
      <c r="B55" s="56"/>
      <c r="C55" s="57"/>
      <c r="D55" s="79"/>
      <c r="E55" s="89"/>
      <c r="F55" s="80"/>
      <c r="G55" s="84" t="str">
        <f>"Vergi Dairesi : "&amp;'Senet Borçlu Alacaklı Giriş'!$C$7</f>
        <v>Vergi Dairesi : Tokat</v>
      </c>
      <c r="H55" s="84"/>
      <c r="I55" s="84"/>
      <c r="J55" s="84"/>
      <c r="K55" s="30"/>
      <c r="L55" s="30"/>
      <c r="M55" s="30"/>
      <c r="N55" s="30"/>
      <c r="O55" s="51"/>
      <c r="P55" s="51"/>
    </row>
    <row r="56" spans="1:16" ht="23.85" customHeight="1" x14ac:dyDescent="0.35">
      <c r="A56" s="30"/>
      <c r="B56" s="42"/>
      <c r="C56" s="30"/>
      <c r="D56" s="79"/>
      <c r="E56" s="89"/>
      <c r="F56" s="80"/>
      <c r="G56" s="85" t="str">
        <f>"Vergi No / TC Kimlik No : "&amp;'Senet Borçlu Alacaklı Giriş'!$C$8</f>
        <v>Vergi No / TC Kimlik No : 341 3267 6260</v>
      </c>
      <c r="H56" s="85"/>
      <c r="I56" s="85"/>
      <c r="J56" s="85"/>
      <c r="K56" s="58"/>
      <c r="L56" s="58"/>
      <c r="M56" s="58"/>
      <c r="N56" s="58"/>
      <c r="O56" s="59"/>
      <c r="P56" s="51"/>
    </row>
    <row r="57" spans="1:16" ht="23.85" customHeight="1" x14ac:dyDescent="0.35">
      <c r="A57" s="30"/>
      <c r="B57" s="55"/>
      <c r="C57" s="30"/>
      <c r="D57" s="79"/>
      <c r="E57" s="89"/>
      <c r="F57" s="80" t="s">
        <v>18</v>
      </c>
      <c r="G57" s="88" t="str">
        <f>"İsim Unvan : "&amp;'Senet Borçlu Alacaklı Giriş'!$C$9</f>
        <v>İsim Unvan : Adem Duman</v>
      </c>
      <c r="H57" s="88"/>
      <c r="I57" s="88"/>
      <c r="J57" s="88"/>
      <c r="K57" s="32"/>
      <c r="L57" s="60"/>
      <c r="M57" s="32"/>
      <c r="N57" s="32"/>
      <c r="O57" s="33"/>
      <c r="P57" s="51"/>
    </row>
    <row r="58" spans="1:16" ht="23.85" customHeight="1" x14ac:dyDescent="0.35">
      <c r="A58" s="30"/>
      <c r="B58" s="42"/>
      <c r="C58" s="30"/>
      <c r="D58" s="53" t="s">
        <v>50</v>
      </c>
      <c r="E58" s="89"/>
      <c r="F58" s="80"/>
      <c r="G58" s="83" t="str">
        <f>"Adres : " &amp;'Senet Borçlu Alacaklı Giriş'!$C$10</f>
        <v>Adres : Esentepe Mah. Şehit Ulaşar Cad. Belde Sitesi B Blk. K1: D:3 TOKAT</v>
      </c>
      <c r="H58" s="83"/>
      <c r="I58" s="83"/>
      <c r="J58" s="83"/>
      <c r="K58" s="30"/>
      <c r="L58" s="30"/>
      <c r="M58" s="30"/>
      <c r="N58" s="30"/>
      <c r="O58" s="51"/>
      <c r="P58" s="51"/>
    </row>
    <row r="59" spans="1:16" ht="23.85" customHeight="1" x14ac:dyDescent="0.35">
      <c r="A59" s="30"/>
      <c r="B59" s="55"/>
      <c r="C59" s="30"/>
      <c r="D59" s="61">
        <f>'Senet Taksit Giriş'!D5</f>
        <v>45595</v>
      </c>
      <c r="E59" s="89"/>
      <c r="F59" s="80"/>
      <c r="G59" s="83"/>
      <c r="H59" s="83"/>
      <c r="I59" s="83"/>
      <c r="J59" s="83"/>
      <c r="K59" s="30"/>
      <c r="L59" s="43" t="s">
        <v>49</v>
      </c>
      <c r="M59" s="30"/>
      <c r="N59" s="30"/>
      <c r="O59" s="51"/>
      <c r="P59" s="51"/>
    </row>
    <row r="60" spans="1:16" ht="23.85" customHeight="1" x14ac:dyDescent="0.35">
      <c r="A60" s="30"/>
      <c r="B60" s="42"/>
      <c r="C60" s="30"/>
      <c r="D60" s="53" t="s">
        <v>51</v>
      </c>
      <c r="E60" s="89"/>
      <c r="F60" s="80"/>
      <c r="G60" s="84" t="str">
        <f>"Vergi Dairesi : "&amp;'Senet Borçlu Alacaklı Giriş'!$C$11</f>
        <v>Vergi Dairesi : Tokat</v>
      </c>
      <c r="H60" s="84"/>
      <c r="I60" s="84"/>
      <c r="J60" s="84"/>
      <c r="K60" s="30"/>
      <c r="L60" s="30"/>
      <c r="M60" s="30"/>
      <c r="N60" s="30"/>
      <c r="O60" s="51"/>
      <c r="P60" s="51"/>
    </row>
    <row r="61" spans="1:16" ht="23.85" customHeight="1" x14ac:dyDescent="0.35">
      <c r="A61" s="30"/>
      <c r="B61" s="42"/>
      <c r="C61" s="30"/>
      <c r="D61" s="61">
        <f>'Senet Taksit Giriş'!C5</f>
        <v>45503</v>
      </c>
      <c r="E61" s="89"/>
      <c r="F61" s="80"/>
      <c r="G61" s="85" t="str">
        <f>"Vergi No / TC Kimlik No : "&amp;'Senet Borçlu Alacaklı Giriş'!$C$12</f>
        <v>Vergi No / TC Kimlik No : 341 3267 6260</v>
      </c>
      <c r="H61" s="85"/>
      <c r="I61" s="85"/>
      <c r="J61" s="85"/>
      <c r="K61" s="58"/>
      <c r="L61" s="58"/>
      <c r="M61" s="58"/>
      <c r="N61" s="58"/>
      <c r="O61" s="59"/>
      <c r="P61" s="51"/>
    </row>
    <row r="62" spans="1:16" ht="23.85" customHeight="1" x14ac:dyDescent="0.35">
      <c r="A62" s="30"/>
      <c r="B62" s="62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9"/>
    </row>
    <row r="63" spans="1:16" ht="23.85" customHeight="1" x14ac:dyDescent="0.35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3"/>
    </row>
    <row r="64" spans="1:16" ht="23.85" customHeight="1" x14ac:dyDescent="0.35">
      <c r="A64" s="35"/>
      <c r="B64" s="36"/>
      <c r="C64" s="35"/>
      <c r="D64" s="37" t="s">
        <v>40</v>
      </c>
      <c r="E64" s="89" t="str">
        <f>$D71 &amp;"    - Taksit No: " &amp; $D66&amp;"  "</f>
        <v xml:space="preserve">Adem Duman    - Taksit No: # 4 #  </v>
      </c>
      <c r="F64" s="35"/>
      <c r="G64" s="38" t="s">
        <v>41</v>
      </c>
      <c r="H64" s="35"/>
      <c r="I64" s="38" t="s">
        <v>42</v>
      </c>
      <c r="J64" s="38" t="s">
        <v>43</v>
      </c>
      <c r="K64"/>
      <c r="L64" s="35"/>
      <c r="M64" s="38" t="s">
        <v>44</v>
      </c>
      <c r="N64" s="39"/>
      <c r="O64" s="38" t="s">
        <v>22</v>
      </c>
      <c r="P64" s="40"/>
    </row>
    <row r="65" spans="1:16" ht="23.85" customHeight="1" x14ac:dyDescent="0.35">
      <c r="A65" s="30"/>
      <c r="B65" s="42"/>
      <c r="C65" s="43"/>
      <c r="D65" s="44" t="s">
        <v>45</v>
      </c>
      <c r="E65" s="89"/>
      <c r="F65" s="30"/>
      <c r="G65" s="45">
        <f>D79</f>
        <v>45626</v>
      </c>
      <c r="H65" s="46"/>
      <c r="I65" s="47" t="str">
        <f>D68</f>
        <v># 17.000 TL #</v>
      </c>
      <c r="J65" s="48" t="str">
        <f>D69</f>
        <v>#   Krş #</v>
      </c>
      <c r="K65"/>
      <c r="L65" s="46"/>
      <c r="M65" s="49" t="str">
        <f>D66</f>
        <v># 4 #</v>
      </c>
      <c r="N65" s="39"/>
      <c r="O65" s="50">
        <f>D81</f>
        <v>45503</v>
      </c>
      <c r="P65" s="51"/>
    </row>
    <row r="66" spans="1:16" ht="23.85" customHeight="1" x14ac:dyDescent="0.35">
      <c r="A66" s="30"/>
      <c r="B66" s="42"/>
      <c r="C66" s="43"/>
      <c r="D66" s="52" t="str">
        <f>"# "&amp;TEXT(INT('Senet Taksit Giriş'!B6),"##.##0")&amp;" #"</f>
        <v># 4 #</v>
      </c>
      <c r="E66" s="8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51"/>
    </row>
    <row r="67" spans="1:16" ht="23.85" customHeight="1" x14ac:dyDescent="0.35">
      <c r="A67" s="30"/>
      <c r="B67" s="42"/>
      <c r="C67" s="43"/>
      <c r="D67" s="53" t="s">
        <v>46</v>
      </c>
      <c r="E67" s="89"/>
      <c r="F67" s="86" t="str">
        <f>"   İş bu emre muharrer senedim"&amp;IF('Senet Borçlu Alacaklı Giriş'!$C$4="Gerçek Kişi","in","izin")&amp;" mükabilinde "&amp;TEXT(G65,"dd mmmm yyyy")&amp;" tarihinde Sayın : "&amp;'Senet Borçlu Alacaklı Giriş'!$C$1&amp;" 'ya veyahut emruhavalesine yukarıda yazılı Yalnız # "&amp;'Senet Taksit Giriş'!F6&amp;" # ödeyeceği"&amp;IF('Senet Borçlu Alacaklı Giriş'!$C$4="Gerçek Kişi","m.","z.")&amp;" Bedeli "&amp;'Senet Taksit Giriş'!G6&amp;"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67" s="86"/>
      <c r="H67" s="86"/>
      <c r="I67" s="86"/>
      <c r="J67" s="86"/>
      <c r="K67" s="86"/>
      <c r="L67" s="86"/>
      <c r="M67" s="86"/>
      <c r="N67" s="86"/>
      <c r="O67" s="86"/>
      <c r="P67" s="51"/>
    </row>
    <row r="68" spans="1:16" ht="23.85" customHeight="1" x14ac:dyDescent="0.35">
      <c r="A68" s="30"/>
      <c r="B68" s="42"/>
      <c r="C68" s="43"/>
      <c r="D68" s="54" t="str">
        <f>"# "&amp;TEXT(INT('Senet Taksit Giriş'!E6),"##.##0")&amp;" TL #"</f>
        <v># 17.000 TL #</v>
      </c>
      <c r="E68" s="89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51"/>
    </row>
    <row r="69" spans="1:16" ht="23.85" customHeight="1" x14ac:dyDescent="0.35">
      <c r="A69" s="30"/>
      <c r="B69" s="42"/>
      <c r="C69" s="30"/>
      <c r="D69" s="52" t="str">
        <f>"# "&amp;TEXT(('Senet Taksit Giriş'!E68-INT('Senet Taksit Giriş'!E68))*100,"##.##")&amp;"  Krş #"</f>
        <v>#   Krş #</v>
      </c>
      <c r="E69" s="89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51"/>
    </row>
    <row r="70" spans="1:16" ht="23.85" customHeight="1" x14ac:dyDescent="0.35">
      <c r="A70" s="30"/>
      <c r="B70" s="42"/>
      <c r="C70" s="30"/>
      <c r="D70" s="53" t="s">
        <v>47</v>
      </c>
      <c r="E70" s="89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51"/>
    </row>
    <row r="71" spans="1:16" ht="23.85" customHeight="1" x14ac:dyDescent="0.35">
      <c r="A71" s="30"/>
      <c r="B71" s="55"/>
      <c r="C71" s="30"/>
      <c r="D71" s="79" t="str">
        <f>$D$9</f>
        <v>Adem Duman</v>
      </c>
      <c r="E71" s="89"/>
      <c r="F71"/>
      <c r="G71"/>
      <c r="H71"/>
      <c r="I71"/>
      <c r="J71"/>
      <c r="K71"/>
      <c r="L71"/>
      <c r="M71"/>
      <c r="N71"/>
      <c r="O71"/>
      <c r="P71" s="51"/>
    </row>
    <row r="72" spans="1:16" ht="23.85" customHeight="1" x14ac:dyDescent="0.35">
      <c r="A72" s="30"/>
      <c r="B72" s="42"/>
      <c r="C72" s="30"/>
      <c r="D72" s="79"/>
      <c r="E72" s="89"/>
      <c r="F72" s="80" t="s">
        <v>48</v>
      </c>
      <c r="G72" s="88" t="str">
        <f>"İsim : "&amp;$D71</f>
        <v>İsim : Adem Duman</v>
      </c>
      <c r="H72" s="88"/>
      <c r="I72" s="88"/>
      <c r="J72" s="88"/>
      <c r="K72" s="32"/>
      <c r="L72" s="32"/>
      <c r="M72" s="82"/>
      <c r="N72" s="82"/>
      <c r="O72" s="33"/>
      <c r="P72" s="51"/>
    </row>
    <row r="73" spans="1:16" ht="23.85" customHeight="1" x14ac:dyDescent="0.35">
      <c r="A73" s="30"/>
      <c r="B73" s="56"/>
      <c r="C73" s="57"/>
      <c r="D73" s="79"/>
      <c r="E73" s="89"/>
      <c r="F73" s="80"/>
      <c r="G73" s="83" t="str">
        <f>"Adres : " &amp;'Senet Borçlu Alacaklı Giriş'!$C$6</f>
        <v>Adres : Hızarhane Cad. No:5 TOKAT</v>
      </c>
      <c r="H73" s="83"/>
      <c r="I73" s="83"/>
      <c r="J73" s="83"/>
      <c r="K73" s="83"/>
      <c r="L73" s="30"/>
      <c r="M73" s="30"/>
      <c r="N73" s="30"/>
      <c r="O73" s="51"/>
      <c r="P73" s="51"/>
    </row>
    <row r="74" spans="1:16" ht="23.85" customHeight="1" x14ac:dyDescent="0.35">
      <c r="A74" s="30"/>
      <c r="B74" s="56"/>
      <c r="C74" s="57"/>
      <c r="D74" s="79"/>
      <c r="E74" s="89"/>
      <c r="F74" s="80"/>
      <c r="G74" s="83"/>
      <c r="H74" s="83"/>
      <c r="I74" s="83"/>
      <c r="J74" s="83"/>
      <c r="K74" s="83"/>
      <c r="L74" s="43" t="s">
        <v>49</v>
      </c>
      <c r="M74" s="43"/>
      <c r="N74" s="39"/>
      <c r="O74" s="51"/>
      <c r="P74" s="51"/>
    </row>
    <row r="75" spans="1:16" ht="23.85" customHeight="1" x14ac:dyDescent="0.35">
      <c r="A75" s="30"/>
      <c r="B75" s="56"/>
      <c r="C75" s="57"/>
      <c r="D75" s="79"/>
      <c r="E75" s="89"/>
      <c r="F75" s="80"/>
      <c r="G75" s="84" t="str">
        <f>"Vergi Dairesi : "&amp;'Senet Borçlu Alacaklı Giriş'!$C$7</f>
        <v>Vergi Dairesi : Tokat</v>
      </c>
      <c r="H75" s="84"/>
      <c r="I75" s="84"/>
      <c r="J75" s="84"/>
      <c r="K75" s="30"/>
      <c r="L75" s="30"/>
      <c r="M75" s="30"/>
      <c r="N75" s="30"/>
      <c r="O75" s="51"/>
      <c r="P75" s="51"/>
    </row>
    <row r="76" spans="1:16" ht="23.85" customHeight="1" x14ac:dyDescent="0.35">
      <c r="A76" s="30"/>
      <c r="B76" s="42"/>
      <c r="C76" s="30"/>
      <c r="D76" s="79"/>
      <c r="E76" s="89"/>
      <c r="F76" s="80"/>
      <c r="G76" s="85" t="str">
        <f>"Vergi No / TC Kimlik No : "&amp;'Senet Borçlu Alacaklı Giriş'!$C$8</f>
        <v>Vergi No / TC Kimlik No : 341 3267 6260</v>
      </c>
      <c r="H76" s="85"/>
      <c r="I76" s="85"/>
      <c r="J76" s="85"/>
      <c r="K76" s="58"/>
      <c r="L76" s="58"/>
      <c r="M76" s="58"/>
      <c r="N76" s="58"/>
      <c r="O76" s="59"/>
      <c r="P76" s="51"/>
    </row>
    <row r="77" spans="1:16" ht="23.85" customHeight="1" x14ac:dyDescent="0.35">
      <c r="A77" s="30"/>
      <c r="B77" s="55"/>
      <c r="C77" s="30"/>
      <c r="D77" s="79"/>
      <c r="E77" s="89"/>
      <c r="F77" s="80" t="s">
        <v>18</v>
      </c>
      <c r="G77" s="88" t="str">
        <f>"İsim Unvan : "&amp;'Senet Borçlu Alacaklı Giriş'!$C$9</f>
        <v>İsim Unvan : Adem Duman</v>
      </c>
      <c r="H77" s="88"/>
      <c r="I77" s="88"/>
      <c r="J77" s="88"/>
      <c r="K77" s="32"/>
      <c r="L77" s="60"/>
      <c r="M77" s="32"/>
      <c r="N77" s="32"/>
      <c r="O77" s="33"/>
      <c r="P77" s="51"/>
    </row>
    <row r="78" spans="1:16" ht="23.85" customHeight="1" x14ac:dyDescent="0.35">
      <c r="A78" s="30"/>
      <c r="B78" s="42"/>
      <c r="C78" s="30"/>
      <c r="D78" s="53" t="s">
        <v>50</v>
      </c>
      <c r="E78" s="89"/>
      <c r="F78" s="80"/>
      <c r="G78" s="83" t="str">
        <f>"Adres : " &amp;'Senet Borçlu Alacaklı Giriş'!$C$10</f>
        <v>Adres : Esentepe Mah. Şehit Ulaşar Cad. Belde Sitesi B Blk. K1: D:3 TOKAT</v>
      </c>
      <c r="H78" s="83"/>
      <c r="I78" s="83"/>
      <c r="J78" s="83"/>
      <c r="K78" s="30"/>
      <c r="L78" s="30"/>
      <c r="M78" s="30"/>
      <c r="N78" s="30"/>
      <c r="O78" s="51"/>
      <c r="P78" s="51"/>
    </row>
    <row r="79" spans="1:16" ht="23.85" customHeight="1" x14ac:dyDescent="0.35">
      <c r="A79" s="30"/>
      <c r="B79" s="55"/>
      <c r="C79" s="30"/>
      <c r="D79" s="61">
        <f>'Senet Taksit Giriş'!D6</f>
        <v>45626</v>
      </c>
      <c r="E79" s="89"/>
      <c r="F79" s="80"/>
      <c r="G79" s="83"/>
      <c r="H79" s="83"/>
      <c r="I79" s="83"/>
      <c r="J79" s="83"/>
      <c r="K79" s="30"/>
      <c r="L79" s="43" t="s">
        <v>49</v>
      </c>
      <c r="M79" s="30"/>
      <c r="N79" s="30"/>
      <c r="O79" s="51"/>
      <c r="P79" s="51"/>
    </row>
    <row r="80" spans="1:16" ht="23.85" customHeight="1" x14ac:dyDescent="0.35">
      <c r="A80" s="30"/>
      <c r="B80" s="42"/>
      <c r="C80" s="30"/>
      <c r="D80" s="53" t="s">
        <v>51</v>
      </c>
      <c r="E80" s="89"/>
      <c r="F80" s="80"/>
      <c r="G80" s="84" t="str">
        <f>"Vergi Dairesi : "&amp;'Senet Borçlu Alacaklı Giriş'!$C$11</f>
        <v>Vergi Dairesi : Tokat</v>
      </c>
      <c r="H80" s="84"/>
      <c r="I80" s="84"/>
      <c r="J80" s="84"/>
      <c r="K80" s="30"/>
      <c r="L80" s="30"/>
      <c r="M80" s="30"/>
      <c r="N80" s="30"/>
      <c r="O80" s="51"/>
      <c r="P80" s="51"/>
    </row>
    <row r="81" spans="1:16" ht="23.85" customHeight="1" x14ac:dyDescent="0.35">
      <c r="A81" s="30"/>
      <c r="B81" s="42"/>
      <c r="C81" s="30"/>
      <c r="D81" s="61">
        <f>'Senet Taksit Giriş'!C6</f>
        <v>45503</v>
      </c>
      <c r="E81" s="89"/>
      <c r="F81" s="80"/>
      <c r="G81" s="85" t="str">
        <f>"Vergi No / TC Kimlik No : "&amp;'Senet Borçlu Alacaklı Giriş'!$C$12</f>
        <v>Vergi No / TC Kimlik No : 341 3267 6260</v>
      </c>
      <c r="H81" s="85"/>
      <c r="I81" s="85"/>
      <c r="J81" s="85"/>
      <c r="K81" s="58"/>
      <c r="L81" s="58"/>
      <c r="M81" s="58"/>
      <c r="N81" s="58"/>
      <c r="O81" s="59"/>
      <c r="P81" s="51"/>
    </row>
    <row r="82" spans="1:16" ht="23.85" customHeight="1" x14ac:dyDescent="0.35">
      <c r="A82" s="30"/>
      <c r="B82" s="62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9"/>
    </row>
    <row r="84" spans="1:16" ht="23.85" customHeight="1" x14ac:dyDescent="0.35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3"/>
    </row>
    <row r="85" spans="1:16" ht="23.85" customHeight="1" x14ac:dyDescent="0.35">
      <c r="A85" s="35"/>
      <c r="B85" s="36"/>
      <c r="C85" s="35"/>
      <c r="D85" s="37" t="s">
        <v>40</v>
      </c>
      <c r="E85" s="89" t="str">
        <f>$D92 &amp;"    - Taksit No: " &amp; $D87&amp;"  "</f>
        <v xml:space="preserve">Adem Duman    - Taksit No: # 5 #  </v>
      </c>
      <c r="F85" s="35"/>
      <c r="G85" s="38" t="s">
        <v>41</v>
      </c>
      <c r="H85" s="35"/>
      <c r="I85" s="38" t="s">
        <v>42</v>
      </c>
      <c r="J85" s="38" t="s">
        <v>43</v>
      </c>
      <c r="K85"/>
      <c r="L85" s="35"/>
      <c r="M85" s="38" t="s">
        <v>44</v>
      </c>
      <c r="N85" s="39"/>
      <c r="O85" s="38" t="s">
        <v>22</v>
      </c>
      <c r="P85" s="40"/>
    </row>
    <row r="86" spans="1:16" ht="23.85" customHeight="1" x14ac:dyDescent="0.35">
      <c r="A86" s="30"/>
      <c r="B86" s="42"/>
      <c r="C86" s="43"/>
      <c r="D86" s="44" t="s">
        <v>45</v>
      </c>
      <c r="E86" s="89"/>
      <c r="F86" s="30"/>
      <c r="G86" s="45">
        <f>D100</f>
        <v>45656</v>
      </c>
      <c r="H86" s="46"/>
      <c r="I86" s="47" t="str">
        <f>D89</f>
        <v># 17.000 TL #</v>
      </c>
      <c r="J86" s="48" t="str">
        <f>D90</f>
        <v>#   Krş #</v>
      </c>
      <c r="K86"/>
      <c r="L86" s="46"/>
      <c r="M86" s="49" t="str">
        <f>D87</f>
        <v># 5 #</v>
      </c>
      <c r="N86" s="39"/>
      <c r="O86" s="50">
        <f>D102</f>
        <v>45503</v>
      </c>
      <c r="P86" s="51"/>
    </row>
    <row r="87" spans="1:16" ht="23.85" customHeight="1" x14ac:dyDescent="0.35">
      <c r="A87" s="30"/>
      <c r="B87" s="42"/>
      <c r="C87" s="43"/>
      <c r="D87" s="52" t="str">
        <f>"# "&amp;TEXT(INT('Senet Taksit Giriş'!B7),"##.##0")&amp;" #"</f>
        <v># 5 #</v>
      </c>
      <c r="E87" s="8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51"/>
    </row>
    <row r="88" spans="1:16" ht="23.85" customHeight="1" x14ac:dyDescent="0.35">
      <c r="A88" s="30"/>
      <c r="B88" s="42"/>
      <c r="C88" s="43"/>
      <c r="D88" s="53" t="s">
        <v>46</v>
      </c>
      <c r="E88" s="89"/>
      <c r="F88" s="86" t="str">
        <f>"   İş bu emre muharrer senedim"&amp;IF('Senet Borçlu Alacaklı Giriş'!$C$4="Gerçek Kişi","in","izin")&amp;" mükabilinde "&amp;TEXT(G86,"dd mmmm yyyy")&amp;" tarihinde Sayın : "&amp;'Senet Borçlu Alacaklı Giriş'!$C$1&amp;" 'ya veyahut emruhavalesine yukarıda yazılı Yalnız # "&amp;'Senet Taksit Giriş'!F7&amp;" # ödeyeceği"&amp;IF('Senet Borçlu Alacaklı Giriş'!$C$4="Gerçek Kişi","m.","z.")&amp;" Bedeli "&amp;'Senet Taksit Giriş'!G7&amp;"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2024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88" s="86"/>
      <c r="H88" s="86"/>
      <c r="I88" s="86"/>
      <c r="J88" s="86"/>
      <c r="K88" s="86"/>
      <c r="L88" s="86"/>
      <c r="M88" s="86"/>
      <c r="N88" s="86"/>
      <c r="O88" s="86"/>
      <c r="P88" s="51"/>
    </row>
    <row r="89" spans="1:16" ht="23.85" customHeight="1" x14ac:dyDescent="0.35">
      <c r="A89" s="30"/>
      <c r="B89" s="42"/>
      <c r="C89" s="43"/>
      <c r="D89" s="54" t="str">
        <f>"# "&amp;TEXT(INT('Senet Taksit Giriş'!E7),"##.##0")&amp;" TL #"</f>
        <v># 17.000 TL #</v>
      </c>
      <c r="E89" s="89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51"/>
    </row>
    <row r="90" spans="1:16" ht="23.85" customHeight="1" x14ac:dyDescent="0.35">
      <c r="A90" s="30"/>
      <c r="B90" s="42"/>
      <c r="C90" s="30"/>
      <c r="D90" s="52" t="str">
        <f>"# "&amp;TEXT(('Senet Taksit Giriş'!E90-INT('Senet Taksit Giriş'!E90))*100,"##.##")&amp;"  Krş #"</f>
        <v>#   Krş #</v>
      </c>
      <c r="E90" s="89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51"/>
    </row>
    <row r="91" spans="1:16" ht="23.85" customHeight="1" x14ac:dyDescent="0.35">
      <c r="A91" s="30"/>
      <c r="B91" s="42"/>
      <c r="C91" s="30"/>
      <c r="D91" s="53" t="s">
        <v>47</v>
      </c>
      <c r="E91" s="89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51"/>
    </row>
    <row r="92" spans="1:16" ht="23.85" customHeight="1" x14ac:dyDescent="0.35">
      <c r="A92" s="30"/>
      <c r="B92" s="55"/>
      <c r="C92" s="30"/>
      <c r="D92" s="79" t="str">
        <f>$D$9</f>
        <v>Adem Duman</v>
      </c>
      <c r="E92" s="89"/>
      <c r="F92"/>
      <c r="G92"/>
      <c r="H92"/>
      <c r="I92"/>
      <c r="J92"/>
      <c r="K92"/>
      <c r="L92"/>
      <c r="M92"/>
      <c r="N92"/>
      <c r="O92"/>
      <c r="P92" s="51"/>
    </row>
    <row r="93" spans="1:16" ht="23.85" customHeight="1" x14ac:dyDescent="0.35">
      <c r="A93" s="30"/>
      <c r="B93" s="42"/>
      <c r="C93" s="30"/>
      <c r="D93" s="79"/>
      <c r="E93" s="89"/>
      <c r="F93" s="80" t="s">
        <v>48</v>
      </c>
      <c r="G93" s="88" t="str">
        <f>"İsim : "&amp;$D92</f>
        <v>İsim : Adem Duman</v>
      </c>
      <c r="H93" s="88"/>
      <c r="I93" s="88"/>
      <c r="J93" s="88"/>
      <c r="K93" s="32"/>
      <c r="L93" s="32"/>
      <c r="M93" s="82"/>
      <c r="N93" s="82"/>
      <c r="O93" s="33"/>
      <c r="P93" s="51"/>
    </row>
    <row r="94" spans="1:16" ht="23.85" customHeight="1" x14ac:dyDescent="0.35">
      <c r="A94" s="30"/>
      <c r="B94" s="56"/>
      <c r="C94" s="57"/>
      <c r="D94" s="79"/>
      <c r="E94" s="89"/>
      <c r="F94" s="80"/>
      <c r="G94" s="83" t="str">
        <f>"Adres : " &amp;'Senet Borçlu Alacaklı Giriş'!$C$6</f>
        <v>Adres : Hızarhane Cad. No:5 TOKAT</v>
      </c>
      <c r="H94" s="83"/>
      <c r="I94" s="83"/>
      <c r="J94" s="83"/>
      <c r="K94" s="83"/>
      <c r="L94" s="30"/>
      <c r="M94" s="30"/>
      <c r="N94" s="30"/>
      <c r="O94" s="51"/>
      <c r="P94" s="51"/>
    </row>
    <row r="95" spans="1:16" ht="23.85" customHeight="1" x14ac:dyDescent="0.35">
      <c r="A95" s="30"/>
      <c r="B95" s="56"/>
      <c r="C95" s="57"/>
      <c r="D95" s="79"/>
      <c r="E95" s="89"/>
      <c r="F95" s="80"/>
      <c r="G95" s="83"/>
      <c r="H95" s="83"/>
      <c r="I95" s="83"/>
      <c r="J95" s="83"/>
      <c r="K95" s="83"/>
      <c r="L95" s="43" t="s">
        <v>49</v>
      </c>
      <c r="M95" s="43"/>
      <c r="N95" s="39"/>
      <c r="O95" s="51"/>
      <c r="P95" s="51"/>
    </row>
    <row r="96" spans="1:16" ht="23.85" customHeight="1" x14ac:dyDescent="0.35">
      <c r="A96" s="30"/>
      <c r="B96" s="56"/>
      <c r="C96" s="57"/>
      <c r="D96" s="79"/>
      <c r="E96" s="89"/>
      <c r="F96" s="80"/>
      <c r="G96" s="84" t="str">
        <f>"Vergi Dairesi : "&amp;'Senet Borçlu Alacaklı Giriş'!$C$7</f>
        <v>Vergi Dairesi : Tokat</v>
      </c>
      <c r="H96" s="84"/>
      <c r="I96" s="84"/>
      <c r="J96" s="84"/>
      <c r="K96" s="30"/>
      <c r="L96" s="30"/>
      <c r="M96" s="30"/>
      <c r="N96" s="30"/>
      <c r="O96" s="51"/>
      <c r="P96" s="51"/>
    </row>
    <row r="97" spans="1:16" ht="23.85" customHeight="1" x14ac:dyDescent="0.35">
      <c r="A97" s="30"/>
      <c r="B97" s="42"/>
      <c r="C97" s="30"/>
      <c r="D97" s="79"/>
      <c r="E97" s="89"/>
      <c r="F97" s="80"/>
      <c r="G97" s="85" t="str">
        <f>"Vergi No / TC Kimlik No : "&amp;'Senet Borçlu Alacaklı Giriş'!$C$8</f>
        <v>Vergi No / TC Kimlik No : 341 3267 6260</v>
      </c>
      <c r="H97" s="85"/>
      <c r="I97" s="85"/>
      <c r="J97" s="85"/>
      <c r="K97" s="58"/>
      <c r="L97" s="58"/>
      <c r="M97" s="58"/>
      <c r="N97" s="58"/>
      <c r="O97" s="59"/>
      <c r="P97" s="51"/>
    </row>
    <row r="98" spans="1:16" ht="23.85" customHeight="1" x14ac:dyDescent="0.35">
      <c r="A98" s="30"/>
      <c r="B98" s="55"/>
      <c r="C98" s="30"/>
      <c r="D98" s="79"/>
      <c r="E98" s="89"/>
      <c r="F98" s="80" t="s">
        <v>18</v>
      </c>
      <c r="G98" s="88" t="str">
        <f>"İsim Unvan : "&amp;'Senet Borçlu Alacaklı Giriş'!$C$9</f>
        <v>İsim Unvan : Adem Duman</v>
      </c>
      <c r="H98" s="88"/>
      <c r="I98" s="88"/>
      <c r="J98" s="88"/>
      <c r="K98" s="32"/>
      <c r="L98" s="60"/>
      <c r="M98" s="32"/>
      <c r="N98" s="32"/>
      <c r="O98" s="33"/>
      <c r="P98" s="51"/>
    </row>
    <row r="99" spans="1:16" ht="23.85" customHeight="1" x14ac:dyDescent="0.35">
      <c r="A99" s="30"/>
      <c r="B99" s="42"/>
      <c r="C99" s="30"/>
      <c r="D99" s="53" t="s">
        <v>50</v>
      </c>
      <c r="E99" s="89"/>
      <c r="F99" s="80"/>
      <c r="G99" s="83" t="str">
        <f>"Adres : " &amp;'Senet Borçlu Alacaklı Giriş'!$C$10</f>
        <v>Adres : Esentepe Mah. Şehit Ulaşar Cad. Belde Sitesi B Blk. K1: D:3 TOKAT</v>
      </c>
      <c r="H99" s="83"/>
      <c r="I99" s="83"/>
      <c r="J99" s="83"/>
      <c r="K99" s="30"/>
      <c r="L99" s="30"/>
      <c r="M99" s="30"/>
      <c r="N99" s="30"/>
      <c r="O99" s="51"/>
      <c r="P99" s="51"/>
    </row>
    <row r="100" spans="1:16" ht="23.85" customHeight="1" x14ac:dyDescent="0.35">
      <c r="A100" s="30"/>
      <c r="B100" s="55"/>
      <c r="C100" s="30"/>
      <c r="D100" s="61">
        <f>'Senet Taksit Giriş'!D7</f>
        <v>45656</v>
      </c>
      <c r="E100" s="89"/>
      <c r="F100" s="80"/>
      <c r="G100" s="83"/>
      <c r="H100" s="83"/>
      <c r="I100" s="83"/>
      <c r="J100" s="83"/>
      <c r="K100" s="30"/>
      <c r="L100" s="43" t="s">
        <v>49</v>
      </c>
      <c r="M100" s="30"/>
      <c r="N100" s="30"/>
      <c r="O100" s="51"/>
      <c r="P100" s="51"/>
    </row>
    <row r="101" spans="1:16" ht="23.85" customHeight="1" x14ac:dyDescent="0.35">
      <c r="A101" s="30"/>
      <c r="B101" s="42"/>
      <c r="C101" s="30"/>
      <c r="D101" s="53" t="s">
        <v>51</v>
      </c>
      <c r="E101" s="89"/>
      <c r="F101" s="80"/>
      <c r="G101" s="84" t="str">
        <f>"Vergi Dairesi : "&amp;'Senet Borçlu Alacaklı Giriş'!$C$11</f>
        <v>Vergi Dairesi : Tokat</v>
      </c>
      <c r="H101" s="84"/>
      <c r="I101" s="84"/>
      <c r="J101" s="84"/>
      <c r="K101" s="30"/>
      <c r="L101" s="30"/>
      <c r="M101" s="30"/>
      <c r="N101" s="30"/>
      <c r="O101" s="51"/>
      <c r="P101" s="51"/>
    </row>
    <row r="102" spans="1:16" ht="23.85" customHeight="1" x14ac:dyDescent="0.35">
      <c r="A102" s="30"/>
      <c r="B102" s="42"/>
      <c r="C102" s="30"/>
      <c r="D102" s="61">
        <f>'Senet Taksit Giriş'!C7</f>
        <v>45503</v>
      </c>
      <c r="E102" s="89"/>
      <c r="F102" s="80"/>
      <c r="G102" s="85" t="str">
        <f>"Vergi No / TC Kimlik No : "&amp;'Senet Borçlu Alacaklı Giriş'!$C$12</f>
        <v>Vergi No / TC Kimlik No : 341 3267 6260</v>
      </c>
      <c r="H102" s="85"/>
      <c r="I102" s="85"/>
      <c r="J102" s="85"/>
      <c r="K102" s="58"/>
      <c r="L102" s="58"/>
      <c r="M102" s="58"/>
      <c r="N102" s="58"/>
      <c r="O102" s="59"/>
      <c r="P102" s="51"/>
    </row>
    <row r="103" spans="1:16" ht="23.85" customHeight="1" x14ac:dyDescent="0.35">
      <c r="A103" s="30"/>
      <c r="B103" s="62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9"/>
    </row>
    <row r="105" spans="1:16" ht="23.85" customHeight="1" x14ac:dyDescent="0.35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3"/>
    </row>
    <row r="106" spans="1:16" ht="23.85" customHeight="1" x14ac:dyDescent="0.35">
      <c r="A106" s="35"/>
      <c r="B106" s="36"/>
      <c r="C106" s="35"/>
      <c r="D106" s="37" t="s">
        <v>40</v>
      </c>
      <c r="E106" s="89" t="str">
        <f>$D113 &amp;"    - Taksit No: " &amp; $D108&amp;"  "</f>
        <v xml:space="preserve">Adem Duman    - Taksit No: # 6 #  </v>
      </c>
      <c r="F106" s="35"/>
      <c r="G106" s="38" t="s">
        <v>41</v>
      </c>
      <c r="H106" s="35"/>
      <c r="I106" s="38" t="s">
        <v>42</v>
      </c>
      <c r="J106" s="38" t="s">
        <v>43</v>
      </c>
      <c r="K106"/>
      <c r="L106" s="35"/>
      <c r="M106" s="38" t="s">
        <v>44</v>
      </c>
      <c r="N106" s="39"/>
      <c r="O106" s="38" t="s">
        <v>22</v>
      </c>
      <c r="P106" s="40"/>
    </row>
    <row r="107" spans="1:16" ht="23.85" customHeight="1" x14ac:dyDescent="0.35">
      <c r="A107" s="30"/>
      <c r="B107" s="42"/>
      <c r="C107" s="43"/>
      <c r="D107" s="44" t="s">
        <v>45</v>
      </c>
      <c r="E107" s="89"/>
      <c r="F107" s="30"/>
      <c r="G107" s="45">
        <f>D121</f>
        <v>45687</v>
      </c>
      <c r="H107" s="46"/>
      <c r="I107" s="47" t="str">
        <f>D110</f>
        <v># 17.000 TL #</v>
      </c>
      <c r="J107" s="48" t="str">
        <f>D111</f>
        <v>#   Krş #</v>
      </c>
      <c r="K107"/>
      <c r="L107" s="46"/>
      <c r="M107" s="49" t="str">
        <f>D108</f>
        <v># 6 #</v>
      </c>
      <c r="N107" s="39"/>
      <c r="O107" s="50">
        <f>D123</f>
        <v>45503</v>
      </c>
      <c r="P107" s="51"/>
    </row>
    <row r="108" spans="1:16" ht="23.85" customHeight="1" x14ac:dyDescent="0.35">
      <c r="A108" s="30"/>
      <c r="B108" s="42"/>
      <c r="C108" s="43"/>
      <c r="D108" s="52" t="str">
        <f>"# "&amp;TEXT(INT('Senet Taksit Giriş'!B8),"##.##0")&amp;" #"</f>
        <v># 6 #</v>
      </c>
      <c r="E108" s="8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51"/>
    </row>
    <row r="109" spans="1:16" ht="23.85" customHeight="1" x14ac:dyDescent="0.35">
      <c r="A109" s="30"/>
      <c r="B109" s="42"/>
      <c r="C109" s="43"/>
      <c r="D109" s="53" t="s">
        <v>46</v>
      </c>
      <c r="E109" s="89"/>
      <c r="F109" s="86" t="str">
        <f>"   İş bu emre muharrer senedim"&amp;IF('Senet Borçlu Alacaklı Giriş'!$C$4="Gerçek Kişi","in","izin")&amp;" mükabilinde "&amp;TEXT(G107,"dd mmmm yyyy")&amp;" tarihinde Sayın : "&amp;'Senet Borçlu Alacaklı Giriş'!$C$1&amp;" 'ya veyahut emruhavalesine yukarıda yazılı Yalnız # "&amp;'Senet Taksit Giriş'!F8&amp;" # ödeyeceği"&amp;IF('Senet Borçlu Alacaklı Giriş'!$C$4="Gerçek Kişi","m.","z.")&amp;" Bedeli "&amp;'Senet Taksit Giriş'!G8&amp;"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09" s="86"/>
      <c r="H109" s="86"/>
      <c r="I109" s="86"/>
      <c r="J109" s="86"/>
      <c r="K109" s="86"/>
      <c r="L109" s="86"/>
      <c r="M109" s="86"/>
      <c r="N109" s="86"/>
      <c r="O109" s="86"/>
      <c r="P109" s="51"/>
    </row>
    <row r="110" spans="1:16" ht="23.85" customHeight="1" x14ac:dyDescent="0.35">
      <c r="A110" s="30"/>
      <c r="B110" s="42"/>
      <c r="C110" s="43"/>
      <c r="D110" s="54" t="str">
        <f>"# "&amp;TEXT(INT('Senet Taksit Giriş'!E8),"##.##0")&amp;" TL #"</f>
        <v># 17.000 TL #</v>
      </c>
      <c r="E110" s="89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51"/>
    </row>
    <row r="111" spans="1:16" ht="23.85" customHeight="1" x14ac:dyDescent="0.35">
      <c r="A111" s="30"/>
      <c r="B111" s="42"/>
      <c r="C111" s="30"/>
      <c r="D111" s="52" t="str">
        <f>"# "&amp;TEXT(('Senet Taksit Giriş'!E111-INT('Senet Taksit Giriş'!E111))*100,"##.##")&amp;"  Krş #"</f>
        <v>#   Krş #</v>
      </c>
      <c r="E111" s="89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51"/>
    </row>
    <row r="112" spans="1:16" ht="23.85" customHeight="1" x14ac:dyDescent="0.35">
      <c r="A112" s="30"/>
      <c r="B112" s="42"/>
      <c r="C112" s="30"/>
      <c r="D112" s="53" t="s">
        <v>47</v>
      </c>
      <c r="E112" s="89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51"/>
    </row>
    <row r="113" spans="1:16" ht="23.85" customHeight="1" x14ac:dyDescent="0.35">
      <c r="A113" s="30"/>
      <c r="B113" s="55"/>
      <c r="C113" s="30"/>
      <c r="D113" s="79" t="str">
        <f>$D$9</f>
        <v>Adem Duman</v>
      </c>
      <c r="E113" s="89"/>
      <c r="F113"/>
      <c r="G113"/>
      <c r="H113"/>
      <c r="I113"/>
      <c r="J113"/>
      <c r="K113"/>
      <c r="L113"/>
      <c r="M113"/>
      <c r="N113"/>
      <c r="O113"/>
      <c r="P113" s="51"/>
    </row>
    <row r="114" spans="1:16" ht="23.85" customHeight="1" x14ac:dyDescent="0.35">
      <c r="A114" s="30"/>
      <c r="B114" s="42"/>
      <c r="C114" s="30"/>
      <c r="D114" s="79"/>
      <c r="E114" s="89"/>
      <c r="F114" s="80" t="s">
        <v>48</v>
      </c>
      <c r="G114" s="88" t="str">
        <f>"İsim : "&amp;$D113</f>
        <v>İsim : Adem Duman</v>
      </c>
      <c r="H114" s="88"/>
      <c r="I114" s="88"/>
      <c r="J114" s="88"/>
      <c r="K114" s="32"/>
      <c r="L114" s="32"/>
      <c r="M114" s="82"/>
      <c r="N114" s="82"/>
      <c r="O114" s="33"/>
      <c r="P114" s="51"/>
    </row>
    <row r="115" spans="1:16" ht="23.85" customHeight="1" x14ac:dyDescent="0.35">
      <c r="A115" s="30"/>
      <c r="B115" s="56"/>
      <c r="C115" s="57"/>
      <c r="D115" s="79"/>
      <c r="E115" s="89"/>
      <c r="F115" s="80"/>
      <c r="G115" s="83" t="str">
        <f>"Adres : " &amp;'Senet Borçlu Alacaklı Giriş'!$C$6</f>
        <v>Adres : Hızarhane Cad. No:5 TOKAT</v>
      </c>
      <c r="H115" s="83"/>
      <c r="I115" s="83"/>
      <c r="J115" s="83"/>
      <c r="K115" s="83"/>
      <c r="L115" s="30"/>
      <c r="M115" s="30"/>
      <c r="N115" s="30"/>
      <c r="O115" s="51"/>
      <c r="P115" s="51"/>
    </row>
    <row r="116" spans="1:16" ht="23.85" customHeight="1" x14ac:dyDescent="0.35">
      <c r="A116" s="30"/>
      <c r="B116" s="56"/>
      <c r="C116" s="57"/>
      <c r="D116" s="79"/>
      <c r="E116" s="89"/>
      <c r="F116" s="80"/>
      <c r="G116" s="83"/>
      <c r="H116" s="83"/>
      <c r="I116" s="83"/>
      <c r="J116" s="83"/>
      <c r="K116" s="83"/>
      <c r="L116" s="43" t="s">
        <v>49</v>
      </c>
      <c r="M116" s="43"/>
      <c r="N116" s="39"/>
      <c r="O116" s="51"/>
      <c r="P116" s="51"/>
    </row>
    <row r="117" spans="1:16" ht="23.85" customHeight="1" x14ac:dyDescent="0.35">
      <c r="A117" s="30"/>
      <c r="B117" s="56"/>
      <c r="C117" s="57"/>
      <c r="D117" s="79"/>
      <c r="E117" s="89"/>
      <c r="F117" s="80"/>
      <c r="G117" s="84" t="str">
        <f>"Vergi Dairesi : "&amp;'Senet Borçlu Alacaklı Giriş'!$C$7</f>
        <v>Vergi Dairesi : Tokat</v>
      </c>
      <c r="H117" s="84"/>
      <c r="I117" s="84"/>
      <c r="J117" s="84"/>
      <c r="K117" s="30"/>
      <c r="L117" s="30"/>
      <c r="M117" s="30"/>
      <c r="N117" s="30"/>
      <c r="O117" s="51"/>
      <c r="P117" s="51"/>
    </row>
    <row r="118" spans="1:16" ht="23.85" customHeight="1" x14ac:dyDescent="0.35">
      <c r="A118" s="30"/>
      <c r="B118" s="42"/>
      <c r="C118" s="30"/>
      <c r="D118" s="79"/>
      <c r="E118" s="89"/>
      <c r="F118" s="80"/>
      <c r="G118" s="85" t="str">
        <f>"Vergi No / TC Kimlik No : "&amp;'Senet Borçlu Alacaklı Giriş'!$C$8</f>
        <v>Vergi No / TC Kimlik No : 341 3267 6260</v>
      </c>
      <c r="H118" s="85"/>
      <c r="I118" s="85"/>
      <c r="J118" s="85"/>
      <c r="K118" s="58"/>
      <c r="L118" s="58"/>
      <c r="M118" s="58"/>
      <c r="N118" s="58"/>
      <c r="O118" s="59"/>
      <c r="P118" s="51"/>
    </row>
    <row r="119" spans="1:16" ht="23.85" customHeight="1" x14ac:dyDescent="0.35">
      <c r="A119" s="30"/>
      <c r="B119" s="55"/>
      <c r="C119" s="30"/>
      <c r="D119" s="79"/>
      <c r="E119" s="89"/>
      <c r="F119" s="80" t="s">
        <v>18</v>
      </c>
      <c r="G119" s="88" t="str">
        <f>"İsim Unvan : "&amp;'Senet Borçlu Alacaklı Giriş'!$C$9</f>
        <v>İsim Unvan : Adem Duman</v>
      </c>
      <c r="H119" s="88"/>
      <c r="I119" s="88"/>
      <c r="J119" s="88"/>
      <c r="K119" s="32"/>
      <c r="L119" s="60"/>
      <c r="M119" s="32"/>
      <c r="N119" s="32"/>
      <c r="O119" s="33"/>
      <c r="P119" s="51"/>
    </row>
    <row r="120" spans="1:16" ht="23.85" customHeight="1" x14ac:dyDescent="0.35">
      <c r="A120" s="30"/>
      <c r="B120" s="42"/>
      <c r="C120" s="30"/>
      <c r="D120" s="53" t="s">
        <v>50</v>
      </c>
      <c r="E120" s="89"/>
      <c r="F120" s="80"/>
      <c r="G120" s="83" t="str">
        <f>"Adres : " &amp;'Senet Borçlu Alacaklı Giriş'!$C$10</f>
        <v>Adres : Esentepe Mah. Şehit Ulaşar Cad. Belde Sitesi B Blk. K1: D:3 TOKAT</v>
      </c>
      <c r="H120" s="83"/>
      <c r="I120" s="83"/>
      <c r="J120" s="83"/>
      <c r="K120" s="30"/>
      <c r="L120" s="30"/>
      <c r="M120" s="30"/>
      <c r="N120" s="30"/>
      <c r="O120" s="51"/>
      <c r="P120" s="51"/>
    </row>
    <row r="121" spans="1:16" ht="23.85" customHeight="1" x14ac:dyDescent="0.35">
      <c r="A121" s="30"/>
      <c r="B121" s="55"/>
      <c r="C121" s="30"/>
      <c r="D121" s="61">
        <f>'Senet Taksit Giriş'!D8</f>
        <v>45687</v>
      </c>
      <c r="E121" s="89"/>
      <c r="F121" s="80"/>
      <c r="G121" s="83"/>
      <c r="H121" s="83"/>
      <c r="I121" s="83"/>
      <c r="J121" s="83"/>
      <c r="K121" s="30"/>
      <c r="L121" s="43" t="s">
        <v>49</v>
      </c>
      <c r="M121" s="30"/>
      <c r="N121" s="30"/>
      <c r="O121" s="51"/>
      <c r="P121" s="51"/>
    </row>
    <row r="122" spans="1:16" ht="23.85" customHeight="1" x14ac:dyDescent="0.35">
      <c r="A122" s="30"/>
      <c r="B122" s="42"/>
      <c r="C122" s="30"/>
      <c r="D122" s="53" t="s">
        <v>51</v>
      </c>
      <c r="E122" s="89"/>
      <c r="F122" s="80"/>
      <c r="G122" s="84" t="str">
        <f>"Vergi Dairesi : "&amp;'Senet Borçlu Alacaklı Giriş'!$C$11</f>
        <v>Vergi Dairesi : Tokat</v>
      </c>
      <c r="H122" s="84"/>
      <c r="I122" s="84"/>
      <c r="J122" s="84"/>
      <c r="K122" s="30"/>
      <c r="L122" s="30"/>
      <c r="M122" s="30"/>
      <c r="N122" s="30"/>
      <c r="O122" s="51"/>
      <c r="P122" s="51"/>
    </row>
    <row r="123" spans="1:16" ht="23.85" customHeight="1" x14ac:dyDescent="0.35">
      <c r="A123" s="30"/>
      <c r="B123" s="42"/>
      <c r="C123" s="30"/>
      <c r="D123" s="61">
        <f>'Senet Taksit Giriş'!C8</f>
        <v>45503</v>
      </c>
      <c r="E123" s="89"/>
      <c r="F123" s="80"/>
      <c r="G123" s="85" t="str">
        <f>"Vergi No / TC Kimlik No : "&amp;'Senet Borçlu Alacaklı Giriş'!$C$12</f>
        <v>Vergi No / TC Kimlik No : 341 3267 6260</v>
      </c>
      <c r="H123" s="85"/>
      <c r="I123" s="85"/>
      <c r="J123" s="85"/>
      <c r="K123" s="58"/>
      <c r="L123" s="58"/>
      <c r="M123" s="58"/>
      <c r="N123" s="58"/>
      <c r="O123" s="59"/>
      <c r="P123" s="51"/>
    </row>
    <row r="124" spans="1:16" ht="23.85" customHeight="1" x14ac:dyDescent="0.35">
      <c r="A124" s="30"/>
      <c r="B124" s="62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9"/>
    </row>
    <row r="125" spans="1:16" ht="23.85" customHeight="1" x14ac:dyDescent="0.35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3"/>
    </row>
    <row r="126" spans="1:16" ht="23.85" customHeight="1" x14ac:dyDescent="0.35">
      <c r="A126" s="35"/>
      <c r="B126" s="36"/>
      <c r="C126" s="35"/>
      <c r="D126" s="37" t="s">
        <v>40</v>
      </c>
      <c r="E126" s="89" t="str">
        <f>$D133 &amp;"    - Taksit No: " &amp; $D128&amp;"  "</f>
        <v xml:space="preserve">Adem Duman    - Taksit No: # 7 #  </v>
      </c>
      <c r="F126" s="35"/>
      <c r="G126" s="38" t="s">
        <v>41</v>
      </c>
      <c r="H126" s="35"/>
      <c r="I126" s="38" t="s">
        <v>42</v>
      </c>
      <c r="J126" s="38" t="s">
        <v>43</v>
      </c>
      <c r="K126"/>
      <c r="L126" s="35"/>
      <c r="M126" s="38" t="s">
        <v>44</v>
      </c>
      <c r="N126" s="39"/>
      <c r="O126" s="38" t="s">
        <v>22</v>
      </c>
      <c r="P126" s="40"/>
    </row>
    <row r="127" spans="1:16" ht="23.85" customHeight="1" x14ac:dyDescent="0.35">
      <c r="A127" s="30"/>
      <c r="B127" s="42"/>
      <c r="C127" s="43"/>
      <c r="D127" s="44" t="s">
        <v>45</v>
      </c>
      <c r="E127" s="89"/>
      <c r="F127" s="30"/>
      <c r="G127" s="45">
        <f>D141</f>
        <v>45716</v>
      </c>
      <c r="H127" s="46"/>
      <c r="I127" s="47" t="str">
        <f>D130</f>
        <v># 17.000 TL #</v>
      </c>
      <c r="J127" s="48" t="str">
        <f>D131</f>
        <v>#   Krş #</v>
      </c>
      <c r="K127"/>
      <c r="L127" s="46"/>
      <c r="M127" s="49" t="str">
        <f>D128</f>
        <v># 7 #</v>
      </c>
      <c r="N127" s="39"/>
      <c r="O127" s="50">
        <f>D143</f>
        <v>45503</v>
      </c>
      <c r="P127" s="51"/>
    </row>
    <row r="128" spans="1:16" ht="23.85" customHeight="1" x14ac:dyDescent="0.35">
      <c r="A128" s="30"/>
      <c r="B128" s="42"/>
      <c r="C128" s="43"/>
      <c r="D128" s="52" t="str">
        <f>"# "&amp;TEXT(INT('Senet Taksit Giriş'!B9),"##.##0")&amp;" #"</f>
        <v># 7 #</v>
      </c>
      <c r="E128" s="8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51"/>
    </row>
    <row r="129" spans="1:16" ht="23.85" customHeight="1" x14ac:dyDescent="0.35">
      <c r="A129" s="30"/>
      <c r="B129" s="42"/>
      <c r="C129" s="43"/>
      <c r="D129" s="53" t="s">
        <v>46</v>
      </c>
      <c r="E129" s="89"/>
      <c r="F129" s="86" t="str">
        <f>"   İş bu emre muharrer senedim"&amp;IF('Senet Borçlu Alacaklı Giriş'!$C$4="Gerçek Kişi","in","izin")&amp;" mükabilinde "&amp;TEXT(G127,"dd mmmm yyyy")&amp;" tarihinde Sayın : "&amp;'Senet Borçlu Alacaklı Giriş'!$C$1&amp;" 'ya veyahut emruhavalesine yukarıda yazılı Yalnız # "&amp;'Senet Taksit Giriş'!F9&amp;" # ödeyeceği"&amp;IF('Senet Borçlu Alacaklı Giriş'!$C$4="Gerçek Kişi","m.","z.")&amp;" Bedeli "&amp;'Senet Taksit Giriş'!G9&amp;"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29" s="86"/>
      <c r="H129" s="86"/>
      <c r="I129" s="86"/>
      <c r="J129" s="86"/>
      <c r="K129" s="86"/>
      <c r="L129" s="86"/>
      <c r="M129" s="86"/>
      <c r="N129" s="86"/>
      <c r="O129" s="86"/>
      <c r="P129" s="51"/>
    </row>
    <row r="130" spans="1:16" ht="23.85" customHeight="1" x14ac:dyDescent="0.35">
      <c r="A130" s="30"/>
      <c r="B130" s="42"/>
      <c r="C130" s="43"/>
      <c r="D130" s="54" t="str">
        <f>"# "&amp;TEXT(INT('Senet Taksit Giriş'!E9),"##.##0")&amp;" TL #"</f>
        <v># 17.000 TL #</v>
      </c>
      <c r="E130" s="89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51"/>
    </row>
    <row r="131" spans="1:16" ht="23.85" customHeight="1" x14ac:dyDescent="0.35">
      <c r="A131" s="30"/>
      <c r="B131" s="42"/>
      <c r="C131" s="30"/>
      <c r="D131" s="52" t="str">
        <f>"# "&amp;TEXT(('Senet Taksit Giriş'!E132-INT('Senet Taksit Giriş'!E132))*100,"##.##")&amp;"  Krş #"</f>
        <v>#   Krş #</v>
      </c>
      <c r="E131" s="89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51"/>
    </row>
    <row r="132" spans="1:16" ht="23.85" customHeight="1" x14ac:dyDescent="0.35">
      <c r="A132" s="30"/>
      <c r="B132" s="42"/>
      <c r="C132" s="30"/>
      <c r="D132" s="53" t="s">
        <v>47</v>
      </c>
      <c r="E132" s="89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51"/>
    </row>
    <row r="133" spans="1:16" ht="23.85" customHeight="1" x14ac:dyDescent="0.35">
      <c r="A133" s="30"/>
      <c r="B133" s="55"/>
      <c r="C133" s="30"/>
      <c r="D133" s="79" t="str">
        <f>$D$9</f>
        <v>Adem Duman</v>
      </c>
      <c r="E133" s="89"/>
      <c r="F133"/>
      <c r="G133"/>
      <c r="H133"/>
      <c r="I133"/>
      <c r="J133"/>
      <c r="K133"/>
      <c r="L133"/>
      <c r="M133"/>
      <c r="N133"/>
      <c r="O133"/>
      <c r="P133" s="51"/>
    </row>
    <row r="134" spans="1:16" ht="23.85" customHeight="1" x14ac:dyDescent="0.35">
      <c r="A134" s="30"/>
      <c r="B134" s="42"/>
      <c r="C134" s="30"/>
      <c r="D134" s="79"/>
      <c r="E134" s="89"/>
      <c r="F134" s="80" t="s">
        <v>48</v>
      </c>
      <c r="G134" s="88" t="str">
        <f>"İsim : "&amp;$D133</f>
        <v>İsim : Adem Duman</v>
      </c>
      <c r="H134" s="88"/>
      <c r="I134" s="88"/>
      <c r="J134" s="88"/>
      <c r="K134" s="32"/>
      <c r="L134" s="32"/>
      <c r="M134" s="82"/>
      <c r="N134" s="82"/>
      <c r="O134" s="33"/>
      <c r="P134" s="51"/>
    </row>
    <row r="135" spans="1:16" ht="23.85" customHeight="1" x14ac:dyDescent="0.35">
      <c r="A135" s="30"/>
      <c r="B135" s="56"/>
      <c r="C135" s="57"/>
      <c r="D135" s="79"/>
      <c r="E135" s="89"/>
      <c r="F135" s="80"/>
      <c r="G135" s="83" t="str">
        <f>"Adres : " &amp;'Senet Borçlu Alacaklı Giriş'!$C$6</f>
        <v>Adres : Hızarhane Cad. No:5 TOKAT</v>
      </c>
      <c r="H135" s="83"/>
      <c r="I135" s="83"/>
      <c r="J135" s="83"/>
      <c r="K135" s="83"/>
      <c r="L135" s="30"/>
      <c r="M135" s="30"/>
      <c r="N135" s="30"/>
      <c r="O135" s="51"/>
      <c r="P135" s="51"/>
    </row>
    <row r="136" spans="1:16" ht="23.85" customHeight="1" x14ac:dyDescent="0.35">
      <c r="A136" s="30"/>
      <c r="B136" s="56"/>
      <c r="C136" s="57"/>
      <c r="D136" s="79"/>
      <c r="E136" s="89"/>
      <c r="F136" s="80"/>
      <c r="G136" s="83"/>
      <c r="H136" s="83"/>
      <c r="I136" s="83"/>
      <c r="J136" s="83"/>
      <c r="K136" s="83"/>
      <c r="L136" s="43" t="s">
        <v>49</v>
      </c>
      <c r="M136" s="43"/>
      <c r="N136" s="39"/>
      <c r="O136" s="51"/>
      <c r="P136" s="51"/>
    </row>
    <row r="137" spans="1:16" ht="23.85" customHeight="1" x14ac:dyDescent="0.35">
      <c r="A137" s="30"/>
      <c r="B137" s="56"/>
      <c r="C137" s="57"/>
      <c r="D137" s="79"/>
      <c r="E137" s="89"/>
      <c r="F137" s="80"/>
      <c r="G137" s="84" t="str">
        <f>"Vergi Dairesi : "&amp;'Senet Borçlu Alacaklı Giriş'!$C$7</f>
        <v>Vergi Dairesi : Tokat</v>
      </c>
      <c r="H137" s="84"/>
      <c r="I137" s="84"/>
      <c r="J137" s="84"/>
      <c r="K137" s="30"/>
      <c r="L137" s="30"/>
      <c r="M137" s="30"/>
      <c r="N137" s="30"/>
      <c r="O137" s="51"/>
      <c r="P137" s="51"/>
    </row>
    <row r="138" spans="1:16" ht="23.85" customHeight="1" x14ac:dyDescent="0.35">
      <c r="A138" s="30"/>
      <c r="B138" s="42"/>
      <c r="C138" s="30"/>
      <c r="D138" s="79"/>
      <c r="E138" s="89"/>
      <c r="F138" s="80"/>
      <c r="G138" s="85" t="str">
        <f>"Vergi No / TC Kimlik No : "&amp;'Senet Borçlu Alacaklı Giriş'!$C$8</f>
        <v>Vergi No / TC Kimlik No : 341 3267 6260</v>
      </c>
      <c r="H138" s="85"/>
      <c r="I138" s="85"/>
      <c r="J138" s="85"/>
      <c r="K138" s="58"/>
      <c r="L138" s="58"/>
      <c r="M138" s="58"/>
      <c r="N138" s="58"/>
      <c r="O138" s="59"/>
      <c r="P138" s="51"/>
    </row>
    <row r="139" spans="1:16" ht="23.85" customHeight="1" x14ac:dyDescent="0.35">
      <c r="A139" s="30"/>
      <c r="B139" s="55"/>
      <c r="C139" s="30"/>
      <c r="D139" s="79"/>
      <c r="E139" s="89"/>
      <c r="F139" s="80" t="s">
        <v>18</v>
      </c>
      <c r="G139" s="88" t="str">
        <f>"İsim Unvan : "&amp;'Senet Borçlu Alacaklı Giriş'!$C$9</f>
        <v>İsim Unvan : Adem Duman</v>
      </c>
      <c r="H139" s="88"/>
      <c r="I139" s="88"/>
      <c r="J139" s="88"/>
      <c r="K139" s="32"/>
      <c r="L139" s="60"/>
      <c r="M139" s="32"/>
      <c r="N139" s="32"/>
      <c r="O139" s="33"/>
      <c r="P139" s="51"/>
    </row>
    <row r="140" spans="1:16" ht="23.85" customHeight="1" x14ac:dyDescent="0.35">
      <c r="A140" s="30"/>
      <c r="B140" s="42"/>
      <c r="C140" s="30"/>
      <c r="D140" s="53" t="s">
        <v>50</v>
      </c>
      <c r="E140" s="89"/>
      <c r="F140" s="80"/>
      <c r="G140" s="83" t="str">
        <f>"Adres : " &amp;'Senet Borçlu Alacaklı Giriş'!$C$10</f>
        <v>Adres : Esentepe Mah. Şehit Ulaşar Cad. Belde Sitesi B Blk. K1: D:3 TOKAT</v>
      </c>
      <c r="H140" s="83"/>
      <c r="I140" s="83"/>
      <c r="J140" s="83"/>
      <c r="K140" s="30"/>
      <c r="L140" s="30"/>
      <c r="M140" s="30"/>
      <c r="N140" s="30"/>
      <c r="O140" s="51"/>
      <c r="P140" s="51"/>
    </row>
    <row r="141" spans="1:16" ht="23.85" customHeight="1" x14ac:dyDescent="0.35">
      <c r="A141" s="30"/>
      <c r="B141" s="55"/>
      <c r="C141" s="30"/>
      <c r="D141" s="61">
        <f>'Senet Taksit Giriş'!D9</f>
        <v>45716</v>
      </c>
      <c r="E141" s="89"/>
      <c r="F141" s="80"/>
      <c r="G141" s="83"/>
      <c r="H141" s="83"/>
      <c r="I141" s="83"/>
      <c r="J141" s="83"/>
      <c r="K141" s="30"/>
      <c r="L141" s="43" t="s">
        <v>49</v>
      </c>
      <c r="M141" s="30"/>
      <c r="N141" s="30"/>
      <c r="O141" s="51"/>
      <c r="P141" s="51"/>
    </row>
    <row r="142" spans="1:16" ht="23.85" customHeight="1" x14ac:dyDescent="0.35">
      <c r="A142" s="30"/>
      <c r="B142" s="42"/>
      <c r="C142" s="30"/>
      <c r="D142" s="53" t="s">
        <v>51</v>
      </c>
      <c r="E142" s="89"/>
      <c r="F142" s="80"/>
      <c r="G142" s="84" t="str">
        <f>"Vergi Dairesi : "&amp;'Senet Borçlu Alacaklı Giriş'!$C$11</f>
        <v>Vergi Dairesi : Tokat</v>
      </c>
      <c r="H142" s="84"/>
      <c r="I142" s="84"/>
      <c r="J142" s="84"/>
      <c r="K142" s="30"/>
      <c r="L142" s="30"/>
      <c r="M142" s="30"/>
      <c r="N142" s="30"/>
      <c r="O142" s="51"/>
      <c r="P142" s="51"/>
    </row>
    <row r="143" spans="1:16" ht="23.85" customHeight="1" x14ac:dyDescent="0.35">
      <c r="A143" s="30"/>
      <c r="B143" s="42"/>
      <c r="C143" s="30"/>
      <c r="D143" s="61">
        <f>'Senet Taksit Giriş'!C9</f>
        <v>45503</v>
      </c>
      <c r="E143" s="89"/>
      <c r="F143" s="80"/>
      <c r="G143" s="85" t="str">
        <f>"Vergi No / TC Kimlik No : "&amp;'Senet Borçlu Alacaklı Giriş'!$C$12</f>
        <v>Vergi No / TC Kimlik No : 341 3267 6260</v>
      </c>
      <c r="H143" s="85"/>
      <c r="I143" s="85"/>
      <c r="J143" s="85"/>
      <c r="K143" s="58"/>
      <c r="L143" s="58"/>
      <c r="M143" s="58"/>
      <c r="N143" s="58"/>
      <c r="O143" s="59"/>
      <c r="P143" s="51"/>
    </row>
    <row r="144" spans="1:16" ht="23.85" customHeight="1" x14ac:dyDescent="0.35">
      <c r="A144" s="30"/>
      <c r="B144" s="62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9"/>
    </row>
    <row r="146" spans="1:16" ht="23.85" customHeight="1" x14ac:dyDescent="0.35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3"/>
    </row>
    <row r="147" spans="1:16" ht="23.85" customHeight="1" x14ac:dyDescent="0.35">
      <c r="A147" s="35"/>
      <c r="B147" s="36"/>
      <c r="C147" s="35"/>
      <c r="D147" s="37" t="s">
        <v>40</v>
      </c>
      <c r="E147" s="89" t="str">
        <f>$D154 &amp;"    - Taksit No: " &amp; $D149&amp;"  "</f>
        <v xml:space="preserve">Adem Duman    - Taksit No: # 8 #  </v>
      </c>
      <c r="F147" s="35"/>
      <c r="G147" s="38" t="s">
        <v>41</v>
      </c>
      <c r="H147" s="35"/>
      <c r="I147" s="38" t="s">
        <v>42</v>
      </c>
      <c r="J147" s="38" t="s">
        <v>43</v>
      </c>
      <c r="K147"/>
      <c r="L147" s="35"/>
      <c r="M147" s="38" t="s">
        <v>44</v>
      </c>
      <c r="N147" s="39"/>
      <c r="O147" s="38" t="s">
        <v>22</v>
      </c>
      <c r="P147" s="40"/>
    </row>
    <row r="148" spans="1:16" ht="23.85" customHeight="1" x14ac:dyDescent="0.35">
      <c r="A148" s="30"/>
      <c r="B148" s="42"/>
      <c r="C148" s="43"/>
      <c r="D148" s="44" t="s">
        <v>45</v>
      </c>
      <c r="E148" s="89"/>
      <c r="F148" s="30"/>
      <c r="G148" s="45">
        <f>D162</f>
        <v>45746</v>
      </c>
      <c r="H148" s="46"/>
      <c r="I148" s="47" t="str">
        <f>D151</f>
        <v># 17.000 TL #</v>
      </c>
      <c r="J148" s="48" t="str">
        <f>D152</f>
        <v>#   Krş #</v>
      </c>
      <c r="K148"/>
      <c r="L148" s="46"/>
      <c r="M148" s="49" t="str">
        <f>D149</f>
        <v># 8 #</v>
      </c>
      <c r="N148" s="39"/>
      <c r="O148" s="50">
        <f>D164</f>
        <v>45503</v>
      </c>
      <c r="P148" s="51"/>
    </row>
    <row r="149" spans="1:16" ht="23.85" customHeight="1" x14ac:dyDescent="0.35">
      <c r="A149" s="30"/>
      <c r="B149" s="42"/>
      <c r="C149" s="43"/>
      <c r="D149" s="52" t="str">
        <f>"# "&amp;TEXT(INT('Senet Taksit Giriş'!B10),"##.##0")&amp;" #"</f>
        <v># 8 #</v>
      </c>
      <c r="E149" s="8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51"/>
    </row>
    <row r="150" spans="1:16" ht="23.85" customHeight="1" x14ac:dyDescent="0.35">
      <c r="A150" s="30"/>
      <c r="B150" s="42"/>
      <c r="C150" s="43"/>
      <c r="D150" s="53" t="s">
        <v>46</v>
      </c>
      <c r="E150" s="89"/>
      <c r="F150" s="86" t="str">
        <f>"   İş bu emre muharrer senedim"&amp;IF('Senet Borçlu Alacaklı Giriş'!$C$4="Gerçek Kişi","in","izin")&amp;" mükabilinde "&amp;TEXT(G148,"dd mmmm yyyy")&amp;" tarihinde Sayın : "&amp;'Senet Borçlu Alacaklı Giriş'!$C$1&amp;" 'ya veyahut emruhavalesine yukarıda yazılı Yalnız # "&amp;'Senet Taksit Giriş'!F10&amp;" # ödeyeceği"&amp;IF('Senet Borçlu Alacaklı Giriş'!$C$4="Gerçek Kişi","m.","z.")&amp;" Bedeli "&amp;'Senet Taksit Giriş'!G10&amp;"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50" s="86"/>
      <c r="H150" s="86"/>
      <c r="I150" s="86"/>
      <c r="J150" s="86"/>
      <c r="K150" s="86"/>
      <c r="L150" s="86"/>
      <c r="M150" s="86"/>
      <c r="N150" s="86"/>
      <c r="O150" s="86"/>
      <c r="P150" s="51"/>
    </row>
    <row r="151" spans="1:16" ht="23.85" customHeight="1" x14ac:dyDescent="0.35">
      <c r="A151" s="30"/>
      <c r="B151" s="42"/>
      <c r="C151" s="43"/>
      <c r="D151" s="54" t="str">
        <f>"# "&amp;TEXT(INT('Senet Taksit Giriş'!E10),"##.##0")&amp;" TL #"</f>
        <v># 17.000 TL #</v>
      </c>
      <c r="E151" s="89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51"/>
    </row>
    <row r="152" spans="1:16" ht="23.85" customHeight="1" x14ac:dyDescent="0.35">
      <c r="A152" s="30"/>
      <c r="B152" s="42"/>
      <c r="C152" s="30"/>
      <c r="D152" s="52" t="str">
        <f>"# "&amp;TEXT(('Senet Taksit Giriş'!E153-INT('Senet Taksit Giriş'!E153))*100,"##.##")&amp;"  Krş #"</f>
        <v>#   Krş #</v>
      </c>
      <c r="E152" s="89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51"/>
    </row>
    <row r="153" spans="1:16" ht="23.85" customHeight="1" x14ac:dyDescent="0.35">
      <c r="A153" s="30"/>
      <c r="B153" s="42"/>
      <c r="C153" s="30"/>
      <c r="D153" s="53" t="s">
        <v>47</v>
      </c>
      <c r="E153" s="89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51"/>
    </row>
    <row r="154" spans="1:16" ht="23.85" customHeight="1" x14ac:dyDescent="0.35">
      <c r="A154" s="30"/>
      <c r="B154" s="55"/>
      <c r="C154" s="30"/>
      <c r="D154" s="79" t="str">
        <f>$D$9</f>
        <v>Adem Duman</v>
      </c>
      <c r="E154" s="89"/>
      <c r="F154"/>
      <c r="G154"/>
      <c r="H154"/>
      <c r="I154"/>
      <c r="J154"/>
      <c r="K154"/>
      <c r="L154"/>
      <c r="M154"/>
      <c r="N154"/>
      <c r="O154"/>
      <c r="P154" s="51"/>
    </row>
    <row r="155" spans="1:16" ht="23.85" customHeight="1" x14ac:dyDescent="0.35">
      <c r="A155" s="30"/>
      <c r="B155" s="42"/>
      <c r="C155" s="30"/>
      <c r="D155" s="79"/>
      <c r="E155" s="89"/>
      <c r="F155" s="80" t="s">
        <v>48</v>
      </c>
      <c r="G155" s="88" t="str">
        <f>"İsim : "&amp;$D154</f>
        <v>İsim : Adem Duman</v>
      </c>
      <c r="H155" s="88"/>
      <c r="I155" s="88"/>
      <c r="J155" s="88"/>
      <c r="K155" s="32"/>
      <c r="L155" s="32"/>
      <c r="M155" s="82"/>
      <c r="N155" s="82"/>
      <c r="O155" s="33"/>
      <c r="P155" s="51"/>
    </row>
    <row r="156" spans="1:16" ht="23.85" customHeight="1" x14ac:dyDescent="0.35">
      <c r="A156" s="30"/>
      <c r="B156" s="56"/>
      <c r="C156" s="57"/>
      <c r="D156" s="79"/>
      <c r="E156" s="89"/>
      <c r="F156" s="80"/>
      <c r="G156" s="83" t="str">
        <f>"Adres : " &amp;'Senet Borçlu Alacaklı Giriş'!$C$6</f>
        <v>Adres : Hızarhane Cad. No:5 TOKAT</v>
      </c>
      <c r="H156" s="83"/>
      <c r="I156" s="83"/>
      <c r="J156" s="83"/>
      <c r="K156" s="83"/>
      <c r="L156" s="30"/>
      <c r="M156" s="30"/>
      <c r="N156" s="30"/>
      <c r="O156" s="51"/>
      <c r="P156" s="51"/>
    </row>
    <row r="157" spans="1:16" ht="23.85" customHeight="1" x14ac:dyDescent="0.35">
      <c r="A157" s="30"/>
      <c r="B157" s="56"/>
      <c r="C157" s="57"/>
      <c r="D157" s="79"/>
      <c r="E157" s="89"/>
      <c r="F157" s="80"/>
      <c r="G157" s="83"/>
      <c r="H157" s="83"/>
      <c r="I157" s="83"/>
      <c r="J157" s="83"/>
      <c r="K157" s="83"/>
      <c r="L157" s="43" t="s">
        <v>49</v>
      </c>
      <c r="M157" s="43"/>
      <c r="N157" s="39"/>
      <c r="O157" s="51"/>
      <c r="P157" s="51"/>
    </row>
    <row r="158" spans="1:16" ht="23.85" customHeight="1" x14ac:dyDescent="0.35">
      <c r="A158" s="30"/>
      <c r="B158" s="56"/>
      <c r="C158" s="57"/>
      <c r="D158" s="79"/>
      <c r="E158" s="89"/>
      <c r="F158" s="80"/>
      <c r="G158" s="84" t="str">
        <f>"Vergi Dairesi : "&amp;'Senet Borçlu Alacaklı Giriş'!$C$7</f>
        <v>Vergi Dairesi : Tokat</v>
      </c>
      <c r="H158" s="84"/>
      <c r="I158" s="84"/>
      <c r="J158" s="84"/>
      <c r="K158" s="30"/>
      <c r="L158" s="30"/>
      <c r="M158" s="30"/>
      <c r="N158" s="30"/>
      <c r="O158" s="51"/>
      <c r="P158" s="51"/>
    </row>
    <row r="159" spans="1:16" ht="23.85" customHeight="1" x14ac:dyDescent="0.35">
      <c r="A159" s="30"/>
      <c r="B159" s="42"/>
      <c r="C159" s="30"/>
      <c r="D159" s="79"/>
      <c r="E159" s="89"/>
      <c r="F159" s="80"/>
      <c r="G159" s="85" t="str">
        <f>"Vergi No / TC Kimlik No : "&amp;'Senet Borçlu Alacaklı Giriş'!$C$8</f>
        <v>Vergi No / TC Kimlik No : 341 3267 6260</v>
      </c>
      <c r="H159" s="85"/>
      <c r="I159" s="85"/>
      <c r="J159" s="85"/>
      <c r="K159" s="58"/>
      <c r="L159" s="58"/>
      <c r="M159" s="58"/>
      <c r="N159" s="58"/>
      <c r="O159" s="59"/>
      <c r="P159" s="51"/>
    </row>
    <row r="160" spans="1:16" ht="23.85" customHeight="1" x14ac:dyDescent="0.35">
      <c r="A160" s="30"/>
      <c r="B160" s="55"/>
      <c r="C160" s="30"/>
      <c r="D160" s="79"/>
      <c r="E160" s="89"/>
      <c r="F160" s="80" t="s">
        <v>18</v>
      </c>
      <c r="G160" s="88" t="str">
        <f>"İsim Unvan : "&amp;'Senet Borçlu Alacaklı Giriş'!$C$9</f>
        <v>İsim Unvan : Adem Duman</v>
      </c>
      <c r="H160" s="88"/>
      <c r="I160" s="88"/>
      <c r="J160" s="88"/>
      <c r="K160" s="32"/>
      <c r="L160" s="60"/>
      <c r="M160" s="32"/>
      <c r="N160" s="32"/>
      <c r="O160" s="33"/>
      <c r="P160" s="51"/>
    </row>
    <row r="161" spans="1:16" ht="23.85" customHeight="1" x14ac:dyDescent="0.35">
      <c r="A161" s="30"/>
      <c r="B161" s="42"/>
      <c r="C161" s="30"/>
      <c r="D161" s="53" t="s">
        <v>50</v>
      </c>
      <c r="E161" s="89"/>
      <c r="F161" s="80"/>
      <c r="G161" s="83" t="str">
        <f>"Adres : " &amp;'Senet Borçlu Alacaklı Giriş'!$C$10</f>
        <v>Adres : Esentepe Mah. Şehit Ulaşar Cad. Belde Sitesi B Blk. K1: D:3 TOKAT</v>
      </c>
      <c r="H161" s="83"/>
      <c r="I161" s="83"/>
      <c r="J161" s="83"/>
      <c r="K161" s="30"/>
      <c r="L161" s="30"/>
      <c r="M161" s="30"/>
      <c r="N161" s="30"/>
      <c r="O161" s="51"/>
      <c r="P161" s="51"/>
    </row>
    <row r="162" spans="1:16" ht="23.85" customHeight="1" x14ac:dyDescent="0.35">
      <c r="A162" s="30"/>
      <c r="B162" s="55"/>
      <c r="C162" s="30"/>
      <c r="D162" s="61">
        <f>'Senet Taksit Giriş'!D10</f>
        <v>45746</v>
      </c>
      <c r="E162" s="89"/>
      <c r="F162" s="80"/>
      <c r="G162" s="83"/>
      <c r="H162" s="83"/>
      <c r="I162" s="83"/>
      <c r="J162" s="83"/>
      <c r="K162" s="30"/>
      <c r="L162" s="43" t="s">
        <v>49</v>
      </c>
      <c r="M162" s="30"/>
      <c r="N162" s="30"/>
      <c r="O162" s="51"/>
      <c r="P162" s="51"/>
    </row>
    <row r="163" spans="1:16" ht="23.85" customHeight="1" x14ac:dyDescent="0.35">
      <c r="A163" s="30"/>
      <c r="B163" s="42"/>
      <c r="C163" s="30"/>
      <c r="D163" s="53" t="s">
        <v>51</v>
      </c>
      <c r="E163" s="89"/>
      <c r="F163" s="80"/>
      <c r="G163" s="84" t="str">
        <f>"Vergi Dairesi : "&amp;'Senet Borçlu Alacaklı Giriş'!$C$11</f>
        <v>Vergi Dairesi : Tokat</v>
      </c>
      <c r="H163" s="84"/>
      <c r="I163" s="84"/>
      <c r="J163" s="84"/>
      <c r="K163" s="30"/>
      <c r="L163" s="30"/>
      <c r="M163" s="30"/>
      <c r="N163" s="30"/>
      <c r="O163" s="51"/>
      <c r="P163" s="51"/>
    </row>
    <row r="164" spans="1:16" ht="23.85" customHeight="1" x14ac:dyDescent="0.35">
      <c r="A164" s="30"/>
      <c r="B164" s="42"/>
      <c r="C164" s="30"/>
      <c r="D164" s="61">
        <f>'Senet Taksit Giriş'!C10</f>
        <v>45503</v>
      </c>
      <c r="E164" s="89"/>
      <c r="F164" s="80"/>
      <c r="G164" s="85" t="str">
        <f>"Vergi No / TC Kimlik No : "&amp;'Senet Borçlu Alacaklı Giriş'!$C$12</f>
        <v>Vergi No / TC Kimlik No : 341 3267 6260</v>
      </c>
      <c r="H164" s="85"/>
      <c r="I164" s="85"/>
      <c r="J164" s="85"/>
      <c r="K164" s="58"/>
      <c r="L164" s="58"/>
      <c r="M164" s="58"/>
      <c r="N164" s="58"/>
      <c r="O164" s="59"/>
      <c r="P164" s="51"/>
    </row>
    <row r="165" spans="1:16" ht="23.85" customHeight="1" x14ac:dyDescent="0.35">
      <c r="A165" s="30"/>
      <c r="B165" s="62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9"/>
    </row>
    <row r="167" spans="1:16" ht="23.85" customHeight="1" x14ac:dyDescent="0.35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3"/>
    </row>
    <row r="168" spans="1:16" ht="23.85" customHeight="1" x14ac:dyDescent="0.35">
      <c r="A168" s="35"/>
      <c r="B168" s="36"/>
      <c r="C168" s="35"/>
      <c r="D168" s="37" t="s">
        <v>40</v>
      </c>
      <c r="E168" s="89" t="str">
        <f>$D175 &amp;"    - Taksit No: " &amp; $D170&amp;"  "</f>
        <v xml:space="preserve">Adem Duman    - Taksit No: # 9 #  </v>
      </c>
      <c r="F168" s="35"/>
      <c r="G168" s="38" t="s">
        <v>41</v>
      </c>
      <c r="H168" s="35"/>
      <c r="I168" s="38" t="s">
        <v>42</v>
      </c>
      <c r="J168" s="38" t="s">
        <v>43</v>
      </c>
      <c r="K168"/>
      <c r="L168" s="35"/>
      <c r="M168" s="38" t="s">
        <v>44</v>
      </c>
      <c r="N168" s="39"/>
      <c r="O168" s="38" t="s">
        <v>22</v>
      </c>
      <c r="P168" s="40"/>
    </row>
    <row r="169" spans="1:16" ht="23.85" customHeight="1" x14ac:dyDescent="0.35">
      <c r="A169" s="30"/>
      <c r="B169" s="42"/>
      <c r="C169" s="43"/>
      <c r="D169" s="44" t="s">
        <v>45</v>
      </c>
      <c r="E169" s="89"/>
      <c r="F169" s="30"/>
      <c r="G169" s="45">
        <f>D183</f>
        <v>45777</v>
      </c>
      <c r="H169" s="46"/>
      <c r="I169" s="47" t="str">
        <f>D172</f>
        <v># 17.000 TL #</v>
      </c>
      <c r="J169" s="48" t="str">
        <f>D173</f>
        <v>#   Krş #</v>
      </c>
      <c r="K169"/>
      <c r="L169" s="46"/>
      <c r="M169" s="49" t="str">
        <f>D170</f>
        <v># 9 #</v>
      </c>
      <c r="N169" s="39"/>
      <c r="O169" s="50">
        <f>D185</f>
        <v>45503</v>
      </c>
      <c r="P169" s="51"/>
    </row>
    <row r="170" spans="1:16" ht="23.85" customHeight="1" x14ac:dyDescent="0.35">
      <c r="A170" s="30"/>
      <c r="B170" s="42"/>
      <c r="C170" s="43"/>
      <c r="D170" s="52" t="str">
        <f>"# "&amp;TEXT(INT('Senet Taksit Giriş'!B11),"##.##0")&amp;" #"</f>
        <v># 9 #</v>
      </c>
      <c r="E170" s="8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51"/>
    </row>
    <row r="171" spans="1:16" ht="23.85" customHeight="1" x14ac:dyDescent="0.35">
      <c r="A171" s="30"/>
      <c r="B171" s="42"/>
      <c r="C171" s="43"/>
      <c r="D171" s="53" t="s">
        <v>46</v>
      </c>
      <c r="E171" s="89"/>
      <c r="F171" s="86" t="str">
        <f>"   İş bu emre muharrer senedim"&amp;IF('Senet Borçlu Alacaklı Giriş'!$C$4="Gerçek Kişi","in","izin")&amp;" mükabilinde "&amp;TEXT(G169,"dd mmmm yyyy")&amp;" tarihinde Sayın : "&amp;'Senet Borçlu Alacaklı Giriş'!$C$1&amp;" 'ya veyahut emruhavalesine yukarıda yazılı Yalnız # "&amp;'Senet Taksit Giriş'!F11&amp;" # ödeyeceği"&amp;IF('Senet Borçlu Alacaklı Giriş'!$C$4="Gerçek Kişi","m.","z.")&amp;" Bedeli "&amp;'Senet Taksit Giriş'!G11&amp;"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71" s="86"/>
      <c r="H171" s="86"/>
      <c r="I171" s="86"/>
      <c r="J171" s="86"/>
      <c r="K171" s="86"/>
      <c r="L171" s="86"/>
      <c r="M171" s="86"/>
      <c r="N171" s="86"/>
      <c r="O171" s="86"/>
      <c r="P171" s="51"/>
    </row>
    <row r="172" spans="1:16" ht="23.85" customHeight="1" x14ac:dyDescent="0.35">
      <c r="A172" s="30"/>
      <c r="B172" s="42"/>
      <c r="C172" s="43"/>
      <c r="D172" s="54" t="str">
        <f>"# "&amp;TEXT(INT('Senet Taksit Giriş'!E11),"##.##0")&amp;" TL #"</f>
        <v># 17.000 TL #</v>
      </c>
      <c r="E172" s="89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51"/>
    </row>
    <row r="173" spans="1:16" ht="23.85" customHeight="1" x14ac:dyDescent="0.35">
      <c r="A173" s="30"/>
      <c r="B173" s="42"/>
      <c r="C173" s="30"/>
      <c r="D173" s="52" t="str">
        <f>"# "&amp;TEXT(('Senet Taksit Giriş'!E174-INT('Senet Taksit Giriş'!E174))*100,"##.##")&amp;"  Krş #"</f>
        <v>#   Krş #</v>
      </c>
      <c r="E173" s="89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51"/>
    </row>
    <row r="174" spans="1:16" ht="23.85" customHeight="1" x14ac:dyDescent="0.35">
      <c r="A174" s="30"/>
      <c r="B174" s="42"/>
      <c r="C174" s="30"/>
      <c r="D174" s="53" t="s">
        <v>47</v>
      </c>
      <c r="E174" s="89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51"/>
    </row>
    <row r="175" spans="1:16" ht="23.85" customHeight="1" x14ac:dyDescent="0.35">
      <c r="A175" s="30"/>
      <c r="B175" s="55"/>
      <c r="C175" s="30"/>
      <c r="D175" s="79" t="str">
        <f>$D$9</f>
        <v>Adem Duman</v>
      </c>
      <c r="E175" s="89"/>
      <c r="F175"/>
      <c r="G175"/>
      <c r="H175"/>
      <c r="I175"/>
      <c r="J175"/>
      <c r="K175"/>
      <c r="L175"/>
      <c r="M175"/>
      <c r="N175"/>
      <c r="O175"/>
      <c r="P175" s="51"/>
    </row>
    <row r="176" spans="1:16" ht="23.85" customHeight="1" x14ac:dyDescent="0.35">
      <c r="A176" s="30"/>
      <c r="B176" s="42"/>
      <c r="C176" s="30"/>
      <c r="D176" s="79"/>
      <c r="E176" s="89"/>
      <c r="F176" s="80" t="s">
        <v>48</v>
      </c>
      <c r="G176" s="88" t="str">
        <f>"İsim : "&amp;$D175</f>
        <v>İsim : Adem Duman</v>
      </c>
      <c r="H176" s="88"/>
      <c r="I176" s="88"/>
      <c r="J176" s="88"/>
      <c r="K176" s="32"/>
      <c r="L176" s="32"/>
      <c r="M176" s="82"/>
      <c r="N176" s="82"/>
      <c r="O176" s="33"/>
      <c r="P176" s="51"/>
    </row>
    <row r="177" spans="1:16" ht="23.85" customHeight="1" x14ac:dyDescent="0.35">
      <c r="A177" s="30"/>
      <c r="B177" s="56"/>
      <c r="C177" s="57"/>
      <c r="D177" s="79"/>
      <c r="E177" s="89"/>
      <c r="F177" s="80"/>
      <c r="G177" s="83" t="str">
        <f>"Adres : " &amp;'Senet Borçlu Alacaklı Giriş'!$C$6</f>
        <v>Adres : Hızarhane Cad. No:5 TOKAT</v>
      </c>
      <c r="H177" s="83"/>
      <c r="I177" s="83"/>
      <c r="J177" s="83"/>
      <c r="K177" s="83"/>
      <c r="L177" s="30"/>
      <c r="M177" s="30"/>
      <c r="N177" s="30"/>
      <c r="O177" s="51"/>
      <c r="P177" s="51"/>
    </row>
    <row r="178" spans="1:16" ht="23.85" customHeight="1" x14ac:dyDescent="0.35">
      <c r="A178" s="30"/>
      <c r="B178" s="56"/>
      <c r="C178" s="57"/>
      <c r="D178" s="79"/>
      <c r="E178" s="89"/>
      <c r="F178" s="80"/>
      <c r="G178" s="83"/>
      <c r="H178" s="83"/>
      <c r="I178" s="83"/>
      <c r="J178" s="83"/>
      <c r="K178" s="83"/>
      <c r="L178" s="43" t="s">
        <v>49</v>
      </c>
      <c r="M178" s="43"/>
      <c r="N178" s="39"/>
      <c r="O178" s="51"/>
      <c r="P178" s="51"/>
    </row>
    <row r="179" spans="1:16" ht="23.85" customHeight="1" x14ac:dyDescent="0.35">
      <c r="A179" s="30"/>
      <c r="B179" s="56"/>
      <c r="C179" s="57"/>
      <c r="D179" s="79"/>
      <c r="E179" s="89"/>
      <c r="F179" s="80"/>
      <c r="G179" s="84" t="str">
        <f>"Vergi Dairesi : "&amp;'Senet Borçlu Alacaklı Giriş'!$C$7</f>
        <v>Vergi Dairesi : Tokat</v>
      </c>
      <c r="H179" s="84"/>
      <c r="I179" s="84"/>
      <c r="J179" s="84"/>
      <c r="K179" s="30"/>
      <c r="L179" s="30"/>
      <c r="M179" s="30"/>
      <c r="N179" s="30"/>
      <c r="O179" s="51"/>
      <c r="P179" s="51"/>
    </row>
    <row r="180" spans="1:16" ht="23.85" customHeight="1" x14ac:dyDescent="0.35">
      <c r="A180" s="30"/>
      <c r="B180" s="42"/>
      <c r="C180" s="30"/>
      <c r="D180" s="79"/>
      <c r="E180" s="89"/>
      <c r="F180" s="80"/>
      <c r="G180" s="85" t="str">
        <f>"Vergi No / TC Kimlik No : "&amp;'Senet Borçlu Alacaklı Giriş'!$C$8</f>
        <v>Vergi No / TC Kimlik No : 341 3267 6260</v>
      </c>
      <c r="H180" s="85"/>
      <c r="I180" s="85"/>
      <c r="J180" s="85"/>
      <c r="K180" s="58"/>
      <c r="L180" s="58"/>
      <c r="M180" s="58"/>
      <c r="N180" s="58"/>
      <c r="O180" s="59"/>
      <c r="P180" s="51"/>
    </row>
    <row r="181" spans="1:16" ht="23.85" customHeight="1" x14ac:dyDescent="0.35">
      <c r="A181" s="30"/>
      <c r="B181" s="55"/>
      <c r="C181" s="30"/>
      <c r="D181" s="79"/>
      <c r="E181" s="89"/>
      <c r="F181" s="80" t="s">
        <v>18</v>
      </c>
      <c r="G181" s="88" t="str">
        <f>"İsim Unvan : "&amp;'Senet Borçlu Alacaklı Giriş'!$C$9</f>
        <v>İsim Unvan : Adem Duman</v>
      </c>
      <c r="H181" s="88"/>
      <c r="I181" s="88"/>
      <c r="J181" s="88"/>
      <c r="K181" s="32"/>
      <c r="L181" s="60"/>
      <c r="M181" s="32"/>
      <c r="N181" s="32"/>
      <c r="O181" s="33"/>
      <c r="P181" s="51"/>
    </row>
    <row r="182" spans="1:16" ht="23.85" customHeight="1" x14ac:dyDescent="0.35">
      <c r="A182" s="30"/>
      <c r="B182" s="42"/>
      <c r="C182" s="30"/>
      <c r="D182" s="53" t="s">
        <v>50</v>
      </c>
      <c r="E182" s="89"/>
      <c r="F182" s="80"/>
      <c r="G182" s="83" t="str">
        <f>"Adres : " &amp;'Senet Borçlu Alacaklı Giriş'!$C$10</f>
        <v>Adres : Esentepe Mah. Şehit Ulaşar Cad. Belde Sitesi B Blk. K1: D:3 TOKAT</v>
      </c>
      <c r="H182" s="83"/>
      <c r="I182" s="83"/>
      <c r="J182" s="83"/>
      <c r="K182" s="30"/>
      <c r="L182" s="30"/>
      <c r="M182" s="30"/>
      <c r="N182" s="30"/>
      <c r="O182" s="51"/>
      <c r="P182" s="51"/>
    </row>
    <row r="183" spans="1:16" ht="23.85" customHeight="1" x14ac:dyDescent="0.35">
      <c r="A183" s="30"/>
      <c r="B183" s="55"/>
      <c r="C183" s="30"/>
      <c r="D183" s="61">
        <f>'Senet Taksit Giriş'!D11</f>
        <v>45777</v>
      </c>
      <c r="E183" s="89"/>
      <c r="F183" s="80"/>
      <c r="G183" s="83"/>
      <c r="H183" s="83"/>
      <c r="I183" s="83"/>
      <c r="J183" s="83"/>
      <c r="K183" s="30"/>
      <c r="L183" s="43" t="s">
        <v>49</v>
      </c>
      <c r="M183" s="30"/>
      <c r="N183" s="30"/>
      <c r="O183" s="51"/>
      <c r="P183" s="51"/>
    </row>
    <row r="184" spans="1:16" ht="23.85" customHeight="1" x14ac:dyDescent="0.35">
      <c r="A184" s="30"/>
      <c r="B184" s="42"/>
      <c r="C184" s="30"/>
      <c r="D184" s="53" t="s">
        <v>51</v>
      </c>
      <c r="E184" s="89"/>
      <c r="F184" s="80"/>
      <c r="G184" s="84" t="str">
        <f>"Vergi Dairesi : "&amp;'Senet Borçlu Alacaklı Giriş'!$C$11</f>
        <v>Vergi Dairesi : Tokat</v>
      </c>
      <c r="H184" s="84"/>
      <c r="I184" s="84"/>
      <c r="J184" s="84"/>
      <c r="K184" s="30"/>
      <c r="L184" s="30"/>
      <c r="M184" s="30"/>
      <c r="N184" s="30"/>
      <c r="O184" s="51"/>
      <c r="P184" s="51"/>
    </row>
    <row r="185" spans="1:16" ht="23.85" customHeight="1" x14ac:dyDescent="0.35">
      <c r="A185" s="30"/>
      <c r="B185" s="42"/>
      <c r="C185" s="30"/>
      <c r="D185" s="61">
        <f>'Senet Taksit Giriş'!C11</f>
        <v>45503</v>
      </c>
      <c r="E185" s="89"/>
      <c r="F185" s="80"/>
      <c r="G185" s="85" t="str">
        <f>"Vergi No / TC Kimlik No : "&amp;'Senet Borçlu Alacaklı Giriş'!$C$12</f>
        <v>Vergi No / TC Kimlik No : 341 3267 6260</v>
      </c>
      <c r="H185" s="85"/>
      <c r="I185" s="85"/>
      <c r="J185" s="85"/>
      <c r="K185" s="58"/>
      <c r="L185" s="58"/>
      <c r="M185" s="58"/>
      <c r="N185" s="58"/>
      <c r="O185" s="59"/>
      <c r="P185" s="51"/>
    </row>
    <row r="186" spans="1:16" ht="23.85" customHeight="1" x14ac:dyDescent="0.35">
      <c r="A186" s="30"/>
      <c r="B186" s="62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9"/>
    </row>
    <row r="187" spans="1:16" ht="23.85" customHeight="1" x14ac:dyDescent="0.35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3"/>
    </row>
    <row r="188" spans="1:16" ht="23.85" customHeight="1" x14ac:dyDescent="0.35">
      <c r="A188" s="35"/>
      <c r="B188" s="36"/>
      <c r="C188" s="35"/>
      <c r="D188" s="37" t="s">
        <v>40</v>
      </c>
      <c r="E188" s="89" t="str">
        <f>$D195 &amp;"    - Taksit No: " &amp; $D190&amp;"  "</f>
        <v xml:space="preserve">Adem Duman    - Taksit No: # 10 #  </v>
      </c>
      <c r="F188" s="35"/>
      <c r="G188" s="38" t="s">
        <v>41</v>
      </c>
      <c r="H188" s="35"/>
      <c r="I188" s="38" t="s">
        <v>42</v>
      </c>
      <c r="J188" s="38" t="s">
        <v>43</v>
      </c>
      <c r="K188"/>
      <c r="L188" s="35"/>
      <c r="M188" s="38" t="s">
        <v>44</v>
      </c>
      <c r="N188" s="39"/>
      <c r="O188" s="38" t="s">
        <v>22</v>
      </c>
      <c r="P188" s="40"/>
    </row>
    <row r="189" spans="1:16" ht="23.85" customHeight="1" x14ac:dyDescent="0.35">
      <c r="A189" s="30"/>
      <c r="B189" s="42"/>
      <c r="C189" s="43"/>
      <c r="D189" s="44" t="s">
        <v>45</v>
      </c>
      <c r="E189" s="89"/>
      <c r="F189" s="30"/>
      <c r="G189" s="45">
        <f>D203</f>
        <v>45807</v>
      </c>
      <c r="H189" s="46"/>
      <c r="I189" s="47" t="str">
        <f>D192</f>
        <v># 17.000 TL #</v>
      </c>
      <c r="J189" s="48" t="str">
        <f>D193</f>
        <v>#   Krş #</v>
      </c>
      <c r="K189"/>
      <c r="L189" s="46"/>
      <c r="M189" s="49" t="str">
        <f>D190</f>
        <v># 10 #</v>
      </c>
      <c r="N189" s="39"/>
      <c r="O189" s="50">
        <f>D205</f>
        <v>45503</v>
      </c>
      <c r="P189" s="51"/>
    </row>
    <row r="190" spans="1:16" ht="23.85" customHeight="1" x14ac:dyDescent="0.35">
      <c r="A190" s="30"/>
      <c r="B190" s="42"/>
      <c r="C190" s="43"/>
      <c r="D190" s="52" t="str">
        <f>"# "&amp;TEXT(INT('Senet Taksit Giriş'!B12),"##.##0")&amp;" #"</f>
        <v># 10 #</v>
      </c>
      <c r="E190" s="8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51"/>
    </row>
    <row r="191" spans="1:16" ht="23.85" customHeight="1" x14ac:dyDescent="0.35">
      <c r="A191" s="30"/>
      <c r="B191" s="42"/>
      <c r="C191" s="43"/>
      <c r="D191" s="53" t="s">
        <v>46</v>
      </c>
      <c r="E191" s="89"/>
      <c r="F191" s="86" t="str">
        <f>"   İş bu emre muharrer senedim"&amp;IF('Senet Borçlu Alacaklı Giriş'!$C$4="Gerçek Kişi","in","izin")&amp;" mükabilinde "&amp;TEXT(G189,"dd mmmm yyyy")&amp;" tarihinde Sayın : "&amp;'Senet Borçlu Alacaklı Giriş'!$C$1&amp;" 'ya veyahut emruhavalesine yukarıda yazılı Yalnız # "&amp;'Senet Taksit Giriş'!F12&amp;" # ödeyeceği"&amp;IF('Senet Borçlu Alacaklı Giriş'!$C$4="Gerçek Kişi","m.","z.")&amp;" Bedeli "&amp;'Senet Taksit Giriş'!G12&amp;"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191" s="86"/>
      <c r="H191" s="86"/>
      <c r="I191" s="86"/>
      <c r="J191" s="86"/>
      <c r="K191" s="86"/>
      <c r="L191" s="86"/>
      <c r="M191" s="86"/>
      <c r="N191" s="86"/>
      <c r="O191" s="86"/>
      <c r="P191" s="51"/>
    </row>
    <row r="192" spans="1:16" ht="23.85" customHeight="1" x14ac:dyDescent="0.35">
      <c r="A192" s="30"/>
      <c r="B192" s="42"/>
      <c r="C192" s="43"/>
      <c r="D192" s="54" t="str">
        <f>"# "&amp;TEXT(INT('Senet Taksit Giriş'!E12),"##.##0")&amp;" TL #"</f>
        <v># 17.000 TL #</v>
      </c>
      <c r="E192" s="89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51"/>
    </row>
    <row r="193" spans="1:16" ht="23.85" customHeight="1" x14ac:dyDescent="0.35">
      <c r="A193" s="30"/>
      <c r="B193" s="42"/>
      <c r="C193" s="30"/>
      <c r="D193" s="52" t="str">
        <f>"# "&amp;TEXT(('Senet Taksit Giriş'!E195-INT('Senet Taksit Giriş'!E195))*100,"##.##")&amp;"  Krş #"</f>
        <v>#   Krş #</v>
      </c>
      <c r="E193" s="89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51"/>
    </row>
    <row r="194" spans="1:16" ht="23.85" customHeight="1" x14ac:dyDescent="0.35">
      <c r="A194" s="30"/>
      <c r="B194" s="42"/>
      <c r="C194" s="30"/>
      <c r="D194" s="53" t="s">
        <v>47</v>
      </c>
      <c r="E194" s="89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51"/>
    </row>
    <row r="195" spans="1:16" ht="23.85" customHeight="1" x14ac:dyDescent="0.35">
      <c r="A195" s="30"/>
      <c r="B195" s="55"/>
      <c r="C195" s="30"/>
      <c r="D195" s="79" t="str">
        <f>$D$9</f>
        <v>Adem Duman</v>
      </c>
      <c r="E195" s="89"/>
      <c r="F195"/>
      <c r="G195"/>
      <c r="H195"/>
      <c r="I195"/>
      <c r="J195"/>
      <c r="K195"/>
      <c r="L195"/>
      <c r="M195"/>
      <c r="N195"/>
      <c r="O195"/>
      <c r="P195" s="51"/>
    </row>
    <row r="196" spans="1:16" ht="23.85" customHeight="1" x14ac:dyDescent="0.35">
      <c r="A196" s="30"/>
      <c r="B196" s="42"/>
      <c r="C196" s="30"/>
      <c r="D196" s="79"/>
      <c r="E196" s="89"/>
      <c r="F196" s="80" t="s">
        <v>48</v>
      </c>
      <c r="G196" s="88" t="str">
        <f>"İsim : "&amp;$D195</f>
        <v>İsim : Adem Duman</v>
      </c>
      <c r="H196" s="88"/>
      <c r="I196" s="88"/>
      <c r="J196" s="88"/>
      <c r="K196" s="32"/>
      <c r="L196" s="32"/>
      <c r="M196" s="82"/>
      <c r="N196" s="82"/>
      <c r="O196" s="33"/>
      <c r="P196" s="51"/>
    </row>
    <row r="197" spans="1:16" ht="23.85" customHeight="1" x14ac:dyDescent="0.35">
      <c r="A197" s="30"/>
      <c r="B197" s="56"/>
      <c r="C197" s="57"/>
      <c r="D197" s="79"/>
      <c r="E197" s="89"/>
      <c r="F197" s="80"/>
      <c r="G197" s="83" t="str">
        <f>"Adres : " &amp;'Senet Borçlu Alacaklı Giriş'!$C$6</f>
        <v>Adres : Hızarhane Cad. No:5 TOKAT</v>
      </c>
      <c r="H197" s="83"/>
      <c r="I197" s="83"/>
      <c r="J197" s="83"/>
      <c r="K197" s="83"/>
      <c r="L197" s="30"/>
      <c r="M197" s="30"/>
      <c r="N197" s="30"/>
      <c r="O197" s="51"/>
      <c r="P197" s="51"/>
    </row>
    <row r="198" spans="1:16" ht="23.85" customHeight="1" x14ac:dyDescent="0.35">
      <c r="A198" s="30"/>
      <c r="B198" s="56"/>
      <c r="C198" s="57"/>
      <c r="D198" s="79"/>
      <c r="E198" s="89"/>
      <c r="F198" s="80"/>
      <c r="G198" s="83"/>
      <c r="H198" s="83"/>
      <c r="I198" s="83"/>
      <c r="J198" s="83"/>
      <c r="K198" s="83"/>
      <c r="L198" s="43" t="s">
        <v>49</v>
      </c>
      <c r="M198" s="43"/>
      <c r="N198" s="39"/>
      <c r="O198" s="51"/>
      <c r="P198" s="51"/>
    </row>
    <row r="199" spans="1:16" ht="23.85" customHeight="1" x14ac:dyDescent="0.35">
      <c r="A199" s="30"/>
      <c r="B199" s="56"/>
      <c r="C199" s="57"/>
      <c r="D199" s="79"/>
      <c r="E199" s="89"/>
      <c r="F199" s="80"/>
      <c r="G199" s="84" t="str">
        <f>"Vergi Dairesi : "&amp;'Senet Borçlu Alacaklı Giriş'!$C$7</f>
        <v>Vergi Dairesi : Tokat</v>
      </c>
      <c r="H199" s="84"/>
      <c r="I199" s="84"/>
      <c r="J199" s="84"/>
      <c r="K199" s="30"/>
      <c r="L199" s="30"/>
      <c r="M199" s="30"/>
      <c r="N199" s="30"/>
      <c r="O199" s="51"/>
      <c r="P199" s="51"/>
    </row>
    <row r="200" spans="1:16" ht="23.85" customHeight="1" x14ac:dyDescent="0.35">
      <c r="A200" s="30"/>
      <c r="B200" s="42"/>
      <c r="C200" s="30"/>
      <c r="D200" s="79"/>
      <c r="E200" s="89"/>
      <c r="F200" s="80"/>
      <c r="G200" s="85" t="str">
        <f>"Vergi No / TC Kimlik No : "&amp;'Senet Borçlu Alacaklı Giriş'!$C$8</f>
        <v>Vergi No / TC Kimlik No : 341 3267 6260</v>
      </c>
      <c r="H200" s="85"/>
      <c r="I200" s="85"/>
      <c r="J200" s="85"/>
      <c r="K200" s="58"/>
      <c r="L200" s="58"/>
      <c r="M200" s="58"/>
      <c r="N200" s="58"/>
      <c r="O200" s="59"/>
      <c r="P200" s="51"/>
    </row>
    <row r="201" spans="1:16" ht="23.85" customHeight="1" x14ac:dyDescent="0.35">
      <c r="A201" s="30"/>
      <c r="B201" s="55"/>
      <c r="C201" s="30"/>
      <c r="D201" s="79"/>
      <c r="E201" s="89"/>
      <c r="F201" s="80" t="s">
        <v>18</v>
      </c>
      <c r="G201" s="88" t="str">
        <f>"İsim Unvan : "&amp;'Senet Borçlu Alacaklı Giriş'!$C$9</f>
        <v>İsim Unvan : Adem Duman</v>
      </c>
      <c r="H201" s="88"/>
      <c r="I201" s="88"/>
      <c r="J201" s="88"/>
      <c r="K201" s="32"/>
      <c r="L201" s="60"/>
      <c r="M201" s="32"/>
      <c r="N201" s="32"/>
      <c r="O201" s="33"/>
      <c r="P201" s="51"/>
    </row>
    <row r="202" spans="1:16" ht="23.85" customHeight="1" x14ac:dyDescent="0.35">
      <c r="A202" s="30"/>
      <c r="B202" s="42"/>
      <c r="C202" s="30"/>
      <c r="D202" s="53" t="s">
        <v>50</v>
      </c>
      <c r="E202" s="89"/>
      <c r="F202" s="80"/>
      <c r="G202" s="83" t="str">
        <f>"Adres : " &amp;'Senet Borçlu Alacaklı Giriş'!$C$10</f>
        <v>Adres : Esentepe Mah. Şehit Ulaşar Cad. Belde Sitesi B Blk. K1: D:3 TOKAT</v>
      </c>
      <c r="H202" s="83"/>
      <c r="I202" s="83"/>
      <c r="J202" s="83"/>
      <c r="K202" s="30"/>
      <c r="L202" s="30"/>
      <c r="M202" s="30"/>
      <c r="N202" s="30"/>
      <c r="O202" s="51"/>
      <c r="P202" s="51"/>
    </row>
    <row r="203" spans="1:16" ht="23.85" customHeight="1" x14ac:dyDescent="0.35">
      <c r="A203" s="30"/>
      <c r="B203" s="55"/>
      <c r="C203" s="30"/>
      <c r="D203" s="61">
        <f>'Senet Taksit Giriş'!D12</f>
        <v>45807</v>
      </c>
      <c r="E203" s="89"/>
      <c r="F203" s="80"/>
      <c r="G203" s="83"/>
      <c r="H203" s="83"/>
      <c r="I203" s="83"/>
      <c r="J203" s="83"/>
      <c r="K203" s="30"/>
      <c r="L203" s="43" t="s">
        <v>49</v>
      </c>
      <c r="M203" s="30"/>
      <c r="N203" s="30"/>
      <c r="O203" s="51"/>
      <c r="P203" s="51"/>
    </row>
    <row r="204" spans="1:16" ht="23.85" customHeight="1" x14ac:dyDescent="0.35">
      <c r="A204" s="30"/>
      <c r="B204" s="42"/>
      <c r="C204" s="30"/>
      <c r="D204" s="53" t="s">
        <v>51</v>
      </c>
      <c r="E204" s="89"/>
      <c r="F204" s="80"/>
      <c r="G204" s="84" t="str">
        <f>"Vergi Dairesi : "&amp;'Senet Borçlu Alacaklı Giriş'!$C$11</f>
        <v>Vergi Dairesi : Tokat</v>
      </c>
      <c r="H204" s="84"/>
      <c r="I204" s="84"/>
      <c r="J204" s="84"/>
      <c r="K204" s="30"/>
      <c r="L204" s="30"/>
      <c r="M204" s="30"/>
      <c r="N204" s="30"/>
      <c r="O204" s="51"/>
      <c r="P204" s="51"/>
    </row>
    <row r="205" spans="1:16" ht="23.85" customHeight="1" x14ac:dyDescent="0.35">
      <c r="A205" s="30"/>
      <c r="B205" s="42"/>
      <c r="C205" s="30"/>
      <c r="D205" s="61">
        <f>'Senet Taksit Giriş'!C12</f>
        <v>45503</v>
      </c>
      <c r="E205" s="89"/>
      <c r="F205" s="80"/>
      <c r="G205" s="85" t="str">
        <f>"Vergi No / TC Kimlik No : "&amp;'Senet Borçlu Alacaklı Giriş'!$C$12</f>
        <v>Vergi No / TC Kimlik No : 341 3267 6260</v>
      </c>
      <c r="H205" s="85"/>
      <c r="I205" s="85"/>
      <c r="J205" s="85"/>
      <c r="K205" s="58"/>
      <c r="L205" s="58"/>
      <c r="M205" s="58"/>
      <c r="N205" s="58"/>
      <c r="O205" s="59"/>
      <c r="P205" s="51"/>
    </row>
    <row r="206" spans="1:16" ht="23.85" customHeight="1" x14ac:dyDescent="0.35">
      <c r="A206" s="30"/>
      <c r="B206" s="62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9"/>
    </row>
    <row r="208" spans="1:16" ht="23.85" customHeight="1" x14ac:dyDescent="0.35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3"/>
    </row>
    <row r="209" spans="1:16" ht="23.85" customHeight="1" x14ac:dyDescent="0.35">
      <c r="A209" s="35"/>
      <c r="B209" s="36"/>
      <c r="C209" s="35"/>
      <c r="D209" s="37" t="s">
        <v>40</v>
      </c>
      <c r="E209" s="89" t="str">
        <f>$D216 &amp;"    - Taksit No: " &amp; $D211&amp;"  "</f>
        <v xml:space="preserve">Adem Duman    - Taksit No: # 11 #  </v>
      </c>
      <c r="F209" s="35"/>
      <c r="G209" s="38" t="s">
        <v>41</v>
      </c>
      <c r="H209" s="35"/>
      <c r="I209" s="38" t="s">
        <v>42</v>
      </c>
      <c r="J209" s="38" t="s">
        <v>43</v>
      </c>
      <c r="K209"/>
      <c r="L209" s="35"/>
      <c r="M209" s="38" t="s">
        <v>44</v>
      </c>
      <c r="N209" s="39"/>
      <c r="O209" s="38" t="s">
        <v>22</v>
      </c>
      <c r="P209" s="40"/>
    </row>
    <row r="210" spans="1:16" ht="23.85" customHeight="1" x14ac:dyDescent="0.35">
      <c r="A210" s="30"/>
      <c r="B210" s="42"/>
      <c r="C210" s="43"/>
      <c r="D210" s="44" t="s">
        <v>45</v>
      </c>
      <c r="E210" s="89"/>
      <c r="F210" s="30"/>
      <c r="G210" s="45">
        <f>D224</f>
        <v>45838</v>
      </c>
      <c r="H210" s="46"/>
      <c r="I210" s="47" t="str">
        <f>D213</f>
        <v># 17.000 TL #</v>
      </c>
      <c r="J210" s="48" t="str">
        <f>D214</f>
        <v>#   Krş #</v>
      </c>
      <c r="K210"/>
      <c r="L210" s="46"/>
      <c r="M210" s="49" t="str">
        <f>D211</f>
        <v># 11 #</v>
      </c>
      <c r="N210" s="39"/>
      <c r="O210" s="50">
        <f>D226</f>
        <v>45503</v>
      </c>
      <c r="P210" s="51"/>
    </row>
    <row r="211" spans="1:16" ht="23.85" customHeight="1" x14ac:dyDescent="0.35">
      <c r="A211" s="30"/>
      <c r="B211" s="42"/>
      <c r="C211" s="43"/>
      <c r="D211" s="52" t="str">
        <f>"# "&amp;TEXT(INT('Senet Taksit Giriş'!B13),"##.##0")&amp;" #"</f>
        <v># 11 #</v>
      </c>
      <c r="E211" s="8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51"/>
    </row>
    <row r="212" spans="1:16" ht="23.85" customHeight="1" x14ac:dyDescent="0.35">
      <c r="A212" s="30"/>
      <c r="B212" s="42"/>
      <c r="C212" s="43"/>
      <c r="D212" s="53" t="s">
        <v>46</v>
      </c>
      <c r="E212" s="89"/>
      <c r="F212" s="86" t="str">
        <f>"   İş bu emre muharrer senedim"&amp;IF('Senet Borçlu Alacaklı Giriş'!$C$4="Gerçek Kişi","in","izin")&amp;" mükabilinde "&amp;TEXT(G210,"dd mmmm yyyy")&amp;" tarihinde Sayın : "&amp;'Senet Borçlu Alacaklı Giriş'!$C$1&amp;" 'ya veyahut emruhavalesine yukarıda yazılı Yalnız # "&amp;'Senet Taksit Giriş'!F13&amp;" # ödeyeceği"&amp;IF('Senet Borçlu Alacaklı Giriş'!$C$4="Gerçek Kişi","m.","z.")&amp;" Bedeli "&amp;'Senet Taksit Giriş'!G13&amp;" ahzolunmuştur. İş bu bono vadesinde ödenmediği taktirde; iş bu bononun düzenleme tarihinin temerrüt başlangıç tarihi olarak kabul edileceğini, müteakip bonolarında muacceliyet kesbedeceğini,"&amp;" ihtilaf vukuunda "&amp;'Senet Borçlu Alacaklı Giriş'!$C$2&amp;" mahkemelerinin selahiyetini şimdiden kabul eyleri"&amp;IF('Senet Borçlu Alacaklı Giriş'!$C$4="Gerçek Kişi","m.","z.")</f>
        <v xml:space="preserve">   İş bu emre muharrer senedimin mükabilinde 00 mmmm 2025 tarihinde Sayın : HACI MURAT BALCI 'ya veyahut emruhavalesine yukarıda yazılı Yalnız # Onyedibin TL  # ödeyeceğim. Bedeli NAKDEN ahzolunmuştur. İş bu bono vadesinde ödenmediği taktirde; iş bu bononun düzenleme tarihinin temerrüt başlangıç tarihi olarak kabul edileceğini, müteakip bonolarında muacceliyet kesbedeceğini, ihtilaf vukuunda TOKAT mahkemelerinin selahiyetini şimdiden kabul eylerim.</v>
      </c>
      <c r="G212" s="86"/>
      <c r="H212" s="86"/>
      <c r="I212" s="86"/>
      <c r="J212" s="86"/>
      <c r="K212" s="86"/>
      <c r="L212" s="86"/>
      <c r="M212" s="86"/>
      <c r="N212" s="86"/>
      <c r="O212" s="86"/>
      <c r="P212" s="51"/>
    </row>
    <row r="213" spans="1:16" ht="23.85" customHeight="1" x14ac:dyDescent="0.35">
      <c r="A213" s="30"/>
      <c r="B213" s="42"/>
      <c r="C213" s="43"/>
      <c r="D213" s="54" t="str">
        <f>"# "&amp;TEXT(INT('Senet Taksit Giriş'!E13),"##.##0")&amp;" TL #"</f>
        <v># 17.000 TL #</v>
      </c>
      <c r="E213" s="89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51"/>
    </row>
    <row r="214" spans="1:16" ht="23.85" customHeight="1" x14ac:dyDescent="0.35">
      <c r="A214" s="30"/>
      <c r="B214" s="42"/>
      <c r="C214" s="30"/>
      <c r="D214" s="52" t="str">
        <f>"# "&amp;TEXT(('Senet Taksit Giriş'!E216-INT('Senet Taksit Giriş'!E216))*100,"##.##")&amp;"  Krş #"</f>
        <v>#   Krş #</v>
      </c>
      <c r="E214" s="89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51"/>
    </row>
    <row r="215" spans="1:16" ht="23.85" customHeight="1" x14ac:dyDescent="0.35">
      <c r="A215" s="30"/>
      <c r="B215" s="42"/>
      <c r="C215" s="30"/>
      <c r="D215" s="53" t="s">
        <v>47</v>
      </c>
      <c r="E215" s="89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51"/>
    </row>
    <row r="216" spans="1:16" ht="23.85" customHeight="1" x14ac:dyDescent="0.35">
      <c r="A216" s="30"/>
      <c r="B216" s="55"/>
      <c r="C216" s="30"/>
      <c r="D216" s="79" t="str">
        <f>$D$9</f>
        <v>Adem Duman</v>
      </c>
      <c r="E216" s="89"/>
      <c r="F216"/>
      <c r="G216"/>
      <c r="H216"/>
      <c r="I216"/>
      <c r="J216"/>
      <c r="K216"/>
      <c r="L216"/>
      <c r="M216"/>
      <c r="N216"/>
      <c r="O216"/>
      <c r="P216" s="51"/>
    </row>
    <row r="217" spans="1:16" ht="23.85" customHeight="1" x14ac:dyDescent="0.35">
      <c r="A217" s="30"/>
      <c r="B217" s="42"/>
      <c r="C217" s="30"/>
      <c r="D217" s="79"/>
      <c r="E217" s="89"/>
      <c r="F217" s="80" t="s">
        <v>48</v>
      </c>
      <c r="G217" s="88" t="str">
        <f>"İsim : "&amp;$D216</f>
        <v>İsim : Adem Duman</v>
      </c>
      <c r="H217" s="88"/>
      <c r="I217" s="88"/>
      <c r="J217" s="88"/>
      <c r="K217" s="32"/>
      <c r="L217" s="32"/>
      <c r="M217" s="82"/>
      <c r="N217" s="82"/>
      <c r="O217" s="33"/>
      <c r="P217" s="51"/>
    </row>
    <row r="218" spans="1:16" ht="23.85" customHeight="1" x14ac:dyDescent="0.35">
      <c r="A218" s="30"/>
      <c r="B218" s="56"/>
      <c r="C218" s="57"/>
      <c r="D218" s="79"/>
      <c r="E218" s="89"/>
      <c r="F218" s="80"/>
      <c r="G218" s="83" t="str">
        <f>"Adres : " &amp;'Senet Borçlu Alacaklı Giriş'!$C$6</f>
        <v>Adres : Hızarhane Cad. No:5 TOKAT</v>
      </c>
      <c r="H218" s="83"/>
      <c r="I218" s="83"/>
      <c r="J218" s="83"/>
      <c r="K218" s="83"/>
      <c r="L218" s="30"/>
      <c r="M218" s="30"/>
      <c r="N218" s="30"/>
      <c r="O218" s="51"/>
      <c r="P218" s="51"/>
    </row>
    <row r="219" spans="1:16" ht="23.85" customHeight="1" x14ac:dyDescent="0.35">
      <c r="A219" s="30"/>
      <c r="B219" s="56"/>
      <c r="C219" s="57"/>
      <c r="D219" s="79"/>
      <c r="E219" s="89"/>
      <c r="F219" s="80"/>
      <c r="G219" s="83"/>
      <c r="H219" s="83"/>
      <c r="I219" s="83"/>
      <c r="J219" s="83"/>
      <c r="K219" s="83"/>
      <c r="L219" s="43" t="s">
        <v>49</v>
      </c>
      <c r="M219" s="43"/>
      <c r="N219" s="39"/>
      <c r="O219" s="51"/>
      <c r="P219" s="51"/>
    </row>
    <row r="220" spans="1:16" ht="23.85" customHeight="1" x14ac:dyDescent="0.35">
      <c r="A220" s="30"/>
      <c r="B220" s="56"/>
      <c r="C220" s="57"/>
      <c r="D220" s="79"/>
      <c r="E220" s="89"/>
      <c r="F220" s="80"/>
      <c r="G220" s="84" t="str">
        <f>"Vergi Dairesi : "&amp;'Senet Borçlu Alacaklı Giriş'!$C$7</f>
        <v>Vergi Dairesi : Tokat</v>
      </c>
      <c r="H220" s="84"/>
      <c r="I220" s="84"/>
      <c r="J220" s="84"/>
      <c r="K220" s="30"/>
      <c r="L220" s="30"/>
      <c r="M220" s="30"/>
      <c r="N220" s="30"/>
      <c r="O220" s="51"/>
      <c r="P220" s="51"/>
    </row>
    <row r="221" spans="1:16" ht="23.85" customHeight="1" x14ac:dyDescent="0.35">
      <c r="A221" s="30"/>
      <c r="B221" s="42"/>
      <c r="C221" s="30"/>
      <c r="D221" s="79"/>
      <c r="E221" s="89"/>
      <c r="F221" s="80"/>
      <c r="G221" s="85" t="str">
        <f>"Vergi No / TC Kimlik No : "&amp;'Senet Borçlu Alacaklı Giriş'!$C$8</f>
        <v>Vergi No / TC Kimlik No : 341 3267 6260</v>
      </c>
      <c r="H221" s="85"/>
      <c r="I221" s="85"/>
      <c r="J221" s="85"/>
      <c r="K221" s="58"/>
      <c r="L221" s="58"/>
      <c r="M221" s="58"/>
      <c r="N221" s="58"/>
      <c r="O221" s="59"/>
      <c r="P221" s="51"/>
    </row>
    <row r="222" spans="1:16" ht="23.85" customHeight="1" x14ac:dyDescent="0.35">
      <c r="A222" s="30"/>
      <c r="B222" s="55"/>
      <c r="C222" s="30"/>
      <c r="D222" s="79"/>
      <c r="E222" s="89"/>
      <c r="F222" s="80" t="s">
        <v>18</v>
      </c>
      <c r="G222" s="88" t="str">
        <f>"İsim Unvan : "&amp;'Senet Borçlu Alacaklı Giriş'!$C$9</f>
        <v>İsim Unvan : Adem Duman</v>
      </c>
      <c r="H222" s="88"/>
      <c r="I222" s="88"/>
      <c r="J222" s="88"/>
      <c r="K222" s="32"/>
      <c r="L222" s="60"/>
      <c r="M222" s="32"/>
      <c r="N222" s="32"/>
      <c r="O222" s="33"/>
      <c r="P222" s="51"/>
    </row>
    <row r="223" spans="1:16" ht="23.85" customHeight="1" x14ac:dyDescent="0.35">
      <c r="A223" s="30"/>
      <c r="B223" s="42"/>
      <c r="C223" s="30"/>
      <c r="D223" s="53" t="s">
        <v>50</v>
      </c>
      <c r="E223" s="89"/>
      <c r="F223" s="80"/>
      <c r="G223" s="83" t="str">
        <f>"Adres : " &amp;'Senet Borçlu Alacaklı Giriş'!$C$10</f>
        <v>Adres : Esentepe Mah. Şehit Ulaşar Cad. Belde Sitesi B Blk. K1: D:3 TOKAT</v>
      </c>
      <c r="H223" s="83"/>
      <c r="I223" s="83"/>
      <c r="J223" s="83"/>
      <c r="K223" s="30"/>
      <c r="L223" s="30"/>
      <c r="M223" s="30"/>
      <c r="N223" s="30"/>
      <c r="O223" s="51"/>
      <c r="P223" s="51"/>
    </row>
    <row r="224" spans="1:16" ht="23.85" customHeight="1" x14ac:dyDescent="0.35">
      <c r="A224" s="30"/>
      <c r="B224" s="55"/>
      <c r="C224" s="30"/>
      <c r="D224" s="61">
        <f>'Senet Taksit Giriş'!D13</f>
        <v>45838</v>
      </c>
      <c r="E224" s="89"/>
      <c r="F224" s="80"/>
      <c r="G224" s="83"/>
      <c r="H224" s="83"/>
      <c r="I224" s="83"/>
      <c r="J224" s="83"/>
      <c r="K224" s="30"/>
      <c r="L224" s="43" t="s">
        <v>49</v>
      </c>
      <c r="M224" s="30"/>
      <c r="N224" s="30"/>
      <c r="O224" s="51"/>
      <c r="P224" s="51"/>
    </row>
    <row r="225" spans="1:16" ht="23.85" customHeight="1" x14ac:dyDescent="0.35">
      <c r="A225" s="30"/>
      <c r="B225" s="42"/>
      <c r="C225" s="30"/>
      <c r="D225" s="53" t="s">
        <v>51</v>
      </c>
      <c r="E225" s="89"/>
      <c r="F225" s="80"/>
      <c r="G225" s="84" t="str">
        <f>"Vergi Dairesi : "&amp;'Senet Borçlu Alacaklı Giriş'!$C$11</f>
        <v>Vergi Dairesi : Tokat</v>
      </c>
      <c r="H225" s="84"/>
      <c r="I225" s="84"/>
      <c r="J225" s="84"/>
      <c r="K225" s="30"/>
      <c r="L225" s="30"/>
      <c r="M225" s="30"/>
      <c r="N225" s="30"/>
      <c r="O225" s="51"/>
      <c r="P225" s="51"/>
    </row>
    <row r="226" spans="1:16" ht="23.85" customHeight="1" x14ac:dyDescent="0.35">
      <c r="A226" s="30"/>
      <c r="B226" s="42"/>
      <c r="C226" s="30"/>
      <c r="D226" s="61">
        <f>'Senet Taksit Giriş'!C13</f>
        <v>45503</v>
      </c>
      <c r="E226" s="89"/>
      <c r="F226" s="80"/>
      <c r="G226" s="85" t="str">
        <f>"Vergi No / TC Kimlik No : "&amp;'Senet Borçlu Alacaklı Giriş'!$C$12</f>
        <v>Vergi No / TC Kimlik No : 341 3267 6260</v>
      </c>
      <c r="H226" s="85"/>
      <c r="I226" s="85"/>
      <c r="J226" s="85"/>
      <c r="K226" s="58"/>
      <c r="L226" s="58"/>
      <c r="M226" s="58"/>
      <c r="N226" s="58"/>
      <c r="O226" s="59"/>
      <c r="P226" s="51"/>
    </row>
    <row r="227" spans="1:16" ht="23.85" customHeight="1" x14ac:dyDescent="0.35">
      <c r="A227" s="30"/>
      <c r="B227" s="62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9"/>
    </row>
    <row r="229" spans="1:16" ht="23.85" customHeight="1" x14ac:dyDescent="0.35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3"/>
    </row>
    <row r="230" spans="1:16" ht="23.85" customHeight="1" x14ac:dyDescent="0.35">
      <c r="A230" s="35"/>
      <c r="B230" s="36"/>
      <c r="C230" s="35"/>
      <c r="D230" s="37" t="s">
        <v>40</v>
      </c>
      <c r="E230" s="89" t="str">
        <f>$D238 &amp;"    - Taksit No: " &amp; $D232&amp;"  "</f>
        <v xml:space="preserve">Adem Duman    - Taksit No: #         #  </v>
      </c>
      <c r="F230" s="35"/>
      <c r="G230" s="38" t="s">
        <v>104</v>
      </c>
      <c r="H230" s="35"/>
      <c r="I230" s="38" t="s">
        <v>42</v>
      </c>
      <c r="J230" s="38" t="s">
        <v>43</v>
      </c>
      <c r="K230"/>
      <c r="L230" s="35"/>
      <c r="M230" s="38" t="s">
        <v>44</v>
      </c>
      <c r="N230" s="39"/>
      <c r="O230" s="38" t="s">
        <v>22</v>
      </c>
      <c r="P230" s="40"/>
    </row>
    <row r="231" spans="1:16" ht="23.85" customHeight="1" x14ac:dyDescent="0.35">
      <c r="A231" s="30"/>
      <c r="B231" s="42"/>
      <c r="C231" s="43"/>
      <c r="D231" s="44" t="s">
        <v>45</v>
      </c>
      <c r="E231" s="89"/>
      <c r="F231" s="30"/>
      <c r="G231" s="45"/>
      <c r="H231" s="46"/>
      <c r="I231" s="47" t="str">
        <f>D234</f>
        <v xml:space="preserve">                         TL </v>
      </c>
      <c r="J231" s="48" t="str">
        <f>D235</f>
        <v xml:space="preserve">         Krş </v>
      </c>
      <c r="K231"/>
      <c r="L231" s="46"/>
      <c r="M231" s="49" t="str">
        <f>D232</f>
        <v>#         #</v>
      </c>
      <c r="N231" s="39"/>
      <c r="O231" s="50"/>
      <c r="P231" s="51"/>
    </row>
    <row r="232" spans="1:16" ht="23.85" customHeight="1" x14ac:dyDescent="0.35">
      <c r="A232" s="30"/>
      <c r="B232" s="42"/>
      <c r="C232" s="43"/>
      <c r="D232" s="52" t="str">
        <f>"# "&amp;TEXT(INT('Senet Taksit Giriş'!B14),"##.##    ")&amp;"    #"</f>
        <v>#         #</v>
      </c>
      <c r="E232" s="8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51"/>
    </row>
    <row r="233" spans="1:16" ht="23.85" customHeight="1" x14ac:dyDescent="0.35">
      <c r="A233" s="30"/>
      <c r="B233" s="42"/>
      <c r="C233" s="43"/>
      <c r="D233" s="53" t="s">
        <v>46</v>
      </c>
      <c r="E233" s="89"/>
      <c r="F233" s="86" t="str">
        <f>"   İş bu emre muharrer senedim"&amp;IF('Senet Borçlu Alacaklı Giriş'!$C$4="Gerçek Kişi","in","izin") &amp; " mükabilinde                 " &amp; "              tarihinde Sayın :                                                                       'ya "&amp;" veyahut emruhavalesine yukarıda yazılı Yalnız #                                      " &amp; "                                                                                            # TL ödeyeceği"&amp;IF('Senet Borçlu Alacaklı Giriş'!$C$4="Gerçek Kişi","m.","z.")&amp;" Bedeli "&amp;'Senet Taksit Giriş'!G14&amp;"  ahzolunmuştur. "</f>
        <v xml:space="preserve">   İş bu emre muharrer senedimin mükabilinde                               tarihinde Sayın :                                                                       'ya  veyahut emruhavalesine yukarıda yazılı Yalnız #                                                                                                                                  # TL ödeyeceğim. Bedeli nakden  ahzolunmuştur. </v>
      </c>
      <c r="G233" s="87"/>
      <c r="H233" s="87"/>
      <c r="I233" s="87"/>
      <c r="J233" s="87"/>
      <c r="K233" s="87"/>
      <c r="L233" s="87"/>
      <c r="M233" s="87"/>
      <c r="N233" s="87"/>
      <c r="O233" s="87"/>
      <c r="P233" s="51"/>
    </row>
    <row r="234" spans="1:16" ht="23.85" customHeight="1" x14ac:dyDescent="0.35">
      <c r="A234" s="30"/>
      <c r="B234" s="42"/>
      <c r="C234" s="43"/>
      <c r="D234" s="54" t="str">
        <f>TEXT(INT('Senet Taksit Giriş'!E14),"##.##                        ")&amp;" TL "</f>
        <v xml:space="preserve">                         TL </v>
      </c>
      <c r="E234" s="89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51"/>
    </row>
    <row r="235" spans="1:16" ht="23.85" customHeight="1" x14ac:dyDescent="0.35">
      <c r="A235" s="30"/>
      <c r="B235" s="42"/>
      <c r="C235" s="30"/>
      <c r="D235" s="52" t="str">
        <f>" "&amp;TEXT(('Senet Taksit Giriş'!E237-INT('Senet Taksit Giriş'!E237))*100,"##.##       ")&amp;" Krş "</f>
        <v xml:space="preserve">         Krş </v>
      </c>
      <c r="E235" s="89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51"/>
    </row>
    <row r="236" spans="1:16" ht="51.75" customHeight="1" x14ac:dyDescent="0.35">
      <c r="A236" s="30"/>
      <c r="B236" s="42"/>
      <c r="C236" s="30"/>
      <c r="D236" s="53" t="s">
        <v>47</v>
      </c>
      <c r="E236" s="89"/>
      <c r="F236" s="86" t="str">
        <f>"İş bu bono vadesinde ödenmediği taktirde; iş bu bononun düzenleme tarihinin temerrüt başlangıç tarihi olarak, temerrüt faizi olarak ise yasal faizin iki katı faiz uygulanmasını kabul ettiğimi, "&amp;" ihtilaf vukuunda "&amp;'Senet Borçlu Alacaklı Giriş'!$C$2&amp;" mahkemelerinin selahiyetini şimdiden kabul eyleri"&amp;IF('Senet Borçlu Alacaklı Giriş'!$C$4="Gerçek Kişi","m.","z.")</f>
        <v>İş bu bono vadesinde ödenmediği taktirde; iş bu bononun düzenleme tarihinin temerrüt başlangıç tarihi olarak, temerrüt faizi olarak ise yasal faizin iki katı faiz uygulanmasını kabul ettiğimi,  ihtilaf vukuunda TOKAT mahkemelerinin selahiyetini şimdiden kabul eylerim.</v>
      </c>
      <c r="G236" s="87"/>
      <c r="H236" s="87"/>
      <c r="I236" s="87"/>
      <c r="J236" s="87"/>
      <c r="K236" s="87"/>
      <c r="L236" s="87"/>
      <c r="M236" s="87"/>
      <c r="N236" s="87"/>
      <c r="O236" s="87"/>
      <c r="P236" s="51"/>
    </row>
    <row r="237" spans="1:16" ht="20.25" customHeight="1" x14ac:dyDescent="0.35">
      <c r="A237" s="30"/>
      <c r="B237" s="42"/>
      <c r="C237" s="30"/>
      <c r="D237" s="74"/>
      <c r="E237" s="89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51"/>
    </row>
    <row r="238" spans="1:16" ht="23.25" customHeight="1" x14ac:dyDescent="0.35">
      <c r="A238" s="30"/>
      <c r="B238" s="55"/>
      <c r="C238" s="30"/>
      <c r="D238" s="79" t="str">
        <f>$D$9</f>
        <v>Adem Duman</v>
      </c>
      <c r="E238" s="89"/>
      <c r="F238"/>
      <c r="G238"/>
      <c r="H238"/>
      <c r="I238"/>
      <c r="J238"/>
      <c r="K238"/>
      <c r="L238"/>
      <c r="M238"/>
      <c r="N238"/>
      <c r="O238"/>
      <c r="P238" s="51"/>
    </row>
    <row r="239" spans="1:16" ht="23.85" customHeight="1" x14ac:dyDescent="0.35">
      <c r="A239" s="30"/>
      <c r="B239" s="42"/>
      <c r="C239" s="30"/>
      <c r="D239" s="79"/>
      <c r="E239" s="89"/>
      <c r="F239" s="80" t="s">
        <v>48</v>
      </c>
      <c r="G239" s="88" t="str">
        <f>"İsim : "&amp;$D238</f>
        <v>İsim : Adem Duman</v>
      </c>
      <c r="H239" s="88"/>
      <c r="I239" s="88"/>
      <c r="J239" s="88"/>
      <c r="K239" s="32"/>
      <c r="L239" s="32"/>
      <c r="M239" s="82"/>
      <c r="N239" s="82"/>
      <c r="O239" s="33"/>
      <c r="P239" s="51"/>
    </row>
    <row r="240" spans="1:16" ht="23.85" customHeight="1" x14ac:dyDescent="0.35">
      <c r="A240" s="30"/>
      <c r="B240" s="56"/>
      <c r="C240" s="57"/>
      <c r="D240" s="79"/>
      <c r="E240" s="89"/>
      <c r="F240" s="80"/>
      <c r="G240" s="83" t="str">
        <f>"Adres : " &amp;'Senet Borçlu Alacaklı Giriş'!$C$6</f>
        <v>Adres : Hızarhane Cad. No:5 TOKAT</v>
      </c>
      <c r="H240" s="83"/>
      <c r="I240" s="83"/>
      <c r="J240" s="83"/>
      <c r="K240" s="83"/>
      <c r="L240" s="30"/>
      <c r="M240" s="30"/>
      <c r="N240" s="30"/>
      <c r="O240" s="51"/>
      <c r="P240" s="51"/>
    </row>
    <row r="241" spans="1:16" ht="23.85" customHeight="1" x14ac:dyDescent="0.35">
      <c r="A241" s="30"/>
      <c r="B241" s="56"/>
      <c r="C241" s="57"/>
      <c r="D241" s="79"/>
      <c r="E241" s="89"/>
      <c r="F241" s="80"/>
      <c r="G241" s="83"/>
      <c r="H241" s="83"/>
      <c r="I241" s="83"/>
      <c r="J241" s="83"/>
      <c r="K241" s="83"/>
      <c r="L241" s="43" t="s">
        <v>49</v>
      </c>
      <c r="M241" s="43"/>
      <c r="N241" s="39"/>
      <c r="O241" s="51"/>
      <c r="P241" s="51"/>
    </row>
    <row r="242" spans="1:16" ht="23.85" customHeight="1" x14ac:dyDescent="0.35">
      <c r="A242" s="30"/>
      <c r="B242" s="56"/>
      <c r="C242" s="57"/>
      <c r="D242" s="79"/>
      <c r="E242" s="89"/>
      <c r="F242" s="80"/>
      <c r="G242" s="84" t="str">
        <f>"Vergi Dairesi : "&amp;'Senet Borçlu Alacaklı Giriş'!$C$7</f>
        <v>Vergi Dairesi : Tokat</v>
      </c>
      <c r="H242" s="84"/>
      <c r="I242" s="84"/>
      <c r="J242" s="84"/>
      <c r="K242" s="30"/>
      <c r="L242" s="30"/>
      <c r="M242" s="30"/>
      <c r="N242" s="30"/>
      <c r="O242" s="51"/>
      <c r="P242" s="51"/>
    </row>
    <row r="243" spans="1:16" ht="23.85" customHeight="1" x14ac:dyDescent="0.35">
      <c r="A243" s="30"/>
      <c r="B243" s="42"/>
      <c r="C243" s="30"/>
      <c r="D243" s="79"/>
      <c r="E243" s="89"/>
      <c r="F243" s="80"/>
      <c r="G243" s="85" t="str">
        <f>"Vergi No / TC Kimlik No : "&amp;'Senet Borçlu Alacaklı Giriş'!$C$8</f>
        <v>Vergi No / TC Kimlik No : 341 3267 6260</v>
      </c>
      <c r="H243" s="85"/>
      <c r="I243" s="85"/>
      <c r="J243" s="85"/>
      <c r="K243" s="58"/>
      <c r="L243" s="58"/>
      <c r="M243" s="58"/>
      <c r="N243" s="58"/>
      <c r="O243" s="59"/>
      <c r="P243" s="51"/>
    </row>
    <row r="244" spans="1:16" ht="23.85" customHeight="1" x14ac:dyDescent="0.35">
      <c r="A244" s="30"/>
      <c r="B244" s="55"/>
      <c r="C244" s="30"/>
      <c r="D244" s="79"/>
      <c r="E244" s="89"/>
      <c r="F244" s="80" t="s">
        <v>18</v>
      </c>
      <c r="G244" s="88" t="str">
        <f>"İsim : "&amp;'Senet Borçlu Alacaklı Giriş'!$C$9</f>
        <v>İsim : Adem Duman</v>
      </c>
      <c r="H244" s="88"/>
      <c r="I244" s="88"/>
      <c r="J244" s="88"/>
      <c r="K244" s="32"/>
      <c r="L244" s="60"/>
      <c r="M244" s="32"/>
      <c r="N244" s="32"/>
      <c r="O244" s="33"/>
      <c r="P244" s="51"/>
    </row>
    <row r="245" spans="1:16" ht="23.85" customHeight="1" x14ac:dyDescent="0.35">
      <c r="A245" s="30"/>
      <c r="B245" s="42"/>
      <c r="C245" s="30"/>
      <c r="D245" s="53" t="s">
        <v>50</v>
      </c>
      <c r="E245" s="89"/>
      <c r="F245" s="80"/>
      <c r="G245" s="83" t="str">
        <f>"Adres : " &amp;'Senet Borçlu Alacaklı Giriş'!$C$10</f>
        <v>Adres : Esentepe Mah. Şehit Ulaşar Cad. Belde Sitesi B Blk. K1: D:3 TOKAT</v>
      </c>
      <c r="H245" s="83"/>
      <c r="I245" s="83"/>
      <c r="J245" s="83"/>
      <c r="K245" s="30"/>
      <c r="L245" s="30"/>
      <c r="M245" s="30"/>
      <c r="N245" s="30"/>
      <c r="O245" s="51"/>
      <c r="P245" s="51"/>
    </row>
    <row r="246" spans="1:16" ht="23.85" customHeight="1" x14ac:dyDescent="0.35">
      <c r="A246" s="30"/>
      <c r="B246" s="55"/>
      <c r="C246" s="30"/>
      <c r="D246" s="61">
        <f>'Senet Taksit Giriş'!D14</f>
        <v>0</v>
      </c>
      <c r="E246" s="89"/>
      <c r="F246" s="80"/>
      <c r="G246" s="83"/>
      <c r="H246" s="83"/>
      <c r="I246" s="83"/>
      <c r="J246" s="83"/>
      <c r="K246" s="30"/>
      <c r="L246" s="43" t="s">
        <v>49</v>
      </c>
      <c r="M246" s="30"/>
      <c r="N246" s="30"/>
      <c r="O246" s="51"/>
      <c r="P246" s="51"/>
    </row>
    <row r="247" spans="1:16" ht="23.85" customHeight="1" x14ac:dyDescent="0.35">
      <c r="A247" s="30"/>
      <c r="B247" s="42"/>
      <c r="C247" s="30"/>
      <c r="D247" s="53" t="s">
        <v>51</v>
      </c>
      <c r="E247" s="89"/>
      <c r="F247" s="80"/>
      <c r="G247" s="84" t="str">
        <f>"Vergi Dairesi : "&amp;'Senet Borçlu Alacaklı Giriş'!$C$11</f>
        <v>Vergi Dairesi : Tokat</v>
      </c>
      <c r="H247" s="84"/>
      <c r="I247" s="84"/>
      <c r="J247" s="84"/>
      <c r="K247" s="30"/>
      <c r="L247" s="30"/>
      <c r="M247" s="30"/>
      <c r="N247" s="30"/>
      <c r="O247" s="51"/>
      <c r="P247" s="51"/>
    </row>
    <row r="248" spans="1:16" ht="23.85" customHeight="1" x14ac:dyDescent="0.35">
      <c r="A248" s="30"/>
      <c r="B248" s="42"/>
      <c r="C248" s="30"/>
      <c r="D248" s="61">
        <f>'Senet Taksit Giriş'!C14</f>
        <v>45503</v>
      </c>
      <c r="E248" s="89"/>
      <c r="F248" s="80"/>
      <c r="G248" s="85" t="str">
        <f>"Vergi No / TC Kimlik No : "&amp;'Senet Borçlu Alacaklı Giriş'!$C$12</f>
        <v>Vergi No / TC Kimlik No : 341 3267 6260</v>
      </c>
      <c r="H248" s="85"/>
      <c r="I248" s="85"/>
      <c r="J248" s="85"/>
      <c r="K248" s="58"/>
      <c r="L248" s="58"/>
      <c r="M248" s="58"/>
      <c r="N248" s="58"/>
      <c r="O248" s="59"/>
      <c r="P248" s="51"/>
    </row>
    <row r="249" spans="1:16" ht="23.85" customHeight="1" x14ac:dyDescent="0.35">
      <c r="A249" s="30"/>
      <c r="B249" s="62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9"/>
    </row>
    <row r="1048549" ht="12.75" customHeight="1" x14ac:dyDescent="0.35"/>
    <row r="1048550" ht="12.75" customHeight="1" x14ac:dyDescent="0.35"/>
    <row r="1048551" ht="12.75" customHeight="1" x14ac:dyDescent="0.35"/>
    <row r="1048552" ht="12.75" customHeight="1" x14ac:dyDescent="0.35"/>
    <row r="1048553" ht="12.75" customHeight="1" x14ac:dyDescent="0.35"/>
    <row r="1048554" ht="12.75" customHeight="1" x14ac:dyDescent="0.35"/>
    <row r="1048555" ht="12.75" customHeight="1" x14ac:dyDescent="0.35"/>
    <row r="1048556" ht="12.75" customHeight="1" x14ac:dyDescent="0.35"/>
    <row r="1048557" ht="12.75" customHeight="1" x14ac:dyDescent="0.35"/>
    <row r="1048558" ht="12.75" customHeight="1" x14ac:dyDescent="0.35"/>
    <row r="1048559" ht="12.75" customHeight="1" x14ac:dyDescent="0.35"/>
    <row r="1048560" ht="12.75" customHeight="1" x14ac:dyDescent="0.35"/>
    <row r="1048561" ht="12.75" customHeight="1" x14ac:dyDescent="0.35"/>
    <row r="1048562" ht="12.75" customHeight="1" x14ac:dyDescent="0.35"/>
    <row r="1048563" ht="12.75" customHeight="1" x14ac:dyDescent="0.35"/>
    <row r="1048564" ht="12.75" customHeight="1" x14ac:dyDescent="0.35"/>
    <row r="1048565" ht="12.75" customHeight="1" x14ac:dyDescent="0.35"/>
    <row r="1048566" ht="12.75" customHeight="1" x14ac:dyDescent="0.35"/>
    <row r="1048567" ht="12.75" customHeight="1" x14ac:dyDescent="0.35"/>
    <row r="1048568" ht="12.75" customHeight="1" x14ac:dyDescent="0.35"/>
    <row r="1048569" ht="12.75" customHeight="1" x14ac:dyDescent="0.35"/>
    <row r="1048570" ht="12.75" customHeight="1" x14ac:dyDescent="0.35"/>
    <row r="1048571" ht="12.75" customHeight="1" x14ac:dyDescent="0.35"/>
    <row r="1048572" ht="12.75" customHeight="1" x14ac:dyDescent="0.35"/>
    <row r="1048573" ht="12.75" customHeight="1" x14ac:dyDescent="0.35"/>
    <row r="1048574" ht="12.75" customHeight="1" x14ac:dyDescent="0.35"/>
    <row r="1048575" ht="12.75" customHeight="1" x14ac:dyDescent="0.35"/>
    <row r="1048576" ht="12.75" customHeight="1" x14ac:dyDescent="0.35"/>
  </sheetData>
  <mergeCells count="169">
    <mergeCell ref="E230:E248"/>
    <mergeCell ref="G247:J247"/>
    <mergeCell ref="G248:J248"/>
    <mergeCell ref="E209:E226"/>
    <mergeCell ref="F212:O215"/>
    <mergeCell ref="F236:O237"/>
    <mergeCell ref="D238:D244"/>
    <mergeCell ref="F239:F243"/>
    <mergeCell ref="G239:J239"/>
    <mergeCell ref="M239:N239"/>
    <mergeCell ref="G240:K241"/>
    <mergeCell ref="G242:J242"/>
    <mergeCell ref="G243:J243"/>
    <mergeCell ref="F244:F248"/>
    <mergeCell ref="G244:J244"/>
    <mergeCell ref="G245:J246"/>
    <mergeCell ref="D216:D222"/>
    <mergeCell ref="F217:F221"/>
    <mergeCell ref="G217:J217"/>
    <mergeCell ref="M217:N217"/>
    <mergeCell ref="G218:K219"/>
    <mergeCell ref="G220:J220"/>
    <mergeCell ref="G221:J221"/>
    <mergeCell ref="F222:F226"/>
    <mergeCell ref="D195:D201"/>
    <mergeCell ref="F196:F200"/>
    <mergeCell ref="G196:J196"/>
    <mergeCell ref="M196:N196"/>
    <mergeCell ref="G197:K198"/>
    <mergeCell ref="G199:J199"/>
    <mergeCell ref="G200:J200"/>
    <mergeCell ref="F201:F205"/>
    <mergeCell ref="G201:J201"/>
    <mergeCell ref="G202:J203"/>
    <mergeCell ref="G222:J222"/>
    <mergeCell ref="G223:J224"/>
    <mergeCell ref="G225:J225"/>
    <mergeCell ref="G226:J226"/>
    <mergeCell ref="G181:J181"/>
    <mergeCell ref="G182:J183"/>
    <mergeCell ref="G184:J184"/>
    <mergeCell ref="G185:J185"/>
    <mergeCell ref="E188:E205"/>
    <mergeCell ref="F191:O194"/>
    <mergeCell ref="G204:J204"/>
    <mergeCell ref="G205:J205"/>
    <mergeCell ref="E168:E185"/>
    <mergeCell ref="F171:O174"/>
    <mergeCell ref="E147:E164"/>
    <mergeCell ref="F150:O153"/>
    <mergeCell ref="G163:J163"/>
    <mergeCell ref="G164:J164"/>
    <mergeCell ref="E126:E143"/>
    <mergeCell ref="F129:O132"/>
    <mergeCell ref="D175:D181"/>
    <mergeCell ref="F176:F180"/>
    <mergeCell ref="G176:J176"/>
    <mergeCell ref="M176:N176"/>
    <mergeCell ref="G177:K178"/>
    <mergeCell ref="G179:J179"/>
    <mergeCell ref="G180:J180"/>
    <mergeCell ref="F181:F185"/>
    <mergeCell ref="D154:D160"/>
    <mergeCell ref="F155:F159"/>
    <mergeCell ref="G155:J155"/>
    <mergeCell ref="M155:N155"/>
    <mergeCell ref="G156:K157"/>
    <mergeCell ref="G158:J158"/>
    <mergeCell ref="G159:J159"/>
    <mergeCell ref="F160:F164"/>
    <mergeCell ref="G160:J160"/>
    <mergeCell ref="G161:J162"/>
    <mergeCell ref="D133:D139"/>
    <mergeCell ref="F134:F138"/>
    <mergeCell ref="G134:J134"/>
    <mergeCell ref="M134:N134"/>
    <mergeCell ref="G135:K136"/>
    <mergeCell ref="G137:J137"/>
    <mergeCell ref="G138:J138"/>
    <mergeCell ref="F139:F143"/>
    <mergeCell ref="D113:D119"/>
    <mergeCell ref="F114:F118"/>
    <mergeCell ref="G114:J114"/>
    <mergeCell ref="M114:N114"/>
    <mergeCell ref="G115:K116"/>
    <mergeCell ref="G117:J117"/>
    <mergeCell ref="G118:J118"/>
    <mergeCell ref="F119:F123"/>
    <mergeCell ref="G119:J119"/>
    <mergeCell ref="G120:J121"/>
    <mergeCell ref="G139:J139"/>
    <mergeCell ref="G140:J141"/>
    <mergeCell ref="G142:J142"/>
    <mergeCell ref="G143:J143"/>
    <mergeCell ref="G98:J98"/>
    <mergeCell ref="G99:J100"/>
    <mergeCell ref="G101:J101"/>
    <mergeCell ref="G102:J102"/>
    <mergeCell ref="E106:E123"/>
    <mergeCell ref="F109:O112"/>
    <mergeCell ref="G122:J122"/>
    <mergeCell ref="G123:J123"/>
    <mergeCell ref="E85:E102"/>
    <mergeCell ref="F88:O91"/>
    <mergeCell ref="E64:E81"/>
    <mergeCell ref="F67:O70"/>
    <mergeCell ref="G80:J80"/>
    <mergeCell ref="G81:J81"/>
    <mergeCell ref="E44:E61"/>
    <mergeCell ref="F47:O50"/>
    <mergeCell ref="D92:D98"/>
    <mergeCell ref="F93:F97"/>
    <mergeCell ref="G93:J93"/>
    <mergeCell ref="M93:N93"/>
    <mergeCell ref="G94:K95"/>
    <mergeCell ref="G96:J96"/>
    <mergeCell ref="G97:J97"/>
    <mergeCell ref="F98:F102"/>
    <mergeCell ref="D71:D77"/>
    <mergeCell ref="F72:F76"/>
    <mergeCell ref="G72:J72"/>
    <mergeCell ref="M72:N72"/>
    <mergeCell ref="G73:K74"/>
    <mergeCell ref="G75:J75"/>
    <mergeCell ref="G76:J76"/>
    <mergeCell ref="F77:F81"/>
    <mergeCell ref="G77:J77"/>
    <mergeCell ref="G78:J79"/>
    <mergeCell ref="G55:J55"/>
    <mergeCell ref="G56:J56"/>
    <mergeCell ref="F57:F61"/>
    <mergeCell ref="D30:D36"/>
    <mergeCell ref="F31:F35"/>
    <mergeCell ref="G31:J31"/>
    <mergeCell ref="M31:N31"/>
    <mergeCell ref="G32:K33"/>
    <mergeCell ref="G34:J34"/>
    <mergeCell ref="G35:J35"/>
    <mergeCell ref="F36:F40"/>
    <mergeCell ref="G36:J36"/>
    <mergeCell ref="G37:J38"/>
    <mergeCell ref="G57:J57"/>
    <mergeCell ref="G58:J59"/>
    <mergeCell ref="G60:J60"/>
    <mergeCell ref="G61:J61"/>
    <mergeCell ref="D9:D15"/>
    <mergeCell ref="F10:F14"/>
    <mergeCell ref="G10:J10"/>
    <mergeCell ref="K10:N10"/>
    <mergeCell ref="G11:K12"/>
    <mergeCell ref="G13:J13"/>
    <mergeCell ref="G14:J14"/>
    <mergeCell ref="F15:F19"/>
    <mergeCell ref="F233:O235"/>
    <mergeCell ref="G15:J15"/>
    <mergeCell ref="G16:J17"/>
    <mergeCell ref="G18:J18"/>
    <mergeCell ref="G19:J19"/>
    <mergeCell ref="E23:E40"/>
    <mergeCell ref="F26:O29"/>
    <mergeCell ref="G39:J39"/>
    <mergeCell ref="G40:J40"/>
    <mergeCell ref="E2:E19"/>
    <mergeCell ref="F5:O8"/>
    <mergeCell ref="D51:D57"/>
    <mergeCell ref="F52:F56"/>
    <mergeCell ref="G52:J52"/>
    <mergeCell ref="M52:N52"/>
    <mergeCell ref="G53:K54"/>
  </mergeCells>
  <printOptions horizontalCentered="1"/>
  <pageMargins left="0.23622047244094491" right="0.23622047244094491" top="0.59015748031496074" bottom="1.1417322834645671" header="0.19645669291338586" footer="0.74803149606299213"/>
  <pageSetup paperSize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4"/>
  <sheetViews>
    <sheetView topLeftCell="A24" zoomScale="205" zoomScaleNormal="205" workbookViewId="0"/>
  </sheetViews>
  <sheetFormatPr defaultRowHeight="15" x14ac:dyDescent="0.25"/>
  <cols>
    <col min="1" max="2" width="12.140625" customWidth="1"/>
    <col min="3" max="3" width="15.85546875" customWidth="1"/>
    <col min="4" max="4" width="12.140625" customWidth="1"/>
    <col min="5" max="5" width="14.140625" customWidth="1"/>
  </cols>
  <sheetData>
    <row r="2" spans="2:3" x14ac:dyDescent="0.25">
      <c r="B2" t="s">
        <v>52</v>
      </c>
    </row>
    <row r="3" spans="2:3" x14ac:dyDescent="0.25">
      <c r="B3" t="s">
        <v>53</v>
      </c>
    </row>
    <row r="4" spans="2:3" x14ac:dyDescent="0.25">
      <c r="B4" s="6">
        <v>44438</v>
      </c>
      <c r="C4" t="s">
        <v>3</v>
      </c>
    </row>
    <row r="5" spans="2:3" x14ac:dyDescent="0.25">
      <c r="B5" s="6" t="s">
        <v>54</v>
      </c>
      <c r="C5" t="s">
        <v>55</v>
      </c>
    </row>
    <row r="6" spans="2:3" x14ac:dyDescent="0.25">
      <c r="B6" s="6">
        <v>44499</v>
      </c>
      <c r="C6" t="s">
        <v>55</v>
      </c>
    </row>
    <row r="7" spans="2:3" x14ac:dyDescent="0.25">
      <c r="B7" s="6">
        <v>44530</v>
      </c>
      <c r="C7" t="s">
        <v>55</v>
      </c>
    </row>
    <row r="8" spans="2:3" x14ac:dyDescent="0.25">
      <c r="B8" s="6">
        <v>44560</v>
      </c>
      <c r="C8" t="s">
        <v>55</v>
      </c>
    </row>
    <row r="9" spans="2:3" x14ac:dyDescent="0.25">
      <c r="B9" s="6">
        <v>44591</v>
      </c>
      <c r="C9" t="s">
        <v>55</v>
      </c>
    </row>
    <row r="10" spans="2:3" x14ac:dyDescent="0.25">
      <c r="B10" s="6">
        <v>44620</v>
      </c>
      <c r="C10" t="s">
        <v>55</v>
      </c>
    </row>
    <row r="11" spans="2:3" x14ac:dyDescent="0.25">
      <c r="B11" s="6">
        <v>44650</v>
      </c>
      <c r="C11" t="s">
        <v>55</v>
      </c>
    </row>
    <row r="12" spans="2:3" x14ac:dyDescent="0.25">
      <c r="B12" s="6">
        <v>44681</v>
      </c>
      <c r="C12" t="s">
        <v>55</v>
      </c>
    </row>
    <row r="13" spans="2:3" x14ac:dyDescent="0.25">
      <c r="B13" s="6">
        <v>44711</v>
      </c>
      <c r="C13" t="s">
        <v>55</v>
      </c>
    </row>
    <row r="14" spans="2:3" x14ac:dyDescent="0.25">
      <c r="B14" s="6">
        <v>44742</v>
      </c>
      <c r="C14" t="s">
        <v>55</v>
      </c>
    </row>
    <row r="15" spans="2:3" x14ac:dyDescent="0.25">
      <c r="B15" s="6">
        <v>44772</v>
      </c>
      <c r="C15" t="s">
        <v>55</v>
      </c>
    </row>
    <row r="16" spans="2:3" x14ac:dyDescent="0.25">
      <c r="B16" s="6"/>
    </row>
    <row r="17" spans="1:5" x14ac:dyDescent="0.25">
      <c r="B17" t="s">
        <v>56</v>
      </c>
      <c r="E17" t="s">
        <v>57</v>
      </c>
    </row>
    <row r="18" spans="1:5" x14ac:dyDescent="0.25">
      <c r="C18" t="s">
        <v>58</v>
      </c>
      <c r="D18" t="s">
        <v>59</v>
      </c>
    </row>
    <row r="19" spans="1:5" x14ac:dyDescent="0.25">
      <c r="B19" s="6">
        <v>44438</v>
      </c>
      <c r="C19" t="s">
        <v>60</v>
      </c>
      <c r="D19">
        <v>2000</v>
      </c>
      <c r="E19">
        <f t="shared" ref="E19:E30" si="0">D19+E18</f>
        <v>2000</v>
      </c>
    </row>
    <row r="20" spans="1:5" x14ac:dyDescent="0.25">
      <c r="B20" s="6" t="s">
        <v>54</v>
      </c>
      <c r="C20" t="s">
        <v>60</v>
      </c>
      <c r="D20">
        <v>2000</v>
      </c>
      <c r="E20">
        <f t="shared" si="0"/>
        <v>4000</v>
      </c>
    </row>
    <row r="21" spans="1:5" x14ac:dyDescent="0.25">
      <c r="B21" s="6">
        <v>44499</v>
      </c>
      <c r="C21" t="s">
        <v>60</v>
      </c>
      <c r="D21">
        <v>2000</v>
      </c>
      <c r="E21">
        <f t="shared" si="0"/>
        <v>6000</v>
      </c>
    </row>
    <row r="22" spans="1:5" x14ac:dyDescent="0.25">
      <c r="B22" s="6">
        <v>44530</v>
      </c>
      <c r="C22" t="s">
        <v>60</v>
      </c>
      <c r="D22">
        <v>2000</v>
      </c>
      <c r="E22">
        <f t="shared" si="0"/>
        <v>8000</v>
      </c>
    </row>
    <row r="23" spans="1:5" x14ac:dyDescent="0.25">
      <c r="B23" s="6">
        <v>44560</v>
      </c>
      <c r="C23" t="s">
        <v>60</v>
      </c>
      <c r="D23">
        <v>2000</v>
      </c>
      <c r="E23">
        <f t="shared" si="0"/>
        <v>10000</v>
      </c>
    </row>
    <row r="24" spans="1:5" x14ac:dyDescent="0.25">
      <c r="B24" s="6">
        <v>44591</v>
      </c>
      <c r="C24" t="s">
        <v>60</v>
      </c>
      <c r="D24">
        <v>2000</v>
      </c>
      <c r="E24">
        <f t="shared" si="0"/>
        <v>12000</v>
      </c>
    </row>
    <row r="25" spans="1:5" x14ac:dyDescent="0.25">
      <c r="B25" s="6">
        <v>44620</v>
      </c>
      <c r="C25" t="s">
        <v>60</v>
      </c>
      <c r="D25">
        <v>3000</v>
      </c>
      <c r="E25">
        <f t="shared" si="0"/>
        <v>15000</v>
      </c>
    </row>
    <row r="26" spans="1:5" x14ac:dyDescent="0.25">
      <c r="B26" s="6">
        <v>44650</v>
      </c>
      <c r="C26">
        <v>3000</v>
      </c>
      <c r="E26">
        <f t="shared" si="0"/>
        <v>15000</v>
      </c>
    </row>
    <row r="27" spans="1:5" x14ac:dyDescent="0.25">
      <c r="B27" s="6">
        <v>44681</v>
      </c>
      <c r="C27">
        <v>3000</v>
      </c>
      <c r="E27">
        <f t="shared" si="0"/>
        <v>15000</v>
      </c>
    </row>
    <row r="28" spans="1:5" x14ac:dyDescent="0.25">
      <c r="B28" s="6">
        <v>44711</v>
      </c>
      <c r="C28">
        <v>5000</v>
      </c>
      <c r="E28">
        <f t="shared" si="0"/>
        <v>15000</v>
      </c>
    </row>
    <row r="29" spans="1:5" x14ac:dyDescent="0.25">
      <c r="B29" s="6">
        <v>44742</v>
      </c>
      <c r="C29">
        <v>5000</v>
      </c>
      <c r="E29">
        <f t="shared" si="0"/>
        <v>15000</v>
      </c>
    </row>
    <row r="30" spans="1:5" x14ac:dyDescent="0.25">
      <c r="A30" t="s">
        <v>61</v>
      </c>
      <c r="B30" s="63">
        <v>44772</v>
      </c>
      <c r="C30" s="64">
        <v>5000</v>
      </c>
      <c r="D30" s="64"/>
      <c r="E30" s="64">
        <f t="shared" si="0"/>
        <v>15000</v>
      </c>
    </row>
    <row r="31" spans="1:5" x14ac:dyDescent="0.25">
      <c r="A31" t="s">
        <v>62</v>
      </c>
      <c r="B31" s="6">
        <v>44803</v>
      </c>
    </row>
    <row r="32" spans="1:5" x14ac:dyDescent="0.25">
      <c r="B32" s="6">
        <v>44834</v>
      </c>
    </row>
    <row r="33" spans="2:2" x14ac:dyDescent="0.25">
      <c r="B33" s="6">
        <v>44864</v>
      </c>
    </row>
    <row r="34" spans="2:2" x14ac:dyDescent="0.25">
      <c r="B34" s="6">
        <v>44895</v>
      </c>
    </row>
  </sheetData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Sheet4</vt:lpstr>
      <vt:lpstr>Senet Borçlu Alacaklı Giriş</vt:lpstr>
      <vt:lpstr>Senet Taksit Giriş</vt:lpstr>
      <vt:lpstr>Senet Önizleme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cp:revision>30</cp:revision>
  <cp:lastPrinted>2024-04-20T06:55:20Z</cp:lastPrinted>
  <dcterms:created xsi:type="dcterms:W3CDTF">2018-01-01T13:28:37Z</dcterms:created>
  <dcterms:modified xsi:type="dcterms:W3CDTF">2024-07-08T06:50:16Z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