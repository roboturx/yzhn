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34C7863C-589C-405E-93E6-9FF19D755863}" xr6:coauthVersionLast="47" xr6:coauthVersionMax="47" xr10:uidLastSave="{00000000-0000-0000-0000-000000000000}"/>
  <bookViews>
    <workbookView xWindow="3210" yWindow="780" windowWidth="24045" windowHeight="14160" tabRatio="773" firstSheet="4" activeTab="12" xr2:uid="{00000000-000D-0000-FFFF-FFFF00000000}"/>
  </bookViews>
  <sheets>
    <sheet name="TPLM" sheetId="1" r:id="rId1"/>
    <sheet name="SnyA105-25" sheetId="2" r:id="rId2"/>
    <sheet name="SnyB202-25" sheetId="3" r:id="rId3"/>
    <sheet name="SnyC301-25" sheetId="4" r:id="rId4"/>
    <sheet name="SnyCD-HSP-2025" sheetId="18" r:id="rId5"/>
    <sheet name="SnyE503-25" sheetId="17" r:id="rId6"/>
    <sheet name="SnyE502-22" sheetId="5" r:id="rId7"/>
    <sheet name="SnyF601-22" sheetId="6" r:id="rId8"/>
    <sheet name="snyF-HSP" sheetId="15" r:id="rId9"/>
    <sheet name="snyF-HSP (2025)" sheetId="20" r:id="rId10"/>
    <sheet name="SnyG702-22" sheetId="7" r:id="rId11"/>
    <sheet name="SnH_yazıhane" sheetId="8" r:id="rId12"/>
    <sheet name="NAZAN_25" sheetId="19" r:id="rId13"/>
    <sheet name="NAZAN_24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8" l="1"/>
  <c r="H20" i="18" s="1"/>
  <c r="H22" i="18"/>
  <c r="D49" i="4"/>
  <c r="D48" i="4"/>
  <c r="F47" i="4"/>
  <c r="G40" i="19"/>
  <c r="G41" i="19"/>
  <c r="G65" i="19"/>
  <c r="G64" i="19"/>
  <c r="G63" i="19"/>
  <c r="G62" i="19"/>
  <c r="G59" i="19"/>
  <c r="H61" i="19"/>
  <c r="F61" i="19"/>
  <c r="F62" i="19" s="1"/>
  <c r="F63" i="19" s="1"/>
  <c r="F64" i="19" s="1"/>
  <c r="F65" i="19" s="1"/>
  <c r="D59" i="19"/>
  <c r="E59" i="19"/>
  <c r="G58" i="19"/>
  <c r="G57" i="19"/>
  <c r="E58" i="19"/>
  <c r="E57" i="19"/>
  <c r="G56" i="19"/>
  <c r="E56" i="19"/>
  <c r="D58" i="19"/>
  <c r="D57" i="19"/>
  <c r="H62" i="19" l="1"/>
  <c r="H63" i="19" s="1"/>
  <c r="H64" i="19" s="1"/>
  <c r="H65" i="19" s="1"/>
  <c r="D41" i="19"/>
  <c r="E16" i="7"/>
  <c r="E15" i="7"/>
  <c r="E9" i="17"/>
  <c r="E44" i="17"/>
  <c r="G14" i="4"/>
  <c r="G15" i="4"/>
  <c r="G16" i="4" s="1"/>
  <c r="G17" i="4" s="1"/>
  <c r="G18" i="4" s="1"/>
  <c r="G19" i="4" s="1"/>
  <c r="F42" i="3"/>
  <c r="D5" i="3"/>
  <c r="D63" i="3"/>
  <c r="F59" i="3"/>
  <c r="F60" i="3" s="1"/>
  <c r="F61" i="3" s="1"/>
  <c r="F62" i="3" s="1"/>
  <c r="E16" i="4"/>
  <c r="F63" i="3" l="1"/>
  <c r="F64" i="3" s="1"/>
  <c r="F65" i="3" s="1"/>
  <c r="F66" i="3" s="1"/>
  <c r="F67" i="3" s="1"/>
  <c r="E49" i="3"/>
  <c r="D48" i="3" s="1"/>
  <c r="F46" i="15"/>
  <c r="F47" i="15"/>
  <c r="F18" i="20"/>
  <c r="E19" i="20"/>
  <c r="E20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F37" i="20"/>
  <c r="F36" i="20"/>
  <c r="F35" i="20"/>
  <c r="F34" i="20"/>
  <c r="H6" i="20"/>
  <c r="H7" i="20" s="1"/>
  <c r="H8" i="20" s="1"/>
  <c r="H9" i="20" s="1"/>
  <c r="H10" i="20" s="1"/>
  <c r="H11" i="20" s="1"/>
  <c r="H12" i="20" s="1"/>
  <c r="H13" i="20" s="1"/>
  <c r="H14" i="20" s="1"/>
  <c r="H15" i="20" s="1"/>
  <c r="H17" i="20" s="1"/>
  <c r="H18" i="20" s="1"/>
  <c r="E24" i="18"/>
  <c r="K22" i="18"/>
  <c r="K27" i="18" s="1"/>
  <c r="K28" i="18" s="1"/>
  <c r="F50" i="18"/>
  <c r="F47" i="18" s="1"/>
  <c r="F45" i="18" s="1"/>
  <c r="F43" i="18" s="1"/>
  <c r="F41" i="18" s="1"/>
  <c r="D26" i="16"/>
  <c r="G10" i="8"/>
  <c r="G11" i="8" s="1"/>
  <c r="G12" i="8" s="1"/>
  <c r="G13" i="8" s="1"/>
  <c r="E25" i="18" l="1"/>
  <c r="E20" i="18"/>
  <c r="G3" i="18"/>
  <c r="F31" i="20"/>
  <c r="F32" i="20"/>
  <c r="E33" i="20"/>
  <c r="E38" i="20" s="1"/>
  <c r="F39" i="20" s="1"/>
  <c r="F20" i="20"/>
  <c r="F19" i="20"/>
  <c r="E20" i="16"/>
  <c r="D45" i="19"/>
  <c r="E45" i="19" s="1"/>
  <c r="D40" i="19"/>
  <c r="D39" i="19"/>
  <c r="D38" i="19"/>
  <c r="G37" i="19"/>
  <c r="D37" i="19"/>
  <c r="G36" i="19"/>
  <c r="D36" i="19"/>
  <c r="D35" i="19"/>
  <c r="E34" i="19"/>
  <c r="D34" i="19"/>
  <c r="E33" i="19"/>
  <c r="D33" i="19"/>
  <c r="G32" i="19"/>
  <c r="D32" i="19"/>
  <c r="D31" i="19"/>
  <c r="G30" i="19"/>
  <c r="D30" i="19"/>
  <c r="G29" i="19"/>
  <c r="D29" i="19"/>
  <c r="G28" i="19"/>
  <c r="D28" i="19"/>
  <c r="G27" i="19"/>
  <c r="D27" i="19"/>
  <c r="C26" i="19"/>
  <c r="E24" i="19"/>
  <c r="H5" i="19"/>
  <c r="D51" i="18"/>
  <c r="E51" i="18" s="1"/>
  <c r="E50" i="18" s="1"/>
  <c r="E28" i="18"/>
  <c r="G31" i="19" l="1"/>
  <c r="H19" i="20"/>
  <c r="H20" i="20" s="1"/>
  <c r="F33" i="20"/>
  <c r="F38" i="20"/>
  <c r="E39" i="20"/>
  <c r="E40" i="20" s="1"/>
  <c r="F22" i="20"/>
  <c r="E35" i="19"/>
  <c r="E36" i="19"/>
  <c r="E30" i="19"/>
  <c r="E39" i="19"/>
  <c r="E37" i="19"/>
  <c r="E40" i="19"/>
  <c r="E31" i="19"/>
  <c r="E38" i="19"/>
  <c r="H41" i="19"/>
  <c r="E32" i="19"/>
  <c r="D26" i="19"/>
  <c r="E46" i="19" s="1"/>
  <c r="G38" i="19"/>
  <c r="E27" i="19"/>
  <c r="G33" i="19"/>
  <c r="G39" i="19"/>
  <c r="G34" i="19"/>
  <c r="E29" i="19"/>
  <c r="E41" i="19"/>
  <c r="E28" i="19"/>
  <c r="G35" i="19"/>
  <c r="F35" i="15"/>
  <c r="F34" i="15"/>
  <c r="F33" i="15"/>
  <c r="F32" i="15"/>
  <c r="D28" i="18"/>
  <c r="H53" i="18"/>
  <c r="H52" i="18" s="1"/>
  <c r="F51" i="18" s="1"/>
  <c r="D48" i="18"/>
  <c r="E48" i="18" s="1"/>
  <c r="D46" i="18"/>
  <c r="D44" i="18"/>
  <c r="D42" i="18"/>
  <c r="D40" i="18"/>
  <c r="D38" i="18"/>
  <c r="D36" i="18"/>
  <c r="D34" i="18"/>
  <c r="D32" i="18"/>
  <c r="D30" i="18"/>
  <c r="H40" i="19" l="1"/>
  <c r="H39" i="19" s="1"/>
  <c r="H38" i="19" s="1"/>
  <c r="H37" i="19" s="1"/>
  <c r="H36" i="19" s="1"/>
  <c r="H35" i="19" s="1"/>
  <c r="H34" i="19" s="1"/>
  <c r="H33" i="19" s="1"/>
  <c r="H32" i="19" s="1"/>
  <c r="H31" i="19" s="1"/>
  <c r="H30" i="19" s="1"/>
  <c r="H29" i="19" s="1"/>
  <c r="H28" i="19" s="1"/>
  <c r="H27" i="19" s="1"/>
  <c r="H26" i="19" s="1"/>
  <c r="E41" i="20"/>
  <c r="F40" i="20"/>
  <c r="H22" i="20"/>
  <c r="F23" i="20"/>
  <c r="F41" i="20"/>
  <c r="E42" i="20"/>
  <c r="C46" i="19"/>
  <c r="D46" i="19"/>
  <c r="G26" i="19"/>
  <c r="E26" i="19"/>
  <c r="H51" i="18"/>
  <c r="H50" i="18" s="1"/>
  <c r="H49" i="18" s="1"/>
  <c r="E78" i="15"/>
  <c r="E66" i="15"/>
  <c r="H65" i="15"/>
  <c r="D117" i="5"/>
  <c r="D115" i="5"/>
  <c r="D116" i="5" s="1"/>
  <c r="D111" i="5"/>
  <c r="H7" i="19" l="1"/>
  <c r="H8" i="19" s="1"/>
  <c r="H23" i="20"/>
  <c r="E43" i="20"/>
  <c r="F42" i="20"/>
  <c r="F24" i="20"/>
  <c r="E47" i="19"/>
  <c r="D47" i="19" s="1"/>
  <c r="D48" i="19" s="1"/>
  <c r="H66" i="15"/>
  <c r="E67" i="15"/>
  <c r="E79" i="15"/>
  <c r="C82" i="17"/>
  <c r="C79" i="17"/>
  <c r="C80" i="17" s="1"/>
  <c r="G69" i="17"/>
  <c r="G70" i="17" s="1"/>
  <c r="G71" i="17" s="1"/>
  <c r="G72" i="17" s="1"/>
  <c r="G73" i="17" s="1"/>
  <c r="G74" i="17" s="1"/>
  <c r="G75" i="17" s="1"/>
  <c r="G76" i="17" s="1"/>
  <c r="G77" i="17" s="1"/>
  <c r="C63" i="17"/>
  <c r="G40" i="17"/>
  <c r="E5" i="17" s="1"/>
  <c r="C37" i="17"/>
  <c r="G25" i="17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E6" i="17" s="1"/>
  <c r="G9" i="17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4" i="17" s="1"/>
  <c r="F4" i="17"/>
  <c r="E4" i="17"/>
  <c r="H24" i="20" l="1"/>
  <c r="G7" i="17"/>
  <c r="F30" i="20"/>
  <c r="F29" i="20"/>
  <c r="F28" i="20"/>
  <c r="F27" i="20"/>
  <c r="F26" i="20"/>
  <c r="F25" i="20"/>
  <c r="E44" i="20"/>
  <c r="F43" i="20"/>
  <c r="C47" i="19"/>
  <c r="C48" i="19" s="1"/>
  <c r="C53" i="19"/>
  <c r="E53" i="19" s="1"/>
  <c r="E48" i="19"/>
  <c r="E81" i="15"/>
  <c r="E83" i="15" s="1"/>
  <c r="E68" i="15"/>
  <c r="H67" i="15"/>
  <c r="E83" i="17"/>
  <c r="H25" i="20" l="1"/>
  <c r="E45" i="20"/>
  <c r="F44" i="20"/>
  <c r="H26" i="20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E84" i="17"/>
  <c r="E85" i="17" s="1"/>
  <c r="E90" i="17" s="1"/>
  <c r="E47" i="18"/>
  <c r="E69" i="15"/>
  <c r="H68" i="15"/>
  <c r="E23" i="6"/>
  <c r="E24" i="6" s="1"/>
  <c r="E10" i="6"/>
  <c r="G9" i="6"/>
  <c r="A42" i="6"/>
  <c r="G65" i="6"/>
  <c r="G66" i="6" s="1"/>
  <c r="G67" i="6" s="1"/>
  <c r="G68" i="6" s="1"/>
  <c r="G69" i="6" s="1"/>
  <c r="G70" i="6" s="1"/>
  <c r="G71" i="6" s="1"/>
  <c r="C89" i="5"/>
  <c r="C86" i="5"/>
  <c r="C87" i="5" s="1"/>
  <c r="F75" i="5"/>
  <c r="F76" i="5" s="1"/>
  <c r="F77" i="5" s="1"/>
  <c r="F78" i="5" s="1"/>
  <c r="F79" i="5" s="1"/>
  <c r="F80" i="5" s="1"/>
  <c r="F81" i="5" s="1"/>
  <c r="F82" i="5" s="1"/>
  <c r="F83" i="5" s="1"/>
  <c r="F84" i="5" s="1"/>
  <c r="D95" i="5" s="1"/>
  <c r="F45" i="20" l="1"/>
  <c r="H45" i="20" s="1"/>
  <c r="H46" i="20" s="1"/>
  <c r="H47" i="20" s="1"/>
  <c r="H48" i="20" s="1"/>
  <c r="E49" i="20"/>
  <c r="E46" i="18"/>
  <c r="E45" i="18"/>
  <c r="E84" i="15"/>
  <c r="E85" i="15" s="1"/>
  <c r="E86" i="15" s="1"/>
  <c r="E87" i="15" s="1"/>
  <c r="E88" i="15" s="1"/>
  <c r="E89" i="15" s="1"/>
  <c r="E90" i="15" s="1"/>
  <c r="E70" i="15"/>
  <c r="H69" i="15"/>
  <c r="E26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G10" i="6"/>
  <c r="E11" i="6"/>
  <c r="E12" i="6" s="1"/>
  <c r="E13" i="6" s="1"/>
  <c r="D90" i="5"/>
  <c r="D91" i="5" s="1"/>
  <c r="D92" i="5" s="1"/>
  <c r="D96" i="5" s="1"/>
  <c r="E30" i="15"/>
  <c r="D27" i="16"/>
  <c r="D28" i="16"/>
  <c r="D29" i="16"/>
  <c r="D30" i="16"/>
  <c r="D31" i="16"/>
  <c r="D32" i="16"/>
  <c r="D33" i="16"/>
  <c r="D34" i="16"/>
  <c r="D35" i="16"/>
  <c r="D36" i="16"/>
  <c r="D37" i="16"/>
  <c r="D38" i="16"/>
  <c r="D40" i="16"/>
  <c r="D39" i="16"/>
  <c r="E34" i="16"/>
  <c r="D10" i="4"/>
  <c r="E10" i="4" s="1"/>
  <c r="F51" i="20" l="1"/>
  <c r="F50" i="20"/>
  <c r="F49" i="20"/>
  <c r="E44" i="18"/>
  <c r="E43" i="18" s="1"/>
  <c r="E31" i="15"/>
  <c r="F30" i="15"/>
  <c r="F48" i="18"/>
  <c r="H48" i="18" s="1"/>
  <c r="H47" i="18" s="1"/>
  <c r="E42" i="18"/>
  <c r="E71" i="15"/>
  <c r="E72" i="15" s="1"/>
  <c r="E73" i="15" s="1"/>
  <c r="E74" i="15" s="1"/>
  <c r="E75" i="15" s="1"/>
  <c r="E76" i="15" s="1"/>
  <c r="H70" i="15"/>
  <c r="G11" i="6"/>
  <c r="G12" i="6" s="1"/>
  <c r="E14" i="6"/>
  <c r="G13" i="6"/>
  <c r="E24" i="1"/>
  <c r="E22" i="1"/>
  <c r="C28" i="1"/>
  <c r="F27" i="1"/>
  <c r="D27" i="1"/>
  <c r="F26" i="1"/>
  <c r="D26" i="1"/>
  <c r="E26" i="1" s="1"/>
  <c r="F25" i="1"/>
  <c r="D25" i="1"/>
  <c r="D23" i="1"/>
  <c r="E23" i="1" s="1"/>
  <c r="F22" i="1"/>
  <c r="F21" i="1"/>
  <c r="E21" i="1"/>
  <c r="H5" i="16"/>
  <c r="H49" i="20" l="1"/>
  <c r="H50" i="20" s="1"/>
  <c r="H51" i="20" s="1"/>
  <c r="F23" i="1"/>
  <c r="E51" i="20"/>
  <c r="E52" i="20" s="1"/>
  <c r="F52" i="20" s="1"/>
  <c r="E41" i="18"/>
  <c r="E36" i="15"/>
  <c r="F31" i="15"/>
  <c r="E40" i="18"/>
  <c r="H71" i="15"/>
  <c r="G14" i="6"/>
  <c r="E15" i="6"/>
  <c r="F30" i="1"/>
  <c r="E25" i="1"/>
  <c r="E27" i="1"/>
  <c r="C30" i="1"/>
  <c r="D28" i="1"/>
  <c r="D30" i="1" s="1"/>
  <c r="D44" i="16"/>
  <c r="E44" i="16" s="1"/>
  <c r="G40" i="16"/>
  <c r="H40" i="16" s="1"/>
  <c r="E39" i="16"/>
  <c r="E38" i="16"/>
  <c r="E37" i="16"/>
  <c r="G36" i="16"/>
  <c r="E36" i="16"/>
  <c r="G35" i="16"/>
  <c r="G33" i="16"/>
  <c r="G32" i="16"/>
  <c r="E32" i="16"/>
  <c r="G30" i="16"/>
  <c r="G28" i="16"/>
  <c r="G27" i="16"/>
  <c r="G26" i="16"/>
  <c r="C25" i="16"/>
  <c r="E23" i="16"/>
  <c r="G31" i="16" s="1"/>
  <c r="D25" i="2"/>
  <c r="D26" i="2" s="1"/>
  <c r="H52" i="20" l="1"/>
  <c r="H53" i="20" s="1"/>
  <c r="H54" i="20"/>
  <c r="E39" i="18"/>
  <c r="F39" i="18"/>
  <c r="G29" i="16"/>
  <c r="G37" i="16"/>
  <c r="G34" i="16"/>
  <c r="G15" i="6"/>
  <c r="F37" i="15"/>
  <c r="F36" i="15"/>
  <c r="E37" i="15"/>
  <c r="F46" i="18"/>
  <c r="H46" i="18" s="1"/>
  <c r="H45" i="18" s="1"/>
  <c r="E38" i="18"/>
  <c r="H72" i="15"/>
  <c r="E16" i="6"/>
  <c r="G16" i="6" s="1"/>
  <c r="E28" i="1"/>
  <c r="E30" i="1" s="1"/>
  <c r="E27" i="16"/>
  <c r="E33" i="16"/>
  <c r="E26" i="16"/>
  <c r="E35" i="16"/>
  <c r="G38" i="16"/>
  <c r="E28" i="16"/>
  <c r="E29" i="16"/>
  <c r="G39" i="16"/>
  <c r="H39" i="16" s="1"/>
  <c r="H38" i="16" s="1"/>
  <c r="H37" i="16" s="1"/>
  <c r="H36" i="16" s="1"/>
  <c r="H35" i="16" s="1"/>
  <c r="H34" i="16" s="1"/>
  <c r="H33" i="16" s="1"/>
  <c r="H32" i="16" s="1"/>
  <c r="H31" i="16" s="1"/>
  <c r="H30" i="16" s="1"/>
  <c r="E40" i="16"/>
  <c r="E30" i="16"/>
  <c r="E31" i="16"/>
  <c r="H29" i="16" l="1"/>
  <c r="H28" i="16" s="1"/>
  <c r="H27" i="16" s="1"/>
  <c r="G25" i="16"/>
  <c r="E37" i="18"/>
  <c r="F38" i="15"/>
  <c r="E38" i="15"/>
  <c r="E39" i="15" s="1"/>
  <c r="F44" i="18"/>
  <c r="H73" i="15"/>
  <c r="E17" i="6"/>
  <c r="E18" i="6" s="1"/>
  <c r="E25" i="16"/>
  <c r="H6" i="15"/>
  <c r="H7" i="15" s="1"/>
  <c r="H8" i="15" s="1"/>
  <c r="H9" i="15" s="1"/>
  <c r="H10" i="15" s="1"/>
  <c r="H11" i="15" s="1"/>
  <c r="H12" i="15" s="1"/>
  <c r="E18" i="15"/>
  <c r="F18" i="15" s="1"/>
  <c r="H17" i="15"/>
  <c r="G40" i="2"/>
  <c r="E5" i="2" s="1"/>
  <c r="D37" i="7"/>
  <c r="C56" i="6"/>
  <c r="C37" i="5"/>
  <c r="D42" i="4"/>
  <c r="G6" i="8"/>
  <c r="G7" i="8" s="1"/>
  <c r="G8" i="8" s="1"/>
  <c r="G9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F57" i="7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G40" i="7"/>
  <c r="E5" i="7" s="1"/>
  <c r="G25" i="7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4" i="7" s="1"/>
  <c r="F4" i="7"/>
  <c r="E4" i="7"/>
  <c r="C13" i="1" s="1"/>
  <c r="F131" i="6"/>
  <c r="F132" i="6" s="1"/>
  <c r="F133" i="6" s="1"/>
  <c r="F134" i="6" s="1"/>
  <c r="F135" i="6" s="1"/>
  <c r="F136" i="6" s="1"/>
  <c r="F137" i="6" s="1"/>
  <c r="F119" i="6"/>
  <c r="F120" i="6" s="1"/>
  <c r="F121" i="6" s="1"/>
  <c r="F122" i="6" s="1"/>
  <c r="F123" i="6" s="1"/>
  <c r="F124" i="6" s="1"/>
  <c r="F125" i="6" s="1"/>
  <c r="F126" i="6" s="1"/>
  <c r="F127" i="6" s="1"/>
  <c r="G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F95" i="6"/>
  <c r="G95" i="6" s="1"/>
  <c r="G59" i="6"/>
  <c r="E5" i="6" s="1"/>
  <c r="G44" i="6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4" i="6"/>
  <c r="D12" i="1" s="1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C49" i="5"/>
  <c r="F40" i="5"/>
  <c r="D5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D4" i="5"/>
  <c r="C11" i="1" s="1"/>
  <c r="F93" i="4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77" i="4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G44" i="4"/>
  <c r="E5" i="4" s="1"/>
  <c r="G30" i="4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9" i="4"/>
  <c r="G10" i="4" s="1"/>
  <c r="G11" i="4" s="1"/>
  <c r="C39" i="3"/>
  <c r="F27" i="3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9" i="1" s="1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D9" i="19" l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H9" i="19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F37" i="18"/>
  <c r="E36" i="18" s="1"/>
  <c r="H44" i="18"/>
  <c r="H43" i="18" s="1"/>
  <c r="H18" i="15"/>
  <c r="F39" i="15"/>
  <c r="E40" i="15"/>
  <c r="E4" i="4"/>
  <c r="C10" i="1" s="1"/>
  <c r="G12" i="4"/>
  <c r="G13" i="4" s="1"/>
  <c r="G4" i="4" s="1"/>
  <c r="E19" i="15"/>
  <c r="F19" i="15" s="1"/>
  <c r="H19" i="15" s="1"/>
  <c r="H74" i="15"/>
  <c r="E19" i="6"/>
  <c r="E20" i="6" s="1"/>
  <c r="G17" i="6"/>
  <c r="G18" i="6" s="1"/>
  <c r="G19" i="6" s="1"/>
  <c r="H26" i="16"/>
  <c r="H25" i="16" s="1"/>
  <c r="G2" i="8"/>
  <c r="D6" i="3"/>
  <c r="F9" i="1" s="1"/>
  <c r="G7" i="6"/>
  <c r="E6" i="6"/>
  <c r="F12" i="1" s="1"/>
  <c r="E6" i="7"/>
  <c r="F13" i="1" s="1"/>
  <c r="D6" i="5"/>
  <c r="F11" i="1" s="1"/>
  <c r="G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35" i="18" l="1"/>
  <c r="F42" i="18"/>
  <c r="H42" i="18" s="1"/>
  <c r="H41" i="18" s="1"/>
  <c r="F40" i="18" s="1"/>
  <c r="H40" i="18" s="1"/>
  <c r="H39" i="18" s="1"/>
  <c r="F38" i="18" s="1"/>
  <c r="H38" i="18" s="1"/>
  <c r="H37" i="18" s="1"/>
  <c r="E20" i="15"/>
  <c r="F20" i="15" s="1"/>
  <c r="H6" i="16"/>
  <c r="H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E46" i="16"/>
  <c r="H20" i="15"/>
  <c r="E41" i="15"/>
  <c r="F40" i="15"/>
  <c r="H75" i="15"/>
  <c r="H76" i="15" s="1"/>
  <c r="H77" i="15" s="1"/>
  <c r="H78" i="15" s="1"/>
  <c r="H79" i="15" s="1"/>
  <c r="G20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21" i="15"/>
  <c r="F21" i="15" s="1"/>
  <c r="E8" i="1"/>
  <c r="F16" i="1"/>
  <c r="F35" i="18" l="1"/>
  <c r="E34" i="18" s="1"/>
  <c r="E33" i="18" s="1"/>
  <c r="E42" i="15"/>
  <c r="F41" i="15"/>
  <c r="H21" i="15"/>
  <c r="F36" i="18"/>
  <c r="H36" i="18" s="1"/>
  <c r="H35" i="18" s="1"/>
  <c r="H80" i="15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E22" i="15"/>
  <c r="F22" i="15" s="1"/>
  <c r="F33" i="18" l="1"/>
  <c r="E32" i="18" s="1"/>
  <c r="E31" i="18" s="1"/>
  <c r="E43" i="15"/>
  <c r="F42" i="15"/>
  <c r="H22" i="15"/>
  <c r="F34" i="18"/>
  <c r="H34" i="18" s="1"/>
  <c r="H33" i="18" s="1"/>
  <c r="E23" i="15"/>
  <c r="F31" i="18" l="1"/>
  <c r="E30" i="18" s="1"/>
  <c r="E29" i="18" s="1"/>
  <c r="F29" i="15"/>
  <c r="F28" i="15"/>
  <c r="F27" i="15"/>
  <c r="F26" i="15"/>
  <c r="F25" i="15"/>
  <c r="F24" i="15"/>
  <c r="F23" i="15"/>
  <c r="H23" i="15" s="1"/>
  <c r="E46" i="15"/>
  <c r="F43" i="15"/>
  <c r="E24" i="15"/>
  <c r="F20" i="18" l="1"/>
  <c r="E19" i="18" s="1"/>
  <c r="F29" i="18"/>
  <c r="F32" i="18"/>
  <c r="H32" i="18" s="1"/>
  <c r="H31" i="18" s="1"/>
  <c r="H24" i="15"/>
  <c r="H25" i="15" s="1"/>
  <c r="H26" i="15" s="1"/>
  <c r="H27" i="15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E25" i="15"/>
  <c r="F30" i="18" l="1"/>
  <c r="H30" i="18" s="1"/>
  <c r="H29" i="18" s="1"/>
  <c r="E26" i="15"/>
  <c r="F28" i="18" l="1"/>
  <c r="H28" i="18" s="1"/>
  <c r="H27" i="18" s="1"/>
  <c r="E27" i="15"/>
  <c r="F4" i="4" l="1"/>
  <c r="E28" i="15"/>
  <c r="F19" i="18" l="1"/>
  <c r="H19" i="18" s="1"/>
  <c r="H18" i="18" s="1"/>
  <c r="D10" i="1"/>
  <c r="G7" i="4"/>
  <c r="H17" i="18" l="1"/>
  <c r="H16" i="18" s="1"/>
  <c r="H15" i="18" s="1"/>
  <c r="E10" i="1"/>
  <c r="D16" i="1"/>
  <c r="G4" i="6"/>
  <c r="E4" i="6"/>
  <c r="C12" i="1" s="1"/>
  <c r="H14" i="18" l="1"/>
  <c r="H13" i="18" s="1"/>
  <c r="H12" i="18" s="1"/>
  <c r="H11" i="18" s="1"/>
  <c r="H10" i="18" s="1"/>
  <c r="H9" i="18" s="1"/>
  <c r="H8" i="18" s="1"/>
  <c r="H7" i="18" s="1"/>
  <c r="E12" i="1"/>
  <c r="E16" i="1" s="1"/>
  <c r="C16" i="1"/>
  <c r="D25" i="16"/>
  <c r="E45" i="16" s="1"/>
  <c r="E47" i="16" s="1"/>
  <c r="F3" i="18" l="1"/>
  <c r="H3" i="18" s="1"/>
  <c r="H6" i="18"/>
  <c r="D45" i="16"/>
  <c r="C45" i="16"/>
  <c r="D46" i="16" s="1"/>
  <c r="C52" i="16" l="1"/>
  <c r="E52" i="16" s="1"/>
  <c r="C46" i="16"/>
  <c r="C47" i="16" s="1"/>
  <c r="D47" i="16"/>
</calcChain>
</file>

<file path=xl/sharedStrings.xml><?xml version="1.0" encoding="utf-8"?>
<sst xmlns="http://schemas.openxmlformats.org/spreadsheetml/2006/main" count="936" uniqueCount="524">
  <si>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</si>
  <si>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</si>
  <si>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</si>
  <si>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</si>
  <si>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</si>
  <si>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</si>
  <si>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</si>
  <si>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</si>
  <si>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</si>
  <si>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</si>
  <si>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</si>
  <si>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</si>
  <si>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</si>
  <si>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</si>
  <si>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</si>
  <si>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</si>
  <si>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</si>
  <si>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</si>
  <si>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</si>
  <si>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</si>
  <si>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</si>
  <si>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</si>
  <si>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</si>
  <si>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</si>
  <si>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</si>
  <si>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</si>
  <si>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</si>
  <si>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</si>
  <si>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</si>
  <si>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</si>
  <si>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</si>
  <si>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</si>
  <si>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</si>
  <si>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</si>
  <si>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</si>
  <si>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</si>
  <si>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</si>
  <si>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</si>
  <si>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</si>
  <si>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</si>
  <si>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</si>
  <si>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</si>
  <si>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</si>
  <si>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</si>
  <si>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</si>
  <si>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</si>
  <si>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</si>
  <si>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</si>
  <si>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</si>
  <si>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</si>
  <si>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</si>
  <si>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</si>
  <si>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</si>
  <si>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</si>
  <si>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</si>
  <si>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</si>
  <si>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</si>
  <si>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</si>
  <si>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</si>
  <si>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</si>
  <si>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</si>
  <si>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</si>
  <si>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</si>
  <si>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</si>
  <si>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</si>
  <si>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</si>
  <si>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</si>
  <si>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</si>
  <si>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</si>
  <si>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</si>
  <si>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</si>
  <si>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</si>
  <si>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</si>
  <si>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</si>
  <si>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</si>
  <si>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</si>
  <si>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</si>
  <si>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</si>
  <si>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</si>
  <si>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</si>
  <si>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</si>
  <si>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</si>
  <si>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</si>
  <si>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</si>
  <si>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</si>
  <si>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</si>
  <si>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</si>
  <si>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</si>
  <si>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</si>
  <si>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</si>
  <si>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</si>
  <si>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</si>
  <si>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</si>
  <si>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</si>
  <si>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</si>
  <si>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</si>
  <si>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</si>
  <si>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</si>
  <si>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</si>
  <si>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</si>
  <si>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</si>
  <si>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</si>
  <si>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</si>
  <si>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</si>
  <si>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</si>
  <si>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</si>
  <si>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</si>
  <si>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</si>
  <si>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</si>
  <si>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</si>
  <si>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</si>
  <si>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</si>
  <si>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</si>
  <si>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</si>
  <si>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</si>
  <si>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</si>
  <si>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</si>
  <si>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</si>
  <si>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</si>
  <si>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</si>
  <si>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</si>
  <si>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</si>
  <si>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</si>
  <si>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</si>
  <si>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</si>
  <si>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</si>
  <si>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</si>
  <si>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</si>
  <si>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</si>
  <si>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</si>
  <si>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</si>
  <si>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</si>
  <si>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</si>
  <si>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</si>
  <si>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</si>
  <si>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</si>
  <si>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</si>
  <si>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</si>
  <si>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</si>
  <si>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</si>
  <si>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</si>
  <si>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</si>
  <si>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</si>
  <si>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</si>
  <si>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</si>
  <si>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</si>
  <si>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</si>
  <si>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</si>
  <si>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</si>
  <si>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</si>
  <si>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</si>
  <si>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</si>
  <si>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</si>
  <si>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</si>
  <si>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</si>
  <si>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</si>
  <si>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</si>
  <si>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</si>
  <si>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</si>
  <si>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</si>
  <si>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</si>
  <si>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</si>
  <si>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</si>
  <si>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</si>
  <si>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</si>
  <si>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</si>
  <si>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</si>
  <si>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</si>
  <si>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</si>
  <si>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</si>
  <si>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</si>
  <si>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</si>
  <si>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</si>
  <si>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</si>
  <si>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</si>
  <si>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</si>
  <si>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</si>
  <si>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</si>
  <si>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</si>
  <si>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</si>
  <si>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</si>
  <si>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</si>
  <si>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</si>
  <si>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</si>
  <si>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</si>
  <si>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</si>
  <si>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</si>
  <si>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</si>
  <si>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</si>
  <si>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</si>
  <si>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</si>
  <si>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</si>
  <si>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</si>
  <si>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</si>
  <si>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</si>
  <si>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</si>
  <si>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</si>
  <si>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</si>
  <si>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</si>
  <si>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</si>
  <si>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</si>
  <si>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</si>
  <si>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</si>
  <si>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</si>
  <si>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</si>
  <si>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</si>
  <si>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</si>
  <si>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</si>
  <si>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</si>
  <si>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</si>
  <si>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</si>
  <si>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</si>
  <si>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</si>
  <si>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</si>
  <si>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</si>
  <si>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</si>
  <si>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</si>
  <si>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</si>
  <si>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</si>
  <si>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</si>
  <si>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</si>
  <si>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</si>
  <si>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</si>
  <si>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</si>
  <si>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</si>
  <si>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</si>
  <si>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</si>
  <si>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</si>
  <si>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</si>
  <si>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</si>
  <si>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</si>
  <si>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</si>
  <si>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</si>
  <si>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</si>
  <si>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</si>
  <si>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</si>
  <si>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</si>
  <si>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</si>
  <si>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</si>
  <si>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</si>
  <si>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</si>
  <si>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</si>
  <si>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</si>
  <si>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</si>
  <si>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</si>
  <si>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</si>
  <si>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</si>
  <si>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</si>
  <si>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</si>
  <si>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</si>
  <si>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</si>
  <si>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</si>
  <si>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</si>
  <si>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</si>
  <si>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</si>
  <si>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</si>
  <si>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</si>
  <si>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</si>
  <si>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</si>
  <si>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</si>
  <si>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</si>
  <si>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</si>
  <si>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</si>
  <si>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</si>
  <si>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</si>
  <si>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</si>
  <si>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</si>
  <si>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</si>
  <si>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</si>
  <si>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</si>
  <si>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</si>
  <si>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</si>
  <si>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</si>
  <si>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</si>
  <si>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</si>
  <si>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</si>
  <si>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</si>
  <si>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</si>
  <si>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</si>
  <si>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</si>
  <si>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</si>
  <si>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</si>
  <si>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>31-3-2022 - 31-12-2022 9 aylık tutar</t>
  </si>
  <si>
    <t>Nakit Ödeme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</si>
  <si>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</si>
  <si>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</si>
  <si>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</si>
  <si>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</si>
  <si>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</si>
  <si>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</si>
  <si>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</si>
  <si>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</si>
  <si>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</si>
  <si>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</si>
  <si>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</si>
  <si>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</si>
  <si>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</si>
  <si>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</si>
  <si>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</si>
  <si>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</si>
  <si>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</si>
  <si>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</si>
  <si>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</si>
  <si>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</si>
  <si>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</si>
  <si>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</si>
  <si>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</si>
  <si>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</si>
  <si>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</si>
  <si>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</si>
  <si>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</si>
  <si>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</si>
  <si>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</si>
  <si>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</si>
  <si>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</si>
  <si>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</si>
  <si>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</si>
  <si>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</si>
  <si>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</si>
  <si>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</si>
  <si>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</si>
  <si>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</si>
  <si>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</si>
  <si>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</si>
  <si>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3. yıl yıllık kira bedeli 16 asgari ücret uygulanacak</t>
  </si>
  <si>
    <t>Tahliye için icraya başvuruldu</t>
  </si>
  <si>
    <t>Gelen giden yok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</si>
  <si>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</si>
  <si>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</si>
  <si>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</si>
  <si>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</si>
  <si>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</si>
  <si>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</si>
  <si>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</si>
  <si>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</si>
  <si>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</si>
  <si>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</si>
  <si>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</si>
  <si>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</si>
  <si>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</si>
  <si>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</si>
  <si>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</si>
  <si>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</si>
  <si>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</si>
  <si>
    <t>snyF-işbanktan</t>
  </si>
  <si>
    <t>snyE- işbanktan</t>
  </si>
  <si>
    <t>31-3-2022 Asgari ücret 4253 TL -  48000TL = 12 asgari ücret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</si>
  <si>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</si>
  <si>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</si>
  <si>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</si>
  <si>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>Ocak 2023 ile yeni fiyat (6920) ve yeni dönem uygulandı</t>
  </si>
  <si>
    <t>Son 3 ayın ödemesi yapılmadığı için (3x4000) ilk kira dönemi Nisan Aralık olarak kapatıldı</t>
  </si>
  <si>
    <t xml:space="preserve">Nisan </t>
  </si>
  <si>
    <t xml:space="preserve">Mayıs </t>
  </si>
  <si>
    <t xml:space="preserve">Eylül </t>
  </si>
  <si>
    <t>30-04-2024 tarihinde hesap yapıldı</t>
  </si>
  <si>
    <t>BAKİYE</t>
  </si>
  <si>
    <t>Başlangıç Tarihi</t>
  </si>
  <si>
    <t>Bitiş Tarihi</t>
  </si>
  <si>
    <t>Nakit Ödeme  65000</t>
  </si>
  <si>
    <t>Taksit 1 6000</t>
  </si>
  <si>
    <t>Taksit 2 6000</t>
  </si>
  <si>
    <t>Taksit 3 6000</t>
  </si>
  <si>
    <t>Taksit 4 6000</t>
  </si>
  <si>
    <t>Taksit 5 7000</t>
  </si>
  <si>
    <t>ÖDENMEDİ</t>
  </si>
  <si>
    <t>Gün sayısı</t>
  </si>
  <si>
    <t>2023-24 günlük TL</t>
  </si>
  <si>
    <t>HESAPLAMA tarihi</t>
  </si>
  <si>
    <t>Hesap gün sayısı</t>
  </si>
  <si>
    <t>Hesaplanan bedel</t>
  </si>
  <si>
    <t>İADE bedeli</t>
  </si>
  <si>
    <t>İADE edilecek HESAP toplam</t>
  </si>
  <si>
    <t>+</t>
  </si>
  <si>
    <t>İADE Elektrik Teminat Bedeli</t>
  </si>
  <si>
    <t>Nisan 2024 fatura</t>
  </si>
  <si>
    <t>-</t>
  </si>
  <si>
    <t>İADE su bedeli</t>
  </si>
  <si>
    <t>ÖDENMEYEN Taksit 5</t>
  </si>
  <si>
    <t>İADE edilecek GENEL TOPLAM</t>
  </si>
  <si>
    <t xml:space="preserve"> - 2024 -</t>
  </si>
  <si>
    <t>Kasım - Aralık dahil hesap sıfırlandı</t>
  </si>
  <si>
    <t>indirim</t>
  </si>
  <si>
    <t>Süleyman AKAN</t>
  </si>
  <si>
    <t xml:space="preserve">24-25 kira bedeli </t>
  </si>
  <si>
    <t>Kira gün sayısı (1,5 ay ek süre verildi)</t>
  </si>
  <si>
    <t xml:space="preserve">Nakit Ödeme  </t>
  </si>
  <si>
    <t xml:space="preserve">12 asgari ücret 17002*12 = </t>
  </si>
  <si>
    <t>gün</t>
  </si>
  <si>
    <t>xautryg</t>
  </si>
  <si>
    <t>gram</t>
  </si>
  <si>
    <t>görüşme yapıldı. hesap düzeltildi aşağıdaki şekle geldi 3 seçenekten tercih yapacaklar</t>
  </si>
  <si>
    <t>1- ay sonuna kadar kalan kira borcu ödenecek</t>
  </si>
  <si>
    <t>2- ödeme yapılmayacaksa dükkan boşaltılacak</t>
  </si>
  <si>
    <t>3- ödeme ve tahliye olmazsa hukuk yolu açık</t>
  </si>
  <si>
    <t>snyE Nakit Slmn</t>
  </si>
  <si>
    <t>snyE İADE Chn</t>
  </si>
  <si>
    <t>snyE- Nakit Slmn</t>
  </si>
  <si>
    <t xml:space="preserve">snyB- bankadan </t>
  </si>
  <si>
    <t>nakit ödme</t>
  </si>
  <si>
    <t>HESAP SIFIRLANDI</t>
  </si>
  <si>
    <r>
      <t>SnyE</t>
    </r>
    <r>
      <rPr>
        <b/>
        <sz val="12"/>
        <color rgb="FF000000"/>
        <rFont val="Ubuntu Condensed"/>
      </rPr>
      <t>.30.20240606.091</t>
    </r>
    <r>
      <rPr>
        <b/>
        <sz val="11"/>
        <color rgb="FF000000"/>
        <rFont val="Arial"/>
        <family val="2"/>
        <charset val="162"/>
      </rPr>
      <t xml:space="preserve"> - SULEYMAN AKAN</t>
    </r>
  </si>
  <si>
    <t>Sözleşme DV</t>
  </si>
  <si>
    <t>Usulsüzlük cezası</t>
  </si>
  <si>
    <t>tüfe</t>
  </si>
  <si>
    <t>aylık kira</t>
  </si>
  <si>
    <t>bakiye</t>
  </si>
  <si>
    <t>Ocak yıllık 83160*57,5%=131-&gt;168</t>
  </si>
  <si>
    <t>Ocak yıllık 131*57,5%=206-&gt;265</t>
  </si>
  <si>
    <t xml:space="preserve"> - 2025 -</t>
  </si>
  <si>
    <t xml:space="preserve"> - 2024 - 2025</t>
  </si>
  <si>
    <t xml:space="preserve"> Bedel</t>
  </si>
  <si>
    <t xml:space="preserve">tüfe 10 </t>
  </si>
  <si>
    <t>tüfe 9</t>
  </si>
  <si>
    <t>tüfe 8</t>
  </si>
  <si>
    <t>tüfe 7</t>
  </si>
  <si>
    <t>tüfe 6</t>
  </si>
  <si>
    <t>tüfe 5</t>
  </si>
  <si>
    <t>tüfe 4</t>
  </si>
  <si>
    <t>tüfe 3</t>
  </si>
  <si>
    <t>tüfe 2</t>
  </si>
  <si>
    <t>tüfe 01-2024</t>
  </si>
  <si>
    <t>kira tüfe farkı</t>
  </si>
  <si>
    <t>tüfe 12</t>
  </si>
  <si>
    <t>tüfe 11</t>
  </si>
  <si>
    <t>SNYCD-HESAP</t>
  </si>
  <si>
    <t>2024-2025 - 1/12 Aralık</t>
  </si>
  <si>
    <t>2023-2024 - 2/12 Ocak</t>
  </si>
  <si>
    <t>2023-2024 - 3/12 Şubat</t>
  </si>
  <si>
    <t>2023-2024 - 4/12 Mart</t>
  </si>
  <si>
    <t>2023-2024 - 5/12 Nisan</t>
  </si>
  <si>
    <t>2023-2024 - 6/12 Mayıs</t>
  </si>
  <si>
    <t>2023-2024 - 7/12 Haziran</t>
  </si>
  <si>
    <t>2023-2024 - 8/12 Temmuz</t>
  </si>
  <si>
    <t>2023-2024 - 9/12 Ağustos</t>
  </si>
  <si>
    <t xml:space="preserve">2023 - 2024 10/12 Eylül  </t>
  </si>
  <si>
    <t xml:space="preserve">2023-2024 - 11/12 Ekim </t>
  </si>
  <si>
    <t xml:space="preserve">tüfe 11 </t>
  </si>
  <si>
    <t>keşif harç masraf için emrullaha havale</t>
  </si>
  <si>
    <t>2024 - 12/12 Kasım</t>
  </si>
  <si>
    <t>tüfe 2024-12</t>
  </si>
  <si>
    <t>avukat-noter vs</t>
  </si>
  <si>
    <t>ödenmedi</t>
  </si>
  <si>
    <t>ÖDEME</t>
  </si>
  <si>
    <t>bedeli</t>
  </si>
  <si>
    <t>ödenecek</t>
  </si>
  <si>
    <t>boya masrafı</t>
  </si>
  <si>
    <t>snyF-icradan</t>
  </si>
  <si>
    <t>snyCD-işbank</t>
  </si>
  <si>
    <t>2025 yılı Toplam</t>
  </si>
  <si>
    <t>2025 YILI NAZAN BALCI</t>
  </si>
  <si>
    <t>snyB bankadan</t>
  </si>
  <si>
    <t xml:space="preserve">TOPLAM ÖDEME </t>
  </si>
  <si>
    <t>2024 yıl sonu nazan devreden kira geliri</t>
  </si>
  <si>
    <t>2025 e DEVREDEN</t>
  </si>
  <si>
    <t>asg ücret</t>
  </si>
  <si>
    <t>adet</t>
  </si>
  <si>
    <t>İSTİNAFTAN TAHLİYE KARARI GELDİ</t>
  </si>
  <si>
    <t>dava rededildi karşı avukat ücreti</t>
  </si>
  <si>
    <t>Tahliye taahütnamesi avukata verildi.</t>
  </si>
  <si>
    <t>b.fiyat</t>
  </si>
  <si>
    <t xml:space="preserve"> 20-06-2022  </t>
  </si>
  <si>
    <t xml:space="preserve"> 10-05-2022</t>
  </si>
  <si>
    <t>icradan</t>
  </si>
  <si>
    <t>08/01/2024-15:58:33</t>
  </si>
  <si>
    <t>08/01/2024</t>
  </si>
  <si>
    <t>FA</t>
  </si>
  <si>
    <t>SALİH ANT*0111*2024 yılı iş yeri kira bedeli*1307883986*FAST</t>
  </si>
  <si>
    <t>15800126861620240108155833647</t>
  </si>
  <si>
    <t>Salih Ant - 3.yıl</t>
  </si>
  <si>
    <t>2024 de yapılan sözleşme de"3. yıl yıllık kira bedeli 16 asgari ücret uygulanacak" tı</t>
  </si>
  <si>
    <t>01-01-24 - 31-12-24 kira bedeli</t>
  </si>
  <si>
    <t>01-01-25 - 31-12-25 kira bedeli</t>
  </si>
  <si>
    <t>Yapılan Ödeme</t>
  </si>
  <si>
    <t>16 asgari ücret</t>
  </si>
  <si>
    <t>Mahkemede</t>
  </si>
  <si>
    <t>15/04/2024</t>
  </si>
  <si>
    <t>MERDAL KİPEL*0010*31,03,2024 DEN 31,03,2025 E KADAR İŞ YERİ ÖDEMESİDİR.</t>
  </si>
  <si>
    <t xml:space="preserve"> (PİYASANIN BELİRSİZLİĞİNDEN DOLAYI YILLIK TEFE TÜFEDEN FAZL*2688774034*FAST</t>
  </si>
  <si>
    <t xml:space="preserve">Endeks </t>
  </si>
  <si>
    <t xml:space="preserve">Tüfe </t>
  </si>
  <si>
    <t xml:space="preserve"> %</t>
  </si>
  <si>
    <t>aylık 2 asgari ücret</t>
  </si>
  <si>
    <t>İŞ 801</t>
  </si>
  <si>
    <t>Sütun1</t>
  </si>
  <si>
    <t>30-09-2024 – 31-09-2025</t>
  </si>
  <si>
    <t>ÖDEME YAPILMADI</t>
  </si>
  <si>
    <t>1-1-25 * 31-12-2025</t>
  </si>
  <si>
    <t>16 * 22 104 KİRA BEDELİ</t>
  </si>
  <si>
    <t>BANKA ÖDEMESİ</t>
  </si>
  <si>
    <t>aylık KİRA</t>
  </si>
  <si>
    <t>23-24 bedel 240000 TL</t>
  </si>
  <si>
    <t>30-11-23 * 29-11-24</t>
  </si>
  <si>
    <t>2024-25</t>
  </si>
  <si>
    <t>2025-26</t>
  </si>
  <si>
    <t>BANKA UMUTA</t>
  </si>
  <si>
    <t>06-06-2025-31-12-2025 Bedeli</t>
  </si>
  <si>
    <t>İCRADAN</t>
  </si>
  <si>
    <t>İCRADAN GELENDEN İADE</t>
  </si>
  <si>
    <t>2022 YILINDA ÖDENMEYEN KİRALAR İÇİN</t>
  </si>
  <si>
    <t>TÜFE FARKI HESAPLANMADI - EKLENMEDİ</t>
  </si>
  <si>
    <t>2022 SONRASI TÜFE FARKI AYLIK OLARAK HESABA EKLENDİ</t>
  </si>
  <si>
    <t>ÖDEME YAPILMADIĞI İÇİN SON 3 AY DÜŞÜLDÜ</t>
  </si>
  <si>
    <t>HESAP SIFIRLANDI VE 2023 YILI TÜFE FARKLI FİYAT ANLAŞILDI</t>
  </si>
  <si>
    <t>ÖDEME YAPILMADIĞI İÇİN İCRAYA GİDİLDİ</t>
  </si>
  <si>
    <t>30-09-2024 – 29-09-2025</t>
  </si>
  <si>
    <t>12*17002</t>
  </si>
  <si>
    <t>ödeme yapılmadI</t>
  </si>
  <si>
    <t>15-01-2025 TE BOŞALTTI</t>
  </si>
  <si>
    <t>ZAMANINDA BİLDİRİM YAPMADIĞI İÇİN</t>
  </si>
  <si>
    <t>AY</t>
  </si>
  <si>
    <t>OTURDUĞU SÜRE  2024-2025</t>
  </si>
  <si>
    <t xml:space="preserve"> + </t>
  </si>
  <si>
    <t>Sütun2</t>
  </si>
  <si>
    <t>ay</t>
  </si>
  <si>
    <t>2025 te</t>
  </si>
  <si>
    <t>eddddddddddddddddddddddddddddddd</t>
  </si>
  <si>
    <t>havale</t>
  </si>
  <si>
    <t>bankadan ödeme</t>
  </si>
  <si>
    <t>24-25 bedel 530000 TL</t>
  </si>
  <si>
    <t>30-09-2025 – 31-09-2026</t>
  </si>
  <si>
    <t>sny C</t>
  </si>
  <si>
    <t xml:space="preserve">arsa önüne malzeme yığıntısı var </t>
  </si>
  <si>
    <t>2025 - 12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</si>
</sst>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  <numFmt numFmtId="178" formatCode="dd/mm/yy;@"/>
    <numFmt numFmtId="179" formatCode="0.00&quot; &quot;;[Red]&quot;-&quot;0.00&quot; &quot;"/>
    <numFmt numFmtId="180" formatCode="#,##0.00&quot; &quot;;[Red]&quot;-&quot;#,##0.00&quot; &quot;"/>
    <numFmt numFmtId="181" formatCode="[$-409]#,##0.00"/>
    <numFmt numFmtId="182" formatCode="[$-41F]#,##0.00"/>
    <numFmt numFmtId="183" formatCode="%0.0000"/>
    <numFmt numFmtId="184" formatCode="[$-F800]dddd\,\ mmmm\ dd\,\ yyyy"/>
    <numFmt numFmtId="185" formatCode="###,###,###,###,##0.00"/>
    <numFmt numFmtId="186" formatCode="_-* #,##0.00_-;\-* #,##0.00_-;_-* &quot;-&quot;????_-;_-@_-"/>
  </numFmts>
  <fonts count="60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000000"/>
      <name val="Calibri"/>
      <family val="2"/>
      <charset val="162"/>
    </font>
    <font>
      <b/>
      <u/>
      <sz val="10"/>
      <color rgb="FFFF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u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6"/>
      <color rgb="FF000000"/>
      <name val="Liberation Sans1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Ubuntu Condensed"/>
    </font>
    <font>
      <sz val="10"/>
      <color rgb="FFFF0000"/>
      <name val="Liberation Sans2"/>
      <charset val="162"/>
    </font>
    <font>
      <sz val="8"/>
      <name val="Liberation Sans1"/>
      <charset val="162"/>
    </font>
    <font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b/>
      <sz val="14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i/>
      <u/>
      <sz val="10"/>
      <color rgb="FF000000"/>
      <name val="Abyssinica SI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12"/>
      <color rgb="FFFF0000"/>
      <name val="Abyssinica SIL"/>
      <charset val="162"/>
    </font>
    <font>
      <b/>
      <sz val="10"/>
      <color rgb="FF000000"/>
      <name val="Abyssinica SIL"/>
      <charset val="162"/>
    </font>
    <font>
      <b/>
      <u/>
      <sz val="11"/>
      <color rgb="FF000000"/>
      <name val="Liberation Sans1"/>
      <charset val="162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5" tint="0.79998168889431442"/>
        <bgColor rgb="FFFFFFD7"/>
      </patternFill>
    </fill>
    <fill>
      <patternFill patternType="solid">
        <fgColor theme="9" tint="0.39997558519241921"/>
        <bgColor rgb="FFFFFFD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/>
        <bgColor rgb="FFFCE4D6"/>
      </patternFill>
    </fill>
    <fill>
      <patternFill patternType="solid">
        <fgColor theme="7"/>
        <bgColor rgb="FFE2EFDA"/>
      </patternFill>
    </fill>
    <fill>
      <patternFill patternType="solid">
        <fgColor theme="7" tint="0.79998168889431442"/>
        <bgColor rgb="FFFFD7D7"/>
      </patternFill>
    </fill>
    <fill>
      <patternFill patternType="solid">
        <fgColor theme="7" tint="0.79998168889431442"/>
        <bgColor rgb="FFF6F9D4"/>
      </patternFill>
    </fill>
    <fill>
      <patternFill patternType="solid">
        <fgColor theme="7" tint="0.79998168889431442"/>
        <bgColor rgb="FFFFFFD7"/>
      </patternFill>
    </fill>
    <fill>
      <patternFill patternType="solid">
        <fgColor theme="9" tint="0.79998168889431442"/>
        <bgColor rgb="FFF6F9D4"/>
      </patternFill>
    </fill>
    <fill>
      <patternFill patternType="solid">
        <fgColor theme="9" tint="0.79998168889431442"/>
        <bgColor rgb="FFFFFFD7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3" tint="0.79998168889431442"/>
        <bgColor rgb="FFFFFFD7"/>
      </patternFill>
    </fill>
    <fill>
      <patternFill patternType="solid">
        <fgColor theme="3" tint="0.79998168889431442"/>
        <bgColor rgb="FFF6F9D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56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2" xfId="0" applyNumberFormat="1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right"/>
    </xf>
    <xf numFmtId="4" fontId="17" fillId="9" borderId="0" xfId="0" applyNumberFormat="1" applyFont="1" applyFill="1"/>
    <xf numFmtId="4" fontId="17" fillId="10" borderId="0" xfId="0" applyNumberFormat="1" applyFont="1" applyFill="1"/>
    <xf numFmtId="4" fontId="17" fillId="11" borderId="0" xfId="0" applyNumberFormat="1" applyFont="1" applyFill="1"/>
    <xf numFmtId="4" fontId="3" fillId="12" borderId="0" xfId="0" applyNumberFormat="1" applyFont="1" applyFill="1"/>
    <xf numFmtId="4" fontId="17" fillId="13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9" fillId="0" borderId="4" xfId="0" applyFont="1" applyBorder="1" applyAlignment="1">
      <alignment horizontal="right"/>
    </xf>
    <xf numFmtId="4" fontId="3" fillId="0" borderId="4" xfId="0" applyNumberFormat="1" applyFont="1" applyBorder="1"/>
    <xf numFmtId="0" fontId="0" fillId="9" borderId="0" xfId="0" applyFill="1"/>
    <xf numFmtId="4" fontId="0" fillId="10" borderId="0" xfId="0" applyNumberFormat="1" applyFill="1"/>
    <xf numFmtId="164" fontId="18" fillId="0" borderId="0" xfId="0" applyNumberFormat="1" applyFont="1" applyAlignment="1">
      <alignment horizontal="center"/>
    </xf>
    <xf numFmtId="4" fontId="18" fillId="9" borderId="0" xfId="0" applyNumberFormat="1" applyFont="1" applyFill="1" applyAlignment="1">
      <alignment horizontal="right"/>
    </xf>
    <xf numFmtId="4" fontId="19" fillId="10" borderId="0" xfId="0" applyNumberFormat="1" applyFont="1" applyFill="1" applyAlignment="1">
      <alignment horizontal="right"/>
    </xf>
    <xf numFmtId="4" fontId="19" fillId="11" borderId="0" xfId="0" applyNumberFormat="1" applyFont="1" applyFill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6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164" fontId="18" fillId="0" borderId="3" xfId="0" applyNumberFormat="1" applyFont="1" applyBorder="1" applyAlignment="1">
      <alignment horizontal="center"/>
    </xf>
    <xf numFmtId="0" fontId="0" fillId="0" borderId="3" xfId="0" applyBorder="1"/>
    <xf numFmtId="4" fontId="18" fillId="0" borderId="3" xfId="0" applyNumberFormat="1" applyFont="1" applyBorder="1" applyAlignment="1">
      <alignment horizontal="right"/>
    </xf>
    <xf numFmtId="4" fontId="19" fillId="0" borderId="3" xfId="0" applyNumberFormat="1" applyFont="1" applyBorder="1" applyAlignment="1">
      <alignment horizontal="right"/>
    </xf>
    <xf numFmtId="4" fontId="17" fillId="13" borderId="3" xfId="0" applyNumberFormat="1" applyFont="1" applyFill="1" applyBorder="1" applyAlignment="1">
      <alignment horizontal="right"/>
    </xf>
    <xf numFmtId="0" fontId="21" fillId="0" borderId="4" xfId="0" applyFont="1" applyBorder="1"/>
    <xf numFmtId="0" fontId="20" fillId="0" borderId="4" xfId="0" applyFont="1" applyBorder="1"/>
    <xf numFmtId="4" fontId="0" fillId="0" borderId="4" xfId="0" applyNumberFormat="1" applyBorder="1"/>
    <xf numFmtId="4" fontId="21" fillId="12" borderId="4" xfId="0" applyNumberFormat="1" applyFont="1" applyFill="1" applyBorder="1"/>
    <xf numFmtId="4" fontId="21" fillId="0" borderId="0" xfId="0" applyNumberFormat="1" applyFont="1"/>
    <xf numFmtId="4" fontId="17" fillId="0" borderId="0" xfId="0" applyNumberFormat="1" applyFont="1"/>
    <xf numFmtId="168" fontId="0" fillId="0" borderId="0" xfId="0" applyNumberFormat="1"/>
    <xf numFmtId="0" fontId="17" fillId="0" borderId="4" xfId="0" applyFont="1" applyBorder="1"/>
    <xf numFmtId="0" fontId="17" fillId="0" borderId="0" xfId="0" applyFont="1" applyAlignment="1">
      <alignment horizontal="right"/>
    </xf>
    <xf numFmtId="4" fontId="17" fillId="14" borderId="0" xfId="0" applyNumberFormat="1" applyFont="1" applyFill="1"/>
    <xf numFmtId="4" fontId="17" fillId="0" borderId="4" xfId="0" applyNumberFormat="1" applyFont="1" applyBorder="1"/>
    <xf numFmtId="4" fontId="3" fillId="0" borderId="0" xfId="0" applyNumberFormat="1" applyFont="1"/>
    <xf numFmtId="4" fontId="3" fillId="13" borderId="0" xfId="0" applyNumberFormat="1" applyFont="1" applyFill="1"/>
    <xf numFmtId="0" fontId="3" fillId="0" borderId="3" xfId="0" applyFont="1" applyBorder="1"/>
    <xf numFmtId="166" fontId="0" fillId="0" borderId="0" xfId="0" applyNumberFormat="1"/>
    <xf numFmtId="167" fontId="0" fillId="0" borderId="0" xfId="0" applyNumberFormat="1"/>
    <xf numFmtId="0" fontId="17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7" fillId="14" borderId="4" xfId="0" applyFont="1" applyFill="1" applyBorder="1" applyAlignment="1">
      <alignment horizontal="right"/>
    </xf>
    <xf numFmtId="4" fontId="3" fillId="14" borderId="4" xfId="0" applyNumberFormat="1" applyFont="1" applyFill="1" applyBorder="1"/>
    <xf numFmtId="4" fontId="19" fillId="9" borderId="0" xfId="0" applyNumberFormat="1" applyFont="1" applyFill="1"/>
    <xf numFmtId="4" fontId="22" fillId="0" borderId="0" xfId="0" applyNumberFormat="1" applyFont="1"/>
    <xf numFmtId="0" fontId="23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3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3" fillId="0" borderId="11" xfId="0" applyNumberFormat="1" applyFont="1" applyBorder="1"/>
    <xf numFmtId="4" fontId="0" fillId="0" borderId="12" xfId="0" applyNumberFormat="1" applyBorder="1"/>
    <xf numFmtId="0" fontId="3" fillId="0" borderId="11" xfId="0" applyFont="1" applyBorder="1"/>
    <xf numFmtId="4" fontId="0" fillId="0" borderId="11" xfId="0" applyNumberFormat="1" applyBorder="1"/>
    <xf numFmtId="4" fontId="24" fillId="0" borderId="11" xfId="0" applyNumberFormat="1" applyFont="1" applyBorder="1"/>
    <xf numFmtId="4" fontId="26" fillId="0" borderId="0" xfId="0" applyNumberFormat="1" applyFont="1"/>
    <xf numFmtId="0" fontId="0" fillId="0" borderId="11" xfId="0" applyBorder="1"/>
    <xf numFmtId="0" fontId="24" fillId="0" borderId="11" xfId="0" applyFont="1" applyBorder="1"/>
    <xf numFmtId="0" fontId="0" fillId="0" borderId="13" xfId="0" applyBorder="1"/>
    <xf numFmtId="0" fontId="0" fillId="0" borderId="2" xfId="0" applyBorder="1"/>
    <xf numFmtId="4" fontId="0" fillId="0" borderId="14" xfId="0" applyNumberFormat="1" applyBorder="1"/>
    <xf numFmtId="4" fontId="3" fillId="0" borderId="0" xfId="0" applyNumberFormat="1" applyFont="1" applyAlignment="1">
      <alignment horizontal="right"/>
    </xf>
    <xf numFmtId="172" fontId="0" fillId="0" borderId="0" xfId="0" applyNumberFormat="1"/>
    <xf numFmtId="0" fontId="16" fillId="0" borderId="0" xfId="0" applyFont="1"/>
    <xf numFmtId="4" fontId="16" fillId="0" borderId="0" xfId="0" applyNumberFormat="1" applyFont="1" applyAlignment="1">
      <alignment horizontal="right"/>
    </xf>
    <xf numFmtId="166" fontId="3" fillId="0" borderId="0" xfId="0" applyNumberFormat="1" applyFont="1"/>
    <xf numFmtId="164" fontId="2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71" fontId="0" fillId="0" borderId="0" xfId="0" applyNumberFormat="1"/>
    <xf numFmtId="0" fontId="19" fillId="0" borderId="0" xfId="0" applyFont="1" applyAlignment="1">
      <alignment horizontal="left"/>
    </xf>
    <xf numFmtId="16" fontId="0" fillId="0" borderId="0" xfId="0" applyNumberFormat="1"/>
    <xf numFmtId="173" fontId="3" fillId="0" borderId="0" xfId="0" applyNumberFormat="1" applyFont="1"/>
    <xf numFmtId="174" fontId="3" fillId="0" borderId="0" xfId="0" applyNumberFormat="1" applyFont="1"/>
    <xf numFmtId="40" fontId="0" fillId="0" borderId="0" xfId="0" applyNumberFormat="1"/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/>
    <xf numFmtId="175" fontId="0" fillId="15" borderId="0" xfId="0" applyNumberFormat="1" applyFill="1"/>
    <xf numFmtId="40" fontId="3" fillId="0" borderId="0" xfId="0" applyNumberFormat="1" applyFont="1"/>
    <xf numFmtId="40" fontId="32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0" fontId="32" fillId="0" borderId="0" xfId="0" applyFont="1" applyAlignment="1">
      <alignment horizontal="center"/>
    </xf>
    <xf numFmtId="170" fontId="27" fillId="0" borderId="0" xfId="0" applyNumberFormat="1" applyFont="1" applyAlignment="1">
      <alignment horizontal="center"/>
    </xf>
    <xf numFmtId="176" fontId="0" fillId="0" borderId="0" xfId="0" applyNumberFormat="1"/>
    <xf numFmtId="170" fontId="28" fillId="16" borderId="0" xfId="0" applyNumberFormat="1" applyFont="1" applyFill="1" applyAlignment="1">
      <alignment horizontal="center"/>
    </xf>
    <xf numFmtId="40" fontId="3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4" fillId="0" borderId="0" xfId="0" applyFont="1"/>
    <xf numFmtId="4" fontId="0" fillId="0" borderId="17" xfId="0" applyNumberFormat="1" applyBorder="1"/>
    <xf numFmtId="0" fontId="0" fillId="19" borderId="0" xfId="0" applyFill="1"/>
    <xf numFmtId="0" fontId="3" fillId="19" borderId="0" xfId="0" applyFont="1" applyFill="1"/>
    <xf numFmtId="40" fontId="3" fillId="19" borderId="0" xfId="0" applyNumberFormat="1" applyFont="1" applyFill="1"/>
    <xf numFmtId="174" fontId="3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5" fillId="17" borderId="0" xfId="0" applyNumberFormat="1" applyFont="1" applyFill="1"/>
    <xf numFmtId="40" fontId="36" fillId="20" borderId="0" xfId="0" applyNumberFormat="1" applyFont="1" applyFill="1"/>
    <xf numFmtId="175" fontId="0" fillId="0" borderId="0" xfId="0" applyNumberFormat="1"/>
    <xf numFmtId="174" fontId="3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0" fontId="0" fillId="19" borderId="0" xfId="0" applyFill="1" applyAlignment="1">
      <alignment horizontal="right"/>
    </xf>
    <xf numFmtId="174" fontId="3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0" fontId="33" fillId="0" borderId="0" xfId="0" applyFont="1" applyAlignment="1">
      <alignment horizontal="center"/>
    </xf>
    <xf numFmtId="4" fontId="19" fillId="24" borderId="0" xfId="0" applyNumberFormat="1" applyFont="1" applyFill="1"/>
    <xf numFmtId="17" fontId="0" fillId="0" borderId="0" xfId="0" applyNumberFormat="1"/>
    <xf numFmtId="14" fontId="0" fillId="0" borderId="0" xfId="0" applyNumberFormat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6" borderId="0" xfId="0" applyFill="1" applyAlignment="1">
      <alignment horizontal="right"/>
    </xf>
    <xf numFmtId="166" fontId="24" fillId="0" borderId="0" xfId="0" applyNumberFormat="1" applyFont="1"/>
    <xf numFmtId="0" fontId="38" fillId="0" borderId="0" xfId="0" applyFont="1"/>
    <xf numFmtId="0" fontId="24" fillId="0" borderId="0" xfId="0" applyFont="1"/>
    <xf numFmtId="4" fontId="24" fillId="0" borderId="0" xfId="0" applyNumberFormat="1" applyFont="1"/>
    <xf numFmtId="0" fontId="39" fillId="0" borderId="18" xfId="0" applyFont="1" applyBorder="1"/>
    <xf numFmtId="0" fontId="40" fillId="0" borderId="0" xfId="0" applyFont="1"/>
    <xf numFmtId="166" fontId="41" fillId="14" borderId="18" xfId="0" applyNumberFormat="1" applyFont="1" applyFill="1" applyBorder="1"/>
    <xf numFmtId="0" fontId="41" fillId="14" borderId="0" xfId="0" applyFont="1" applyFill="1"/>
    <xf numFmtId="0" fontId="41" fillId="0" borderId="0" xfId="0" applyFont="1"/>
    <xf numFmtId="4" fontId="42" fillId="0" borderId="0" xfId="0" applyNumberFormat="1" applyFont="1"/>
    <xf numFmtId="0" fontId="24" fillId="28" borderId="0" xfId="0" applyFont="1" applyFill="1"/>
    <xf numFmtId="4" fontId="43" fillId="28" borderId="18" xfId="0" applyNumberFormat="1" applyFont="1" applyFill="1" applyBorder="1"/>
    <xf numFmtId="0" fontId="44" fillId="0" borderId="18" xfId="0" applyFont="1" applyBorder="1"/>
    <xf numFmtId="0" fontId="38" fillId="28" borderId="18" xfId="0" applyFont="1" applyFill="1" applyBorder="1"/>
    <xf numFmtId="0" fontId="24" fillId="28" borderId="18" xfId="0" applyFont="1" applyFill="1" applyBorder="1"/>
    <xf numFmtId="0" fontId="45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178" fontId="18" fillId="0" borderId="2" xfId="0" applyNumberFormat="1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178" fontId="18" fillId="0" borderId="3" xfId="0" applyNumberFormat="1" applyFont="1" applyBorder="1" applyAlignment="1">
      <alignment horizontal="center"/>
    </xf>
    <xf numFmtId="178" fontId="29" fillId="0" borderId="4" xfId="0" applyNumberFormat="1" applyFont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45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0" xfId="0" applyNumberFormat="1" applyFont="1"/>
    <xf numFmtId="40" fontId="37" fillId="16" borderId="0" xfId="0" applyNumberFormat="1" applyFont="1" applyFill="1"/>
    <xf numFmtId="175" fontId="0" fillId="29" borderId="0" xfId="0" applyNumberFormat="1" applyFill="1"/>
    <xf numFmtId="0" fontId="0" fillId="29" borderId="0" xfId="0" applyFill="1"/>
    <xf numFmtId="40" fontId="37" fillId="30" borderId="0" xfId="0" applyNumberFormat="1" applyFont="1" applyFill="1"/>
    <xf numFmtId="0" fontId="3" fillId="23" borderId="0" xfId="0" applyFont="1" applyFill="1"/>
    <xf numFmtId="4" fontId="37" fillId="31" borderId="0" xfId="0" applyNumberFormat="1" applyFont="1" applyFill="1"/>
    <xf numFmtId="0" fontId="46" fillId="0" borderId="0" xfId="0" applyFont="1"/>
    <xf numFmtId="178" fontId="37" fillId="32" borderId="0" xfId="0" applyNumberFormat="1" applyFont="1" applyFill="1"/>
    <xf numFmtId="0" fontId="37" fillId="32" borderId="0" xfId="0" applyFont="1" applyFill="1"/>
    <xf numFmtId="4" fontId="37" fillId="32" borderId="0" xfId="0" applyNumberFormat="1" applyFont="1" applyFill="1"/>
    <xf numFmtId="4" fontId="48" fillId="33" borderId="0" xfId="0" applyNumberFormat="1" applyFont="1" applyFill="1"/>
    <xf numFmtId="4" fontId="48" fillId="34" borderId="0" xfId="0" applyNumberFormat="1" applyFont="1" applyFill="1" applyAlignment="1">
      <alignment horizontal="right"/>
    </xf>
    <xf numFmtId="4" fontId="48" fillId="35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4" fontId="19" fillId="36" borderId="0" xfId="0" applyNumberFormat="1" applyFont="1" applyFill="1"/>
    <xf numFmtId="4" fontId="19" fillId="37" borderId="0" xfId="0" applyNumberFormat="1" applyFont="1" applyFill="1"/>
    <xf numFmtId="4" fontId="19" fillId="38" borderId="0" xfId="0" applyNumberFormat="1" applyFont="1" applyFill="1" applyAlignment="1">
      <alignment horizontal="right"/>
    </xf>
    <xf numFmtId="0" fontId="20" fillId="27" borderId="0" xfId="0" applyFont="1" applyFill="1"/>
    <xf numFmtId="0" fontId="29" fillId="27" borderId="0" xfId="0" applyFont="1" applyFill="1"/>
    <xf numFmtId="0" fontId="3" fillId="27" borderId="0" xfId="0" applyFont="1" applyFill="1"/>
    <xf numFmtId="4" fontId="17" fillId="36" borderId="0" xfId="0" applyNumberFormat="1" applyFont="1" applyFill="1"/>
    <xf numFmtId="164" fontId="50" fillId="0" borderId="0" xfId="0" applyNumberFormat="1" applyFont="1" applyAlignment="1">
      <alignment vertical="center"/>
    </xf>
    <xf numFmtId="164" fontId="51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0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80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79" fontId="50" fillId="0" borderId="4" xfId="0" applyNumberFormat="1" applyFont="1" applyBorder="1" applyAlignment="1">
      <alignment vertical="center"/>
    </xf>
    <xf numFmtId="10" fontId="50" fillId="0" borderId="4" xfId="0" applyNumberFormat="1" applyFont="1" applyBorder="1" applyAlignment="1">
      <alignment vertical="center"/>
    </xf>
    <xf numFmtId="180" fontId="50" fillId="0" borderId="4" xfId="0" applyNumberFormat="1" applyFont="1" applyBorder="1" applyAlignment="1">
      <alignment vertical="center"/>
    </xf>
    <xf numFmtId="181" fontId="50" fillId="0" borderId="4" xfId="0" applyNumberFormat="1" applyFont="1" applyBorder="1" applyAlignment="1">
      <alignment vertical="center"/>
    </xf>
    <xf numFmtId="164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80" fontId="54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64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179" fontId="54" fillId="0" borderId="0" xfId="0" applyNumberFormat="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180" fontId="54" fillId="0" borderId="0" xfId="0" applyNumberFormat="1" applyFont="1" applyAlignment="1">
      <alignment horizontal="right" vertical="center"/>
    </xf>
    <xf numFmtId="181" fontId="54" fillId="0" borderId="0" xfId="0" applyNumberFormat="1" applyFont="1" applyAlignment="1">
      <alignment horizontal="right" vertical="center"/>
    </xf>
    <xf numFmtId="182" fontId="50" fillId="0" borderId="0" xfId="7" applyNumberFormat="1" applyFont="1"/>
    <xf numFmtId="4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horizontal="right" vertical="center"/>
    </xf>
    <xf numFmtId="179" fontId="50" fillId="32" borderId="0" xfId="0" applyNumberFormat="1" applyFont="1" applyFill="1" applyAlignment="1">
      <alignment vertical="center"/>
    </xf>
    <xf numFmtId="4" fontId="48" fillId="10" borderId="0" xfId="0" applyNumberFormat="1" applyFont="1" applyFill="1" applyAlignment="1">
      <alignment horizontal="right"/>
    </xf>
    <xf numFmtId="2" fontId="55" fillId="0" borderId="19" xfId="20" applyNumberFormat="1" applyFont="1" applyFill="1" applyBorder="1"/>
    <xf numFmtId="2" fontId="55" fillId="0" borderId="19" xfId="20" applyNumberFormat="1" applyFont="1" applyFill="1" applyBorder="1"/>
    <xf numFmtId="175" fontId="0" fillId="39" borderId="0" xfId="0" applyNumberFormat="1" applyFill="1"/>
    <xf numFmtId="0" fontId="0" fillId="39" borderId="0" xfId="0" applyFill="1"/>
    <xf numFmtId="175" fontId="0" fillId="40" borderId="0" xfId="0" applyNumberFormat="1" applyFill="1"/>
    <xf numFmtId="0" fontId="0" fillId="40" borderId="0" xfId="0" applyFill="1"/>
    <xf numFmtId="175" fontId="0" fillId="41" borderId="0" xfId="0" applyNumberFormat="1" applyFill="1"/>
    <xf numFmtId="0" fontId="0" fillId="41" borderId="0" xfId="0" applyFill="1"/>
    <xf numFmtId="0" fontId="3" fillId="41" borderId="0" xfId="0" applyFont="1" applyFill="1"/>
    <xf numFmtId="0" fontId="3" fillId="40" borderId="0" xfId="0" applyFont="1" applyFill="1"/>
    <xf numFmtId="40" fontId="0" fillId="42" borderId="0" xfId="0" applyNumberFormat="1" applyFill="1"/>
    <xf numFmtId="40" fontId="0" fillId="43" borderId="0" xfId="0" applyNumberFormat="1" applyFill="1"/>
    <xf numFmtId="40" fontId="3" fillId="42" borderId="0" xfId="0" applyNumberFormat="1" applyFont="1" applyFill="1"/>
    <xf numFmtId="40" fontId="37" fillId="44" borderId="0" xfId="0" applyNumberFormat="1" applyFont="1" applyFill="1"/>
    <xf numFmtId="40" fontId="3" fillId="43" borderId="0" xfId="0" applyNumberFormat="1" applyFont="1" applyFill="1"/>
    <xf numFmtId="174" fontId="3" fillId="0" borderId="20" xfId="0" applyNumberFormat="1" applyFont="1" applyBorder="1"/>
    <xf numFmtId="171" fontId="3" fillId="0" borderId="21" xfId="0" applyNumberFormat="1" applyFont="1" applyBorder="1" applyAlignment="1">
      <alignment horizontal="right"/>
    </xf>
    <xf numFmtId="174" fontId="3" fillId="21" borderId="22" xfId="0" applyNumberFormat="1" applyFont="1" applyFill="1" applyBorder="1"/>
    <xf numFmtId="171" fontId="3" fillId="0" borderId="22" xfId="0" applyNumberFormat="1" applyFont="1" applyBorder="1"/>
    <xf numFmtId="40" fontId="3" fillId="18" borderId="0" xfId="0" applyNumberFormat="1" applyFont="1" applyFill="1"/>
    <xf numFmtId="0" fontId="0" fillId="45" borderId="0" xfId="0" applyFill="1"/>
    <xf numFmtId="40" fontId="0" fillId="45" borderId="0" xfId="0" applyNumberFormat="1" applyFill="1"/>
    <xf numFmtId="0" fontId="3" fillId="46" borderId="0" xfId="0" applyFont="1" applyFill="1"/>
    <xf numFmtId="40" fontId="3" fillId="46" borderId="0" xfId="0" applyNumberFormat="1" applyFont="1" applyFill="1"/>
    <xf numFmtId="0" fontId="3" fillId="45" borderId="0" xfId="0" applyFont="1" applyFill="1"/>
    <xf numFmtId="40" fontId="3" fillId="45" borderId="0" xfId="0" applyNumberFormat="1" applyFont="1" applyFill="1"/>
    <xf numFmtId="40" fontId="3" fillId="47" borderId="0" xfId="0" applyNumberFormat="1" applyFont="1" applyFill="1"/>
    <xf numFmtId="0" fontId="3" fillId="0" borderId="20" xfId="0" applyFont="1" applyBorder="1" applyAlignment="1">
      <alignment horizontal="right"/>
    </xf>
    <xf numFmtId="183" fontId="30" fillId="0" borderId="0" xfId="0" applyNumberFormat="1" applyFont="1"/>
    <xf numFmtId="183" fontId="33" fillId="16" borderId="0" xfId="0" applyNumberFormat="1" applyFont="1" applyFill="1" applyAlignment="1">
      <alignment horizontal="center"/>
    </xf>
    <xf numFmtId="16" fontId="0" fillId="32" borderId="0" xfId="0" applyNumberFormat="1" applyFill="1"/>
    <xf numFmtId="0" fontId="0" fillId="32" borderId="0" xfId="0" applyFill="1"/>
    <xf numFmtId="4" fontId="19" fillId="32" borderId="0" xfId="0" applyNumberFormat="1" applyFont="1" applyFill="1"/>
    <xf numFmtId="4" fontId="0" fillId="32" borderId="0" xfId="0" applyNumberFormat="1" applyFill="1"/>
    <xf numFmtId="182" fontId="57" fillId="0" borderId="0" xfId="7" applyNumberFormat="1" applyFont="1"/>
    <xf numFmtId="180" fontId="58" fillId="0" borderId="0" xfId="0" applyNumberFormat="1" applyFont="1" applyAlignment="1">
      <alignment vertical="center"/>
    </xf>
    <xf numFmtId="0" fontId="0" fillId="0" borderId="0" xfId="0" applyFill="1"/>
    <xf numFmtId="0" fontId="16" fillId="0" borderId="0" xfId="0" applyFont="1" applyFill="1" applyAlignment="1">
      <alignment horizontal="right"/>
    </xf>
    <xf numFmtId="0" fontId="16" fillId="0" borderId="0" xfId="0" applyFont="1" applyFill="1"/>
    <xf numFmtId="4" fontId="0" fillId="0" borderId="0" xfId="0" applyNumberFormat="1" applyFill="1"/>
    <xf numFmtId="166" fontId="0" fillId="0" borderId="0" xfId="0" applyNumberFormat="1" applyFill="1"/>
    <xf numFmtId="14" fontId="0" fillId="0" borderId="0" xfId="0" applyNumberFormat="1" applyFill="1"/>
    <xf numFmtId="4" fontId="19" fillId="0" borderId="0" xfId="0" applyNumberFormat="1" applyFont="1" applyFill="1"/>
    <xf numFmtId="4" fontId="19" fillId="0" borderId="0" xfId="0" applyNumberFormat="1" applyFont="1" applyFill="1" applyAlignment="1">
      <alignment horizontal="right"/>
    </xf>
    <xf numFmtId="4" fontId="48" fillId="0" borderId="0" xfId="0" applyNumberFormat="1" applyFont="1" applyFill="1" applyAlignment="1">
      <alignment horizontal="right"/>
    </xf>
    <xf numFmtId="0" fontId="3" fillId="0" borderId="0" xfId="0" applyFont="1" applyFill="1"/>
    <xf numFmtId="16" fontId="0" fillId="0" borderId="0" xfId="0" applyNumberFormat="1" applyFill="1"/>
    <xf numFmtId="4" fontId="3" fillId="0" borderId="0" xfId="0" applyNumberFormat="1" applyFont="1" applyFill="1"/>
    <xf numFmtId="14" fontId="3" fillId="0" borderId="17" xfId="0" applyNumberFormat="1" applyFont="1" applyFill="1" applyBorder="1"/>
    <xf numFmtId="0" fontId="3" fillId="0" borderId="17" xfId="0" applyFont="1" applyFill="1" applyBorder="1"/>
    <xf numFmtId="4" fontId="17" fillId="0" borderId="17" xfId="0" applyNumberFormat="1" applyFont="1" applyFill="1" applyBorder="1"/>
    <xf numFmtId="4" fontId="3" fillId="0" borderId="17" xfId="0" applyNumberFormat="1" applyFont="1" applyFill="1" applyBorder="1"/>
    <xf numFmtId="4" fontId="17" fillId="0" borderId="17" xfId="0" applyNumberFormat="1" applyFont="1" applyFill="1" applyBorder="1" applyAlignment="1">
      <alignment horizontal="right"/>
    </xf>
    <xf numFmtId="14" fontId="0" fillId="0" borderId="0" xfId="0" applyNumberFormat="1" applyFont="1" applyFill="1"/>
    <xf numFmtId="0" fontId="0" fillId="0" borderId="0" xfId="0" applyFont="1" applyFill="1"/>
    <xf numFmtId="4" fontId="0" fillId="0" borderId="0" xfId="0" applyNumberFormat="1" applyFont="1" applyFill="1"/>
    <xf numFmtId="0" fontId="0" fillId="0" borderId="0" xfId="0" applyFill="1" applyAlignment="1">
      <alignment horizontal="left"/>
    </xf>
    <xf numFmtId="4" fontId="3" fillId="0" borderId="23" xfId="0" applyNumberFormat="1" applyFont="1" applyFill="1" applyBorder="1"/>
    <xf numFmtId="0" fontId="0" fillId="0" borderId="21" xfId="0" applyFill="1" applyBorder="1"/>
    <xf numFmtId="4" fontId="19" fillId="0" borderId="21" xfId="0" applyNumberFormat="1" applyFont="1" applyFill="1" applyBorder="1"/>
    <xf numFmtId="4" fontId="17" fillId="0" borderId="21" xfId="0" applyNumberFormat="1" applyFont="1" applyFill="1" applyBorder="1"/>
    <xf numFmtId="4" fontId="3" fillId="0" borderId="22" xfId="0" applyNumberFormat="1" applyFont="1" applyFill="1" applyBorder="1"/>
    <xf numFmtId="14" fontId="3" fillId="0" borderId="20" xfId="0" applyNumberFormat="1" applyFont="1" applyFill="1" applyBorder="1"/>
    <xf numFmtId="0" fontId="3" fillId="0" borderId="21" xfId="0" applyFont="1" applyFill="1" applyBorder="1"/>
    <xf numFmtId="14" fontId="0" fillId="0" borderId="21" xfId="0" applyNumberFormat="1" applyFill="1" applyBorder="1"/>
    <xf numFmtId="0" fontId="0" fillId="0" borderId="21" xfId="0" applyBorder="1"/>
    <xf numFmtId="4" fontId="0" fillId="0" borderId="21" xfId="0" applyNumberFormat="1" applyFill="1" applyBorder="1"/>
    <xf numFmtId="0" fontId="29" fillId="0" borderId="0" xfId="0" applyFont="1" applyFill="1" applyAlignment="1">
      <alignment horizontal="center"/>
    </xf>
    <xf numFmtId="4" fontId="17" fillId="48" borderId="0" xfId="0" applyNumberFormat="1" applyFont="1" applyFill="1"/>
    <xf numFmtId="4" fontId="17" fillId="48" borderId="21" xfId="0" applyNumberFormat="1" applyFont="1" applyFill="1" applyBorder="1"/>
    <xf numFmtId="184" fontId="59" fillId="32" borderId="0" xfId="0" applyNumberFormat="1" applyFont="1" applyFill="1"/>
    <xf numFmtId="0" fontId="0" fillId="32" borderId="0" xfId="0" applyFill="1" applyAlignment="1">
      <alignment horizontal="center"/>
    </xf>
    <xf numFmtId="185" fontId="0" fillId="32" borderId="0" xfId="0" applyNumberFormat="1" applyFill="1"/>
    <xf numFmtId="0" fontId="0" fillId="3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9" fillId="32" borderId="0" xfId="0" applyFont="1" applyFill="1" applyAlignment="1">
      <alignment horizontal="center"/>
    </xf>
    <xf numFmtId="43" fontId="3" fillId="32" borderId="0" xfId="22" applyFont="1" applyFill="1"/>
    <xf numFmtId="164" fontId="50" fillId="0" borderId="17" xfId="0" applyNumberFormat="1" applyFont="1" applyBorder="1" applyAlignment="1">
      <alignment vertical="center"/>
    </xf>
    <xf numFmtId="182" fontId="50" fillId="0" borderId="17" xfId="7" applyNumberFormat="1" applyFont="1" applyBorder="1"/>
    <xf numFmtId="179" fontId="50" fillId="0" borderId="17" xfId="0" applyNumberFormat="1" applyFont="1" applyBorder="1" applyAlignment="1">
      <alignment vertical="center"/>
    </xf>
    <xf numFmtId="10" fontId="50" fillId="0" borderId="17" xfId="0" applyNumberFormat="1" applyFont="1" applyBorder="1" applyAlignment="1">
      <alignment vertical="center"/>
    </xf>
    <xf numFmtId="0" fontId="50" fillId="0" borderId="17" xfId="0" applyFont="1" applyBorder="1" applyAlignment="1">
      <alignment vertical="center"/>
    </xf>
    <xf numFmtId="180" fontId="50" fillId="0" borderId="17" xfId="0" applyNumberFormat="1" applyFont="1" applyBorder="1" applyAlignment="1">
      <alignment vertical="center"/>
    </xf>
    <xf numFmtId="181" fontId="50" fillId="0" borderId="17" xfId="0" applyNumberFormat="1" applyFont="1" applyBorder="1" applyAlignment="1">
      <alignment vertical="center"/>
    </xf>
    <xf numFmtId="180" fontId="0" fillId="0" borderId="17" xfId="0" applyNumberFormat="1" applyBorder="1"/>
    <xf numFmtId="164" fontId="0" fillId="32" borderId="0" xfId="0" applyNumberFormat="1" applyFill="1" applyAlignment="1">
      <alignment horizontal="center"/>
    </xf>
    <xf numFmtId="0" fontId="17" fillId="32" borderId="0" xfId="0" applyFont="1" applyFill="1"/>
    <xf numFmtId="4" fontId="17" fillId="32" borderId="0" xfId="0" applyNumberFormat="1" applyFont="1" applyFill="1"/>
    <xf numFmtId="182" fontId="50" fillId="0" borderId="24" xfId="7" applyNumberFormat="1" applyFont="1" applyBorder="1"/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0" fillId="0" borderId="27" xfId="0" applyBorder="1"/>
    <xf numFmtId="182" fontId="50" fillId="0" borderId="28" xfId="7" applyNumberFormat="1" applyFont="1" applyBorder="1"/>
    <xf numFmtId="0" fontId="0" fillId="0" borderId="19" xfId="0" applyBorder="1"/>
    <xf numFmtId="0" fontId="0" fillId="0" borderId="29" xfId="0" applyBorder="1"/>
    <xf numFmtId="0" fontId="3" fillId="0" borderId="23" xfId="0" applyFont="1" applyBorder="1"/>
    <xf numFmtId="0" fontId="0" fillId="0" borderId="24" xfId="0" applyBorder="1"/>
    <xf numFmtId="0" fontId="3" fillId="0" borderId="29" xfId="0" applyFont="1" applyBorder="1" applyAlignment="1">
      <alignment horizontal="right"/>
    </xf>
    <xf numFmtId="43" fontId="0" fillId="32" borderId="0" xfId="22" applyFont="1" applyFill="1"/>
    <xf numFmtId="14" fontId="0" fillId="32" borderId="0" xfId="0" applyNumberFormat="1" applyFill="1" applyAlignment="1">
      <alignment horizontal="center"/>
    </xf>
    <xf numFmtId="166" fontId="0" fillId="0" borderId="20" xfId="0" applyNumberFormat="1" applyFill="1" applyBorder="1"/>
    <xf numFmtId="4" fontId="0" fillId="0" borderId="22" xfId="0" applyNumberFormat="1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8" xfId="0" applyFill="1" applyBorder="1"/>
    <xf numFmtId="0" fontId="0" fillId="0" borderId="19" xfId="0" applyFill="1" applyBorder="1"/>
    <xf numFmtId="0" fontId="0" fillId="0" borderId="0" xfId="0" applyFill="1" applyBorder="1"/>
    <xf numFmtId="14" fontId="3" fillId="0" borderId="0" xfId="0" applyNumberFormat="1" applyFont="1" applyFill="1" applyBorder="1"/>
    <xf numFmtId="0" fontId="3" fillId="0" borderId="0" xfId="0" applyFont="1" applyFill="1" applyBorder="1"/>
    <xf numFmtId="4" fontId="17" fillId="0" borderId="0" xfId="0" applyNumberFormat="1" applyFont="1" applyFill="1" applyBorder="1"/>
    <xf numFmtId="4" fontId="3" fillId="0" borderId="0" xfId="0" applyNumberFormat="1" applyFont="1" applyFill="1" applyBorder="1"/>
    <xf numFmtId="0" fontId="17" fillId="0" borderId="0" xfId="0" applyFont="1" applyBorder="1" applyAlignment="1">
      <alignment horizontal="left"/>
    </xf>
    <xf numFmtId="4" fontId="0" fillId="0" borderId="0" xfId="0" applyNumberFormat="1" applyBorder="1"/>
    <xf numFmtId="43" fontId="0" fillId="0" borderId="0" xfId="22" applyFont="1"/>
    <xf numFmtId="43" fontId="3" fillId="0" borderId="0" xfId="22" applyFont="1"/>
    <xf numFmtId="43" fontId="0" fillId="18" borderId="0" xfId="22" applyFont="1" applyFill="1"/>
    <xf numFmtId="43" fontId="0" fillId="21" borderId="0" xfId="22" applyFont="1" applyFill="1"/>
    <xf numFmtId="43" fontId="0" fillId="19" borderId="0" xfId="22" applyFont="1" applyFill="1" applyAlignment="1">
      <alignment horizontal="center"/>
    </xf>
    <xf numFmtId="43" fontId="3" fillId="19" borderId="0" xfId="22" applyFont="1" applyFill="1"/>
    <xf numFmtId="43" fontId="0" fillId="0" borderId="0" xfId="22" applyFont="1" applyAlignment="1">
      <alignment horizontal="center"/>
    </xf>
    <xf numFmtId="43" fontId="32" fillId="0" borderId="0" xfId="22" applyFont="1" applyAlignment="1">
      <alignment horizontal="center"/>
    </xf>
    <xf numFmtId="43" fontId="0" fillId="27" borderId="0" xfId="22" applyFont="1" applyFill="1"/>
    <xf numFmtId="40" fontId="0" fillId="27" borderId="0" xfId="0" applyNumberFormat="1" applyFill="1"/>
    <xf numFmtId="40" fontId="0" fillId="18" borderId="0" xfId="0" applyNumberFormat="1" applyFill="1" applyAlignment="1"/>
    <xf numFmtId="183" fontId="0" fillId="0" borderId="0" xfId="0" applyNumberFormat="1"/>
    <xf numFmtId="170" fontId="0" fillId="0" borderId="0" xfId="23" applyNumberFormat="1" applyFont="1"/>
    <xf numFmtId="43" fontId="3" fillId="0" borderId="0" xfId="0" applyNumberFormat="1" applyFont="1"/>
    <xf numFmtId="186" fontId="0" fillId="0" borderId="0" xfId="0" applyNumberFormat="1"/>
    <xf numFmtId="186" fontId="3" fillId="0" borderId="0" xfId="0" applyNumberFormat="1" applyFont="1"/>
    <xf numFmtId="186" fontId="3" fillId="0" borderId="0" xfId="22" applyNumberFormat="1" applyFont="1"/>
  </cellXfs>
  <cellStyles count="24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21" xr:uid="{0C4B450B-2E42-45E7-88E9-149834F883CB}"/>
    <cellStyle name="Normal 3" xfId="20" xr:uid="{987A8240-C803-4F59-AF25-39925FA1612F}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Virgül" xfId="22" builtinId="3"/>
    <cellStyle name="Warning" xfId="19" xr:uid="{00000000-0005-0000-0000-000013000000}"/>
    <cellStyle name="Yüzde" xfId="2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5396B-AF3B-4E02-B816-7FFFC3CDB203}" name="Tablo142" displayName="Tablo142" ref="A25:J42" totalsRowShown="0">
  <autoFilter ref="A25:J42" xr:uid="{2302621F-B3C3-4429-8379-CD484CA39087}"/>
  <tableColumns count="10">
    <tableColumn id="1" xr3:uid="{411BB1D6-998E-4B35-80A9-FDD140F71C9B}" name="Tarih"/>
    <tableColumn id="2" xr3:uid="{279E89D5-CF7B-4AA4-8F3F-A2F7799804F3}" name="Açıklama"/>
    <tableColumn id="3" xr3:uid="{7B6F3018-A9BB-490E-873E-D93844513DCF}" name="snyA-H"/>
    <tableColumn id="4" xr3:uid="{FA32F072-E2EA-46AC-B242-F6C7256D57BC}" name="Oran %"/>
    <tableColumn id="5" xr3:uid="{D9E41724-8CD4-47D3-8C33-64A9C6B329F5}" name="Oran TL Tutar"/>
    <tableColumn id="6" xr3:uid="{ABC94480-EC81-475F-9675-83716669439E}" name="Ödendi" dataCellStyle="Virgül"/>
    <tableColumn id="7" xr3:uid="{DA0E4B3E-9561-4A95-BB81-1101733DF7BB}" name="Oran TL"/>
    <tableColumn id="8" xr3:uid="{92FAC635-681E-4D15-B288-C760EFC78F48}" name="Genel Toplam"/>
    <tableColumn id="9" xr3:uid="{70504408-8625-4F99-9B1A-046A560DAC22}" name="Sütun1"/>
    <tableColumn id="10" xr3:uid="{C361FDEB-46F3-4734-B0AD-6596A0B4A0CA}" name="Sütu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4:I40" totalsRowShown="0">
  <autoFilter ref="A24:I40" xr:uid="{2302621F-B3C3-4429-8379-CD484CA39087}"/>
  <tableColumns count="9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  <tableColumn id="9" xr3:uid="{FCAB6E33-8A24-4412-8B6B-AEAF2AFB603D}" name="Sütu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zoomScale="145" zoomScaleNormal="145" workbookViewId="0">
      <selection activeCell="B30" sqref="B30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1.140625" bestFit="1" customWidth="1"/>
    <col min="7" max="7" width="9.140625" customWidth="1"/>
  </cols>
  <sheetData>
    <row r="6" spans="1:6" ht="15.75">
      <c r="A6" s="137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'SnyA105-25'!E4</f>
        <v>0</v>
      </c>
      <c r="D8" s="3">
        <f>'SnyA105-25'!F4</f>
        <v>0</v>
      </c>
      <c r="E8" s="4">
        <f t="shared" ref="E8:E13" si="0">C8-D8</f>
        <v>0</v>
      </c>
      <c r="F8" s="4">
        <f>'SnyA105-25'!E6</f>
        <v>0</v>
      </c>
    </row>
    <row r="9" spans="1:6">
      <c r="A9" t="s">
        <v>8</v>
      </c>
      <c r="B9" t="s">
        <v>9</v>
      </c>
      <c r="C9" s="3">
        <f>'SnyB202-25'!D4</f>
        <v>353664</v>
      </c>
      <c r="D9" s="3">
        <f>'SnyB202-25'!E4</f>
        <v>290000</v>
      </c>
      <c r="E9" s="4">
        <f t="shared" si="0"/>
        <v>63664</v>
      </c>
      <c r="F9" s="4">
        <f>'SnyB202-25'!D6</f>
        <v>-1225.58</v>
      </c>
    </row>
    <row r="10" spans="1:6">
      <c r="A10" t="s">
        <v>10</v>
      </c>
      <c r="B10" t="s">
        <v>11</v>
      </c>
      <c r="C10" s="3">
        <f>'SnyC301-25'!E4</f>
        <v>240000</v>
      </c>
      <c r="D10" s="3">
        <f>'SnyC301-25'!F4</f>
        <v>135000</v>
      </c>
      <c r="E10" s="4">
        <f t="shared" si="0"/>
        <v>105000</v>
      </c>
      <c r="F10" s="4">
        <f>'SnyC301-25'!E6</f>
        <v>-4079.59</v>
      </c>
    </row>
    <row r="11" spans="1:6">
      <c r="A11" t="s">
        <v>12</v>
      </c>
      <c r="B11" t="s">
        <v>13</v>
      </c>
      <c r="C11" s="3">
        <f>'SnyE502-22'!D4</f>
        <v>7000</v>
      </c>
      <c r="D11" s="3">
        <f>'SnyE502-22'!E4</f>
        <v>0</v>
      </c>
      <c r="E11" s="4">
        <f t="shared" si="0"/>
        <v>7000</v>
      </c>
      <c r="F11" s="4">
        <f>'SnyE502-22'!D6</f>
        <v>-794.6</v>
      </c>
    </row>
    <row r="12" spans="1:6">
      <c r="A12" t="s">
        <v>14</v>
      </c>
      <c r="B12" t="s">
        <v>15</v>
      </c>
      <c r="C12" s="3">
        <f>'SnyF601-22'!E4</f>
        <v>447218.53578899364</v>
      </c>
      <c r="D12" s="3">
        <f>'SnyF601-22'!F4</f>
        <v>184917.52</v>
      </c>
      <c r="E12" s="4">
        <f t="shared" si="0"/>
        <v>262301.01578899368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'SnyG702-22'!E4</f>
        <v>110513</v>
      </c>
      <c r="D13" s="3">
        <f>'SnyG702-22'!F4</f>
        <v>0</v>
      </c>
      <c r="E13" s="4">
        <f t="shared" si="0"/>
        <v>110513</v>
      </c>
      <c r="F13" s="4">
        <f>'SnyG702-22'!E6</f>
        <v>-1200</v>
      </c>
    </row>
    <row r="14" spans="1:6">
      <c r="A14" t="s">
        <v>18</v>
      </c>
      <c r="B14" t="s">
        <v>19</v>
      </c>
      <c r="C14" s="4">
        <f>SnH_yazıhane!F2*-1</f>
        <v>-3999.1</v>
      </c>
      <c r="D14" s="4">
        <f>C14</f>
        <v>-3999.1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1154396.4357889935</v>
      </c>
      <c r="D16" s="6">
        <f>SUM(D8:D14)</f>
        <v>605918.42000000004</v>
      </c>
      <c r="E16" s="6">
        <f>SUM(E8:E14)</f>
        <v>548478.01578899368</v>
      </c>
      <c r="F16" s="6">
        <f>SUM(F8:F14)</f>
        <v>-10124.300000000001</v>
      </c>
    </row>
    <row r="18" spans="1:6">
      <c r="D18" s="90"/>
    </row>
    <row r="19" spans="1:6" ht="15.75">
      <c r="A19" s="137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'SnyA105-25'!E19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'SnyB202-25'!D19</f>
        <v>0</v>
      </c>
    </row>
    <row r="23" spans="1:6">
      <c r="A23" t="s">
        <v>336</v>
      </c>
      <c r="C23" s="3">
        <v>170</v>
      </c>
      <c r="D23" s="3" t="e">
        <f>'SnyC301-25'!#REF!</f>
        <v>#REF!</v>
      </c>
      <c r="E23" s="4" t="e">
        <f t="shared" si="1"/>
        <v>#REF!</v>
      </c>
      <c r="F23" s="4" t="e">
        <f>'SnyC301-25'!#REF!</f>
        <v>#REF!</v>
      </c>
    </row>
    <row r="24" spans="1:6">
      <c r="A24" t="s">
        <v>335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 t="e">
        <f>'SnyF601-22'!#REF!</f>
        <v>#REF!</v>
      </c>
    </row>
    <row r="27" spans="1:6">
      <c r="A27" t="s">
        <v>16</v>
      </c>
      <c r="B27" t="s">
        <v>17</v>
      </c>
      <c r="C27" s="3">
        <v>170</v>
      </c>
      <c r="D27" s="3">
        <f>'SnyG702-22'!F17</f>
        <v>0</v>
      </c>
      <c r="E27" s="4">
        <f t="shared" si="1"/>
        <v>170</v>
      </c>
      <c r="F27" s="4">
        <f>'SnyG702-22'!E19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 t="e">
        <f>SUM(D21:D28)</f>
        <v>#REF!</v>
      </c>
      <c r="E30" s="6" t="e">
        <f>SUM(E21:E28)</f>
        <v>#REF!</v>
      </c>
      <c r="F30" s="6" t="e">
        <f>SUM(F21:F28)</f>
        <v>#REF!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205" zoomScaleNormal="205" workbookViewId="0">
      <selection activeCell="B17" sqref="B17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89"/>
      <c r="D4" s="14"/>
      <c r="E4" s="15">
        <f>SUM(E9:E20)</f>
        <v>0</v>
      </c>
      <c r="F4" s="16">
        <f>SUM(F9:F20)</f>
        <v>0</v>
      </c>
      <c r="G4" s="17">
        <f>G20</f>
        <v>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4" t="s">
        <v>5</v>
      </c>
      <c r="C6" s="14"/>
      <c r="E6" s="19">
        <f>G37</f>
        <v>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B8" s="14" t="s">
        <v>29</v>
      </c>
      <c r="C8" s="14"/>
      <c r="E8"/>
      <c r="F8" s="3"/>
      <c r="G8" s="3"/>
    </row>
    <row r="9" spans="1:7">
      <c r="A9" s="7">
        <v>45197</v>
      </c>
      <c r="B9" t="s">
        <v>485</v>
      </c>
      <c r="E9" s="24"/>
      <c r="F9" s="25"/>
      <c r="G9" s="3">
        <f>E9-F9</f>
        <v>0</v>
      </c>
    </row>
    <row r="10" spans="1:7">
      <c r="E10" s="24"/>
      <c r="F10" s="25"/>
      <c r="G10" s="3">
        <f t="shared" ref="G10:G20" si="0">E10-F10+G9</f>
        <v>0</v>
      </c>
    </row>
    <row r="11" spans="1:7">
      <c r="B11" t="s">
        <v>486</v>
      </c>
      <c r="E11" s="24"/>
      <c r="F11" s="25"/>
      <c r="G11" s="3">
        <f t="shared" si="0"/>
        <v>0</v>
      </c>
    </row>
    <row r="12" spans="1:7">
      <c r="E12" s="24"/>
      <c r="F12" s="25"/>
      <c r="G12" s="3">
        <f t="shared" si="0"/>
        <v>0</v>
      </c>
    </row>
    <row r="13" spans="1:7" ht="15">
      <c r="B13" s="293">
        <v>45739</v>
      </c>
      <c r="E13" s="24"/>
      <c r="F13" s="25"/>
      <c r="G13" s="3">
        <f t="shared" si="0"/>
        <v>0</v>
      </c>
    </row>
    <row r="14" spans="1:7">
      <c r="A14" s="26"/>
      <c r="E14" s="27"/>
      <c r="F14" s="28"/>
      <c r="G14" s="3">
        <f t="shared" si="0"/>
        <v>0</v>
      </c>
    </row>
    <row r="15" spans="1:7">
      <c r="A15" s="26"/>
      <c r="E15" s="27"/>
      <c r="F15" s="28"/>
      <c r="G15" s="3">
        <f t="shared" si="0"/>
        <v>0</v>
      </c>
    </row>
    <row r="16" spans="1:7">
      <c r="A16" s="26"/>
      <c r="B16" t="s">
        <v>520</v>
      </c>
      <c r="E16" s="27"/>
      <c r="F16" s="28"/>
      <c r="G16" s="3">
        <f t="shared" si="0"/>
        <v>0</v>
      </c>
    </row>
    <row r="17" spans="1:7">
      <c r="A17" s="26"/>
      <c r="E17" s="27"/>
      <c r="F17" s="28"/>
      <c r="G17" s="3">
        <f t="shared" si="0"/>
        <v>0</v>
      </c>
    </row>
    <row r="18" spans="1:7">
      <c r="A18" s="26"/>
      <c r="E18" s="27"/>
      <c r="F18" s="28"/>
      <c r="G18" s="3">
        <f t="shared" si="0"/>
        <v>0</v>
      </c>
    </row>
    <row r="19" spans="1:7">
      <c r="A19" s="26"/>
      <c r="E19" s="27"/>
      <c r="F19" s="28"/>
      <c r="G19" s="3">
        <f t="shared" si="0"/>
        <v>0</v>
      </c>
    </row>
    <row r="20" spans="1:7">
      <c r="A20" s="26"/>
      <c r="E20" s="27"/>
      <c r="F20" s="28"/>
      <c r="G20" s="29">
        <f t="shared" si="0"/>
        <v>0</v>
      </c>
    </row>
    <row r="21" spans="1:7">
      <c r="A21" s="26"/>
      <c r="E21" s="30"/>
      <c r="F21" s="31"/>
      <c r="G21" s="31"/>
    </row>
    <row r="22" spans="1:7">
      <c r="A22" s="26"/>
      <c r="E22" s="30"/>
      <c r="F22" s="31"/>
      <c r="G22" s="31"/>
    </row>
    <row r="23" spans="1:7">
      <c r="A23" s="32" t="s">
        <v>30</v>
      </c>
      <c r="B23" s="21" t="s">
        <v>258</v>
      </c>
      <c r="C23" s="21"/>
      <c r="D23" s="21" t="s">
        <v>263</v>
      </c>
      <c r="E23" s="33" t="s">
        <v>33</v>
      </c>
      <c r="F23" s="34"/>
      <c r="G23" s="34" t="s">
        <v>266</v>
      </c>
    </row>
    <row r="24" spans="1:7">
      <c r="A24" s="26">
        <v>44927</v>
      </c>
      <c r="B24" t="s">
        <v>34</v>
      </c>
      <c r="D24">
        <v>2137.3000000000002</v>
      </c>
      <c r="E24" s="30"/>
      <c r="F24" s="31"/>
      <c r="G24" s="31">
        <v>0</v>
      </c>
    </row>
    <row r="25" spans="1:7">
      <c r="A25" s="26" t="s">
        <v>271</v>
      </c>
      <c r="B25" t="s">
        <v>312</v>
      </c>
      <c r="C25">
        <v>24.8</v>
      </c>
      <c r="D25">
        <f>D24+C25</f>
        <v>2162.1000000000004</v>
      </c>
      <c r="E25" s="31"/>
      <c r="F25" s="31"/>
      <c r="G25" s="31">
        <f t="shared" ref="G25:G37" si="1">E25-F25+G24</f>
        <v>0</v>
      </c>
    </row>
    <row r="26" spans="1:7">
      <c r="A26" s="26" t="s">
        <v>272</v>
      </c>
      <c r="B26" t="s">
        <v>313</v>
      </c>
      <c r="C26">
        <v>-21.12</v>
      </c>
      <c r="D26">
        <f>D25+C26</f>
        <v>2140.9800000000005</v>
      </c>
      <c r="E26" s="31"/>
      <c r="F26" s="31"/>
      <c r="G26" s="31">
        <f t="shared" si="1"/>
        <v>0</v>
      </c>
    </row>
    <row r="27" spans="1:7">
      <c r="A27" s="26" t="s">
        <v>273</v>
      </c>
      <c r="B27" t="s">
        <v>340</v>
      </c>
      <c r="C27">
        <v>-52.17</v>
      </c>
      <c r="D27">
        <v>2231.5</v>
      </c>
      <c r="E27" s="31"/>
      <c r="F27" s="31"/>
      <c r="G27" s="31">
        <f t="shared" si="1"/>
        <v>0</v>
      </c>
    </row>
    <row r="28" spans="1:7">
      <c r="A28" s="26" t="s">
        <v>314</v>
      </c>
      <c r="E28" s="31"/>
      <c r="F28" s="31"/>
      <c r="G28" s="31">
        <f t="shared" si="1"/>
        <v>0</v>
      </c>
    </row>
    <row r="29" spans="1:7">
      <c r="A29" s="26" t="s">
        <v>315</v>
      </c>
      <c r="E29" s="31"/>
      <c r="F29" s="31"/>
      <c r="G29" s="31">
        <f t="shared" si="1"/>
        <v>0</v>
      </c>
    </row>
    <row r="30" spans="1:7">
      <c r="A30" s="26" t="s">
        <v>276</v>
      </c>
      <c r="E30" s="31"/>
      <c r="F30" s="31"/>
      <c r="G30" s="31">
        <f t="shared" si="1"/>
        <v>0</v>
      </c>
    </row>
    <row r="31" spans="1:7">
      <c r="A31" s="26" t="s">
        <v>277</v>
      </c>
      <c r="E31" s="31"/>
      <c r="F31" s="31"/>
      <c r="G31" s="31">
        <f t="shared" si="1"/>
        <v>0</v>
      </c>
    </row>
    <row r="32" spans="1:7">
      <c r="A32" s="26" t="s">
        <v>278</v>
      </c>
      <c r="E32" s="31"/>
      <c r="F32" s="31"/>
      <c r="G32" s="31">
        <f t="shared" si="1"/>
        <v>0</v>
      </c>
    </row>
    <row r="33" spans="1:8">
      <c r="A33" s="26" t="s">
        <v>259</v>
      </c>
      <c r="E33" s="30"/>
      <c r="F33" s="31"/>
      <c r="G33" s="31">
        <f t="shared" si="1"/>
        <v>0</v>
      </c>
    </row>
    <row r="34" spans="1:8">
      <c r="A34" s="26" t="s">
        <v>260</v>
      </c>
      <c r="E34" s="30"/>
      <c r="F34" s="31"/>
      <c r="G34" s="31">
        <f t="shared" si="1"/>
        <v>0</v>
      </c>
    </row>
    <row r="35" spans="1:8">
      <c r="A35" s="26" t="s">
        <v>261</v>
      </c>
      <c r="E35" s="30"/>
      <c r="F35" s="31"/>
      <c r="G35" s="31">
        <f t="shared" si="1"/>
        <v>0</v>
      </c>
    </row>
    <row r="36" spans="1:8">
      <c r="A36" s="32" t="s">
        <v>262</v>
      </c>
      <c r="B36" s="21"/>
      <c r="C36" s="21"/>
      <c r="E36" s="33"/>
      <c r="F36" s="34"/>
      <c r="G36" s="34">
        <f t="shared" si="1"/>
        <v>0</v>
      </c>
    </row>
    <row r="37" spans="1:8">
      <c r="A37" s="35">
        <v>45291</v>
      </c>
      <c r="B37" s="36" t="s">
        <v>34</v>
      </c>
      <c r="C37" s="36"/>
      <c r="D37" s="36"/>
      <c r="E37" s="37"/>
      <c r="F37" s="38"/>
      <c r="G37" s="39">
        <f t="shared" si="1"/>
        <v>0</v>
      </c>
    </row>
    <row r="38" spans="1:8">
      <c r="A38" s="26"/>
      <c r="E38" s="30"/>
      <c r="F38" s="30"/>
      <c r="G38" s="30"/>
    </row>
    <row r="39" spans="1:8">
      <c r="F39" s="3"/>
      <c r="G39" s="3"/>
    </row>
    <row r="40" spans="1:8">
      <c r="A40" s="88" t="s">
        <v>255</v>
      </c>
      <c r="B40" s="40" t="s">
        <v>165</v>
      </c>
      <c r="C40" s="40"/>
      <c r="D40" s="40"/>
      <c r="E40" s="41"/>
      <c r="F40" s="42"/>
      <c r="G40" s="43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26">
        <v>45166</v>
      </c>
      <c r="B46" t="s">
        <v>42</v>
      </c>
      <c r="D46" s="30"/>
      <c r="E46" s="30"/>
      <c r="F46" s="30"/>
      <c r="G46" s="3"/>
      <c r="H46" s="3"/>
    </row>
    <row r="47" spans="1:8">
      <c r="A47" s="26"/>
      <c r="B47" t="s">
        <v>43</v>
      </c>
      <c r="D47" s="30"/>
      <c r="E47" s="30"/>
      <c r="F47" s="30"/>
      <c r="G47" s="3"/>
      <c r="H47" s="3"/>
    </row>
    <row r="48" spans="1:8">
      <c r="A48" s="26"/>
      <c r="B48" t="s">
        <v>44</v>
      </c>
      <c r="D48" s="30"/>
      <c r="E48" s="30"/>
      <c r="F48" s="30"/>
      <c r="G48" s="3"/>
      <c r="H48" s="3"/>
    </row>
    <row r="49" spans="1:8">
      <c r="A49" s="26">
        <v>45170</v>
      </c>
      <c r="B49" t="s">
        <v>45</v>
      </c>
      <c r="D49" s="30"/>
      <c r="E49" s="30"/>
      <c r="F49" s="30"/>
      <c r="G49" s="3"/>
      <c r="H49" s="3"/>
    </row>
    <row r="50" spans="1:8">
      <c r="A50" s="26">
        <v>45174</v>
      </c>
      <c r="B50" t="s">
        <v>46</v>
      </c>
      <c r="D50" s="30"/>
      <c r="E50" s="30"/>
      <c r="F50" s="30"/>
      <c r="G50" s="3"/>
      <c r="H50" s="3"/>
    </row>
    <row r="51" spans="1:8">
      <c r="A51" s="26"/>
      <c r="B51" t="s">
        <v>47</v>
      </c>
      <c r="D51" s="30"/>
      <c r="E51" s="30"/>
      <c r="F51" s="30"/>
      <c r="G51" s="3"/>
      <c r="H51" s="3"/>
    </row>
    <row r="52" spans="1:8">
      <c r="A52" s="26"/>
      <c r="B52" t="s">
        <v>48</v>
      </c>
      <c r="D52" s="30"/>
      <c r="E52" s="30"/>
      <c r="F52" s="30"/>
      <c r="G52" s="3"/>
      <c r="H52" s="3"/>
    </row>
    <row r="53" spans="1:8">
      <c r="A53" s="26"/>
      <c r="B53" t="s">
        <v>49</v>
      </c>
      <c r="D53" s="30"/>
      <c r="E53" s="30"/>
      <c r="F53" s="30"/>
      <c r="G53" s="3"/>
      <c r="H53" s="3"/>
    </row>
    <row r="54" spans="1:8">
      <c r="A54" s="26"/>
      <c r="B54" t="s">
        <v>50</v>
      </c>
      <c r="D54" s="30"/>
      <c r="E54" s="30"/>
      <c r="F54" s="30"/>
      <c r="G54" s="3"/>
      <c r="H54" s="3"/>
    </row>
    <row r="55" spans="1:8">
      <c r="A55" s="26"/>
      <c r="B55" t="s">
        <v>51</v>
      </c>
      <c r="D55" s="30"/>
      <c r="E55" s="30"/>
      <c r="F55" s="30"/>
      <c r="G55" s="3"/>
      <c r="H55" s="3"/>
    </row>
    <row r="56" spans="1:8">
      <c r="A56" s="26"/>
      <c r="B56" t="s">
        <v>52</v>
      </c>
      <c r="D56" s="30"/>
      <c r="E56" s="30"/>
      <c r="F56" s="30"/>
      <c r="G56" s="3"/>
      <c r="H56" s="3"/>
    </row>
    <row r="57" spans="1:8">
      <c r="A57" s="26">
        <v>45196</v>
      </c>
      <c r="B57" t="s">
        <v>257</v>
      </c>
      <c r="D57" s="30"/>
      <c r="E57" s="30"/>
      <c r="F57" s="30"/>
      <c r="G57" s="3"/>
      <c r="H57" s="3"/>
    </row>
    <row r="58" spans="1:8">
      <c r="A58" s="26"/>
      <c r="B58" t="s">
        <v>53</v>
      </c>
      <c r="D58" s="30"/>
      <c r="E58" s="30"/>
      <c r="F58" s="30"/>
      <c r="G58" s="3"/>
      <c r="H58" s="3"/>
    </row>
    <row r="59" spans="1:8">
      <c r="A59" s="7">
        <v>45196</v>
      </c>
      <c r="B59" t="s">
        <v>256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44"/>
    </row>
    <row r="62" spans="1:8">
      <c r="B62" s="3"/>
      <c r="C62" s="3"/>
      <c r="D62" s="8"/>
      <c r="F62" s="45"/>
    </row>
    <row r="63" spans="1:8">
      <c r="B63" s="3"/>
      <c r="C63" s="3"/>
      <c r="D63" s="8"/>
      <c r="F63" s="45"/>
    </row>
    <row r="64" spans="1:8">
      <c r="B64" s="3"/>
      <c r="C64" s="3"/>
      <c r="D64" s="3"/>
      <c r="F64" s="8"/>
      <c r="G64" s="46"/>
      <c r="H64" s="45"/>
    </row>
    <row r="65" spans="1:8">
      <c r="B65" s="8"/>
      <c r="C65" s="8"/>
      <c r="E65" s="45"/>
      <c r="F65" s="3"/>
      <c r="G65" s="3"/>
      <c r="H65" s="3"/>
    </row>
    <row r="66" spans="1:8">
      <c r="B66" s="8" t="s">
        <v>54</v>
      </c>
      <c r="C66" s="8"/>
      <c r="D66" s="45" t="s">
        <v>55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47" t="s">
        <v>20</v>
      </c>
      <c r="C68" s="47"/>
      <c r="D68" s="21"/>
      <c r="F68" s="3"/>
      <c r="G68" s="3"/>
      <c r="H68" s="3"/>
    </row>
    <row r="69" spans="1:8">
      <c r="B69" s="48" t="s">
        <v>56</v>
      </c>
      <c r="C69" s="48"/>
      <c r="D69" s="15">
        <f>SUM(D79:D81)</f>
        <v>42000</v>
      </c>
      <c r="F69" s="3"/>
      <c r="G69" s="3"/>
      <c r="H69" s="3"/>
    </row>
    <row r="70" spans="1:8">
      <c r="B70" s="48" t="s">
        <v>57</v>
      </c>
      <c r="C70" s="48"/>
      <c r="D70" s="16">
        <f>SUM(E79:E81)</f>
        <v>40000</v>
      </c>
      <c r="F70" s="3"/>
      <c r="G70" s="3"/>
      <c r="H70" s="3"/>
    </row>
    <row r="71" spans="1:8">
      <c r="B71" s="48" t="s">
        <v>26</v>
      </c>
      <c r="C71" s="48"/>
      <c r="D71" s="49">
        <f>F81</f>
        <v>2000</v>
      </c>
      <c r="F71" s="3"/>
      <c r="G71" s="3"/>
      <c r="H71" s="3"/>
    </row>
    <row r="72" spans="1:8">
      <c r="B72" s="48" t="s">
        <v>58</v>
      </c>
      <c r="C72" s="48"/>
      <c r="D72" s="45">
        <f>E103</f>
        <v>0</v>
      </c>
      <c r="F72" s="3"/>
      <c r="G72" s="3"/>
      <c r="H72" s="3"/>
    </row>
    <row r="73" spans="1:8">
      <c r="B73" s="48" t="s">
        <v>5</v>
      </c>
      <c r="C73" s="48"/>
      <c r="D73" s="45">
        <v>0</v>
      </c>
      <c r="F73" s="3"/>
      <c r="G73" s="3"/>
      <c r="H73" s="3"/>
    </row>
    <row r="74" spans="1:8">
      <c r="B74" s="33" t="s">
        <v>59</v>
      </c>
      <c r="C74" s="33"/>
      <c r="D74" s="50">
        <f>D70-D72</f>
        <v>40000</v>
      </c>
      <c r="F74" s="3"/>
      <c r="G74" s="3"/>
      <c r="H74" s="3"/>
    </row>
    <row r="75" spans="1:8">
      <c r="B75" s="8" t="s">
        <v>60</v>
      </c>
      <c r="C75" s="8"/>
      <c r="D75" s="3"/>
      <c r="F75" s="3"/>
      <c r="G75" s="3"/>
      <c r="H75" s="3"/>
    </row>
    <row r="76" spans="1:8">
      <c r="B76" t="s">
        <v>61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62</v>
      </c>
      <c r="D79" s="3"/>
      <c r="F79" s="3"/>
      <c r="G79" s="3"/>
      <c r="H79" s="3"/>
    </row>
    <row r="80" spans="1:8">
      <c r="A80" s="7">
        <v>44885</v>
      </c>
      <c r="B80" t="s">
        <v>63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64</v>
      </c>
      <c r="D83" s="3"/>
      <c r="F83" s="3"/>
      <c r="G83" s="3"/>
      <c r="H83" s="3"/>
    </row>
    <row r="84" spans="1:8">
      <c r="B84" t="s">
        <v>65</v>
      </c>
      <c r="D84" s="3"/>
      <c r="F84" s="3"/>
      <c r="G84" s="3"/>
      <c r="H84" s="3"/>
    </row>
    <row r="85" spans="1:8">
      <c r="B85" s="8" t="s">
        <v>66</v>
      </c>
      <c r="C85" s="8"/>
      <c r="D85" s="3"/>
      <c r="F85" s="45"/>
      <c r="G85" s="3"/>
      <c r="H85" s="3"/>
    </row>
    <row r="86" spans="1:8">
      <c r="B86" s="1" t="s">
        <v>67</v>
      </c>
      <c r="C86" s="1"/>
      <c r="D86" s="3"/>
      <c r="F86" s="45"/>
      <c r="G86" s="3"/>
      <c r="H86" s="3"/>
    </row>
    <row r="87" spans="1:8">
      <c r="B87" s="8" t="s">
        <v>68</v>
      </c>
      <c r="C87" s="8"/>
      <c r="F87" s="45"/>
      <c r="G87" s="3"/>
      <c r="H87" s="3"/>
    </row>
    <row r="88" spans="1:8">
      <c r="B88" t="s">
        <v>69</v>
      </c>
      <c r="F88" s="45"/>
      <c r="G88" s="3"/>
      <c r="H88" s="3"/>
    </row>
    <row r="89" spans="1:8">
      <c r="B89" s="8" t="s">
        <v>70</v>
      </c>
      <c r="C89" s="8"/>
      <c r="E89"/>
      <c r="F89" s="4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71</v>
      </c>
      <c r="C91" s="3"/>
      <c r="D91" s="3"/>
      <c r="F91" s="3"/>
      <c r="G91" s="3"/>
      <c r="H91" s="3"/>
    </row>
    <row r="92" spans="1:8">
      <c r="A92" s="7">
        <v>45137</v>
      </c>
      <c r="B92" s="3" t="s">
        <v>459</v>
      </c>
      <c r="C92" s="3"/>
      <c r="D92" s="3"/>
      <c r="F92" s="3"/>
      <c r="G92" s="3"/>
      <c r="H92" s="3"/>
    </row>
    <row r="93" spans="1:8">
      <c r="A93" s="7">
        <v>45148</v>
      </c>
      <c r="B93" s="3" t="s">
        <v>72</v>
      </c>
      <c r="C93" s="3"/>
      <c r="D93" s="3"/>
      <c r="F93" s="3"/>
      <c r="G93" s="3"/>
      <c r="H93" s="3"/>
    </row>
    <row r="94" spans="1:8">
      <c r="A94" s="7">
        <v>45160</v>
      </c>
      <c r="B94" s="3" t="s">
        <v>73</v>
      </c>
      <c r="C94" s="3"/>
      <c r="D94" s="3"/>
      <c r="F94" s="3"/>
      <c r="G94" s="3"/>
      <c r="H94" s="3"/>
    </row>
    <row r="95" spans="1:8">
      <c r="B95" s="3" t="s">
        <v>74</v>
      </c>
      <c r="C95" s="3"/>
      <c r="D95" s="3"/>
      <c r="F95" s="3"/>
      <c r="G95" s="3"/>
      <c r="H95" s="3"/>
    </row>
    <row r="96" spans="1:8">
      <c r="B96" s="3" t="s">
        <v>75</v>
      </c>
      <c r="C96" s="3"/>
      <c r="D96" s="3"/>
      <c r="F96" s="3"/>
      <c r="G96" s="3"/>
      <c r="H96" s="3"/>
    </row>
    <row r="97" spans="1:8">
      <c r="B97" s="3" t="s">
        <v>76</v>
      </c>
      <c r="C97" s="3"/>
      <c r="D97" s="3"/>
      <c r="F97" s="3"/>
      <c r="G97" s="3"/>
      <c r="H97" s="3"/>
    </row>
    <row r="98" spans="1:8">
      <c r="B98" s="3" t="s">
        <v>77</v>
      </c>
      <c r="C98" s="3"/>
      <c r="D98" s="3"/>
      <c r="F98" s="3"/>
      <c r="G98" s="3"/>
      <c r="H98" s="3"/>
    </row>
    <row r="99" spans="1:8">
      <c r="B99" s="3" t="s">
        <v>78</v>
      </c>
      <c r="C99" s="3"/>
      <c r="D99" s="3"/>
      <c r="F99" s="3"/>
      <c r="G99" s="3"/>
      <c r="H99" s="3"/>
    </row>
    <row r="100" spans="1:8">
      <c r="B100" s="3" t="s">
        <v>79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80</v>
      </c>
      <c r="C101" s="3"/>
      <c r="D101" s="3"/>
      <c r="F101" s="3"/>
      <c r="G101" s="3"/>
      <c r="H101" s="3"/>
    </row>
    <row r="102" spans="1:8">
      <c r="B102" s="3" t="s">
        <v>81</v>
      </c>
      <c r="C102" s="3"/>
      <c r="D102" s="3"/>
      <c r="F102" s="3"/>
      <c r="G102" s="3"/>
      <c r="H102" s="3"/>
    </row>
    <row r="103" spans="1:8">
      <c r="B103" s="3" t="s">
        <v>82</v>
      </c>
      <c r="C103" s="3"/>
      <c r="D103" s="3"/>
      <c r="F103" s="3"/>
      <c r="G103" s="3"/>
      <c r="H103" s="3"/>
    </row>
    <row r="104" spans="1:8">
      <c r="B104" s="3" t="s">
        <v>83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8"/>
  <sheetViews>
    <sheetView topLeftCell="B1" zoomScale="220" zoomScaleNormal="220" workbookViewId="0">
      <selection activeCell="B52" sqref="B52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84</v>
      </c>
      <c r="C1" s="8"/>
      <c r="D1" s="45" t="s">
        <v>85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353664</v>
      </c>
      <c r="E4" s="16">
        <f>SUM(E9:E20)</f>
        <v>290000</v>
      </c>
      <c r="F4" s="17">
        <f>F20</f>
        <v>63664</v>
      </c>
      <c r="G4" s="3"/>
      <c r="H4" s="3"/>
    </row>
    <row r="5" spans="1:8">
      <c r="B5" s="14" t="s">
        <v>27</v>
      </c>
      <c r="C5" s="14"/>
      <c r="D5" s="18">
        <f>F42</f>
        <v>0</v>
      </c>
      <c r="G5" s="3"/>
      <c r="H5" s="3"/>
    </row>
    <row r="6" spans="1:8">
      <c r="B6" s="14" t="s">
        <v>5</v>
      </c>
      <c r="D6" s="19">
        <f>F39</f>
        <v>-1225.58</v>
      </c>
      <c r="E6" s="14"/>
      <c r="F6" s="9"/>
      <c r="G6" s="3"/>
      <c r="H6" s="3"/>
    </row>
    <row r="7" spans="1:8">
      <c r="A7" s="20"/>
      <c r="B7" s="21"/>
      <c r="C7" s="22"/>
      <c r="D7" s="21"/>
      <c r="E7" s="22" t="s">
        <v>28</v>
      </c>
      <c r="F7" s="23">
        <f>E4-D5</f>
        <v>290000</v>
      </c>
      <c r="G7" s="3"/>
      <c r="H7" s="3"/>
    </row>
    <row r="8" spans="1:8">
      <c r="B8" s="14" t="s">
        <v>29</v>
      </c>
      <c r="F8" s="3"/>
      <c r="G8" s="3"/>
      <c r="H8" s="3"/>
    </row>
    <row r="9" spans="1:8">
      <c r="A9" s="32" t="s">
        <v>409</v>
      </c>
      <c r="B9" s="14" t="s">
        <v>487</v>
      </c>
      <c r="D9" s="24"/>
      <c r="E9" s="25"/>
      <c r="F9" s="3">
        <f>D9-E9</f>
        <v>0</v>
      </c>
    </row>
    <row r="10" spans="1:8">
      <c r="B10" s="14" t="s">
        <v>488</v>
      </c>
      <c r="D10" s="24">
        <v>353664</v>
      </c>
      <c r="E10" s="25"/>
      <c r="F10" s="3">
        <f t="shared" ref="F10:F20" si="0">D10-E10+F9</f>
        <v>353664</v>
      </c>
    </row>
    <row r="11" spans="1:8">
      <c r="B11" s="14" t="s">
        <v>489</v>
      </c>
      <c r="D11" s="24"/>
      <c r="E11" s="25">
        <v>290000</v>
      </c>
      <c r="F11" s="3">
        <f t="shared" si="0"/>
        <v>63664</v>
      </c>
    </row>
    <row r="12" spans="1:8">
      <c r="B12" s="91"/>
      <c r="D12" s="24"/>
      <c r="E12" s="25"/>
      <c r="F12" s="3">
        <f t="shared" si="0"/>
        <v>63664</v>
      </c>
    </row>
    <row r="13" spans="1:8">
      <c r="D13" s="24"/>
      <c r="E13" s="25"/>
      <c r="F13" s="3">
        <f t="shared" si="0"/>
        <v>63664</v>
      </c>
    </row>
    <row r="14" spans="1:8" ht="15">
      <c r="A14" s="26"/>
      <c r="B14" s="293">
        <v>45739</v>
      </c>
      <c r="D14" s="27"/>
      <c r="E14" s="28"/>
      <c r="F14" s="3">
        <f t="shared" si="0"/>
        <v>63664</v>
      </c>
    </row>
    <row r="15" spans="1:8">
      <c r="A15" s="26"/>
      <c r="D15" s="27"/>
      <c r="E15" s="28"/>
      <c r="F15" s="3">
        <f t="shared" si="0"/>
        <v>63664</v>
      </c>
    </row>
    <row r="16" spans="1:8">
      <c r="A16" s="26"/>
      <c r="D16" s="27"/>
      <c r="E16" s="28"/>
      <c r="F16" s="3">
        <f t="shared" si="0"/>
        <v>63664</v>
      </c>
    </row>
    <row r="17" spans="1:18">
      <c r="A17" s="26"/>
      <c r="D17" s="27"/>
      <c r="E17" s="28"/>
      <c r="F17" s="3">
        <f t="shared" si="0"/>
        <v>63664</v>
      </c>
    </row>
    <row r="18" spans="1:18">
      <c r="A18" s="26"/>
      <c r="D18" s="27"/>
      <c r="E18" s="28"/>
      <c r="F18" s="3">
        <f t="shared" si="0"/>
        <v>63664</v>
      </c>
    </row>
    <row r="19" spans="1:18">
      <c r="A19" s="26"/>
      <c r="D19" s="27"/>
      <c r="E19" s="28"/>
      <c r="F19" s="3">
        <f t="shared" si="0"/>
        <v>63664</v>
      </c>
    </row>
    <row r="20" spans="1:18">
      <c r="A20" s="26"/>
      <c r="D20" s="27"/>
      <c r="E20" s="28"/>
      <c r="F20" s="29">
        <f t="shared" si="0"/>
        <v>63664</v>
      </c>
    </row>
    <row r="21" spans="1:18">
      <c r="A21" s="294" t="s">
        <v>464</v>
      </c>
      <c r="B21" s="294" t="s">
        <v>465</v>
      </c>
      <c r="C21" s="295"/>
      <c r="D21" s="295">
        <v>24000</v>
      </c>
      <c r="E21" s="295"/>
      <c r="F21" s="297"/>
      <c r="G21" s="297"/>
      <c r="H21" s="279"/>
      <c r="I21" s="259"/>
      <c r="J21" s="259"/>
      <c r="K21" s="259"/>
      <c r="L21" s="259"/>
      <c r="M21" s="259"/>
      <c r="N21" s="259"/>
      <c r="O21" s="259"/>
      <c r="P21" s="259"/>
      <c r="Q21" s="259"/>
      <c r="R21" s="259"/>
    </row>
    <row r="22" spans="1:18">
      <c r="A22" s="294"/>
      <c r="B22" s="296" t="s">
        <v>467</v>
      </c>
      <c r="C22" s="295"/>
      <c r="D22" s="295"/>
      <c r="E22" s="295"/>
      <c r="F22" s="297"/>
      <c r="G22" s="297"/>
      <c r="H22" s="279"/>
      <c r="I22" s="27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>
      <c r="A23" s="294"/>
      <c r="B23" s="254" t="s">
        <v>468</v>
      </c>
      <c r="C23" s="295"/>
      <c r="D23" s="295"/>
      <c r="E23" s="295"/>
      <c r="F23" s="297"/>
      <c r="G23" s="297"/>
      <c r="H23" s="279"/>
      <c r="I23" s="279"/>
      <c r="J23" s="259"/>
      <c r="K23" s="259"/>
      <c r="L23" s="259"/>
      <c r="M23" s="259"/>
      <c r="N23" s="259"/>
      <c r="O23" s="259"/>
      <c r="P23" s="259"/>
      <c r="Q23" s="259"/>
      <c r="R23" s="259"/>
    </row>
    <row r="24" spans="1:18">
      <c r="A24" s="26"/>
      <c r="D24" s="30"/>
      <c r="E24" s="31"/>
      <c r="F24" s="31"/>
    </row>
    <row r="25" spans="1:18">
      <c r="A25" s="32" t="s">
        <v>30</v>
      </c>
      <c r="B25" s="21" t="s">
        <v>31</v>
      </c>
      <c r="C25" s="21" t="s">
        <v>32</v>
      </c>
      <c r="D25" s="33" t="s">
        <v>33</v>
      </c>
      <c r="E25" s="34"/>
      <c r="F25" s="34">
        <v>1600</v>
      </c>
    </row>
    <row r="26" spans="1:18">
      <c r="A26" s="26"/>
      <c r="B26" t="s">
        <v>34</v>
      </c>
      <c r="D26" s="30"/>
      <c r="E26" s="31"/>
      <c r="F26" s="31">
        <v>-1000.12</v>
      </c>
    </row>
    <row r="27" spans="1:18">
      <c r="A27" s="26"/>
      <c r="B27" t="s">
        <v>86</v>
      </c>
      <c r="C27">
        <v>0</v>
      </c>
      <c r="D27" s="31">
        <v>900.36</v>
      </c>
      <c r="E27" s="31">
        <v>999.4</v>
      </c>
      <c r="F27" s="31">
        <f t="shared" ref="F27:F38" si="1">D27-E27+F26</f>
        <v>-1099.1599999999999</v>
      </c>
      <c r="G27" s="3"/>
    </row>
    <row r="28" spans="1:18">
      <c r="A28" s="26"/>
      <c r="B28" t="s">
        <v>35</v>
      </c>
      <c r="C28">
        <v>0</v>
      </c>
      <c r="D28" s="31">
        <v>841.46</v>
      </c>
      <c r="E28" s="31">
        <v>967.88</v>
      </c>
      <c r="F28" s="31">
        <f t="shared" si="1"/>
        <v>-1225.58</v>
      </c>
      <c r="G28" s="3"/>
    </row>
    <row r="29" spans="1:18">
      <c r="A29" s="26"/>
      <c r="B29" t="s">
        <v>36</v>
      </c>
      <c r="D29" s="31"/>
      <c r="E29" s="31"/>
      <c r="F29" s="31">
        <f t="shared" si="1"/>
        <v>-1225.58</v>
      </c>
      <c r="G29" s="3"/>
    </row>
    <row r="30" spans="1:18">
      <c r="A30" s="26"/>
      <c r="B30" t="s">
        <v>37</v>
      </c>
      <c r="D30" s="31"/>
      <c r="E30" s="31"/>
      <c r="F30" s="31">
        <f t="shared" si="1"/>
        <v>-1225.58</v>
      </c>
      <c r="G30" s="3"/>
    </row>
    <row r="31" spans="1:18">
      <c r="A31" s="26"/>
      <c r="B31" t="s">
        <v>38</v>
      </c>
      <c r="D31" s="31"/>
      <c r="E31" s="31"/>
      <c r="F31" s="31">
        <f t="shared" si="1"/>
        <v>-1225.58</v>
      </c>
      <c r="G31" s="3"/>
    </row>
    <row r="32" spans="1:18">
      <c r="A32" s="26"/>
      <c r="B32" t="s">
        <v>87</v>
      </c>
      <c r="D32" s="31"/>
      <c r="E32" s="31"/>
      <c r="F32" s="31">
        <f t="shared" si="1"/>
        <v>-1225.58</v>
      </c>
      <c r="G32" s="3"/>
    </row>
    <row r="33" spans="1:7">
      <c r="A33" s="26"/>
      <c r="B33" t="s">
        <v>88</v>
      </c>
      <c r="D33" s="31"/>
      <c r="E33" s="31"/>
      <c r="F33" s="31">
        <f t="shared" si="1"/>
        <v>-1225.58</v>
      </c>
      <c r="G33" s="3"/>
    </row>
    <row r="34" spans="1:7">
      <c r="A34" s="26"/>
      <c r="B34" t="s">
        <v>89</v>
      </c>
      <c r="D34" s="31"/>
      <c r="E34" s="31"/>
      <c r="F34" s="31">
        <f t="shared" si="1"/>
        <v>-1225.58</v>
      </c>
      <c r="G34" s="3"/>
    </row>
    <row r="35" spans="1:7">
      <c r="A35" s="26"/>
      <c r="B35" t="s">
        <v>90</v>
      </c>
      <c r="D35" s="30"/>
      <c r="E35" s="31"/>
      <c r="F35" s="31">
        <f t="shared" si="1"/>
        <v>-1225.58</v>
      </c>
      <c r="G35" s="3"/>
    </row>
    <row r="36" spans="1:7">
      <c r="A36" s="26"/>
      <c r="B36" t="s">
        <v>39</v>
      </c>
      <c r="D36" s="30"/>
      <c r="E36" s="31"/>
      <c r="F36" s="31">
        <f t="shared" si="1"/>
        <v>-1225.58</v>
      </c>
      <c r="G36" s="3"/>
    </row>
    <row r="37" spans="1:7">
      <c r="A37" s="26"/>
      <c r="B37" t="s">
        <v>40</v>
      </c>
      <c r="D37" s="30"/>
      <c r="E37" s="31"/>
      <c r="F37" s="31">
        <f t="shared" si="1"/>
        <v>-1225.58</v>
      </c>
      <c r="G37" s="3"/>
    </row>
    <row r="38" spans="1:7">
      <c r="A38" s="32"/>
      <c r="B38" s="21" t="s">
        <v>41</v>
      </c>
      <c r="C38" s="21"/>
      <c r="D38" s="33"/>
      <c r="E38" s="34"/>
      <c r="F38" s="34">
        <f t="shared" si="1"/>
        <v>-1225.58</v>
      </c>
      <c r="G38" s="3"/>
    </row>
    <row r="39" spans="1:7">
      <c r="A39" s="35">
        <v>45291</v>
      </c>
      <c r="B39" s="36" t="s">
        <v>34</v>
      </c>
      <c r="C39" s="36">
        <f>SUM(C27:C38)</f>
        <v>0</v>
      </c>
      <c r="D39" s="37"/>
      <c r="E39" s="38"/>
      <c r="F39" s="39">
        <f>D39-E39+F38</f>
        <v>-1225.58</v>
      </c>
    </row>
    <row r="40" spans="1:7">
      <c r="A40" s="26"/>
      <c r="D40" s="30"/>
      <c r="E40" s="30"/>
      <c r="F40" s="30" t="s">
        <v>270</v>
      </c>
    </row>
    <row r="41" spans="1:7">
      <c r="D41" s="3"/>
      <c r="F41" s="3"/>
    </row>
    <row r="42" spans="1:7">
      <c r="A42" s="88" t="s">
        <v>254</v>
      </c>
      <c r="B42" s="40" t="s">
        <v>165</v>
      </c>
      <c r="C42" s="40"/>
      <c r="D42" s="41"/>
      <c r="E42" s="42"/>
      <c r="F42" s="43">
        <f>SUM(F43:F44)</f>
        <v>0</v>
      </c>
    </row>
    <row r="43" spans="1:7">
      <c r="B43" s="8"/>
      <c r="C43" s="8"/>
      <c r="E43"/>
    </row>
    <row r="44" spans="1:7">
      <c r="F44" s="3"/>
    </row>
    <row r="45" spans="1:7">
      <c r="F45" s="3"/>
    </row>
    <row r="46" spans="1:7">
      <c r="A46" s="308"/>
      <c r="B46" s="254" t="s">
        <v>469</v>
      </c>
      <c r="C46" s="256"/>
      <c r="D46" s="309"/>
      <c r="E46" s="256"/>
      <c r="F46" s="256"/>
    </row>
    <row r="47" spans="1:7">
      <c r="B47" t="s">
        <v>470</v>
      </c>
      <c r="C47" s="3"/>
      <c r="D47" s="8"/>
      <c r="F47" s="3"/>
    </row>
    <row r="48" spans="1:7">
      <c r="B48" s="115" t="s">
        <v>472</v>
      </c>
      <c r="C48" s="115"/>
      <c r="D48" s="115">
        <f>E49</f>
        <v>353664</v>
      </c>
      <c r="F48" s="3"/>
    </row>
    <row r="49" spans="1:8">
      <c r="B49" t="s">
        <v>474</v>
      </c>
      <c r="C49">
        <v>16</v>
      </c>
      <c r="D49">
        <v>22104</v>
      </c>
      <c r="E49" s="3">
        <f>D49*C49</f>
        <v>353664</v>
      </c>
      <c r="F49" s="44"/>
    </row>
    <row r="50" spans="1:8">
      <c r="B50" s="3" t="s">
        <v>473</v>
      </c>
      <c r="C50" s="3"/>
      <c r="D50" s="8"/>
      <c r="F50" s="45"/>
    </row>
    <row r="51" spans="1:8">
      <c r="B51" s="3" t="s">
        <v>518</v>
      </c>
      <c r="C51" s="3"/>
      <c r="D51" s="8"/>
      <c r="E51" s="256">
        <v>290000</v>
      </c>
      <c r="F51" s="45"/>
    </row>
    <row r="52" spans="1:8">
      <c r="B52" s="3" t="s">
        <v>475</v>
      </c>
      <c r="C52" s="3"/>
      <c r="D52" s="8"/>
      <c r="F52" s="45"/>
    </row>
    <row r="53" spans="1:8">
      <c r="B53" s="3"/>
      <c r="C53" s="3"/>
      <c r="D53" s="8"/>
      <c r="F53" s="45"/>
    </row>
    <row r="54" spans="1:8">
      <c r="B54" s="3"/>
      <c r="C54" s="3"/>
      <c r="D54" s="8"/>
      <c r="F54" s="45"/>
    </row>
    <row r="55" spans="1:8">
      <c r="B55" s="3"/>
      <c r="C55" s="3"/>
      <c r="D55" s="8"/>
      <c r="F55" s="45"/>
    </row>
    <row r="56" spans="1:8">
      <c r="A56" s="308"/>
      <c r="B56" s="254" t="s">
        <v>323</v>
      </c>
      <c r="C56" s="256"/>
      <c r="D56" s="309"/>
      <c r="E56" s="256"/>
      <c r="F56" s="310"/>
    </row>
    <row r="57" spans="1:8">
      <c r="B57" t="s">
        <v>324</v>
      </c>
      <c r="C57" s="3"/>
      <c r="D57" s="8"/>
      <c r="F57" s="8"/>
      <c r="G57" s="46"/>
      <c r="H57" s="51"/>
    </row>
    <row r="58" spans="1:8">
      <c r="B58" s="115" t="s">
        <v>471</v>
      </c>
      <c r="C58" s="115"/>
      <c r="D58" s="115">
        <v>170000</v>
      </c>
      <c r="F58" s="8"/>
      <c r="G58" s="46"/>
      <c r="H58" s="51"/>
    </row>
    <row r="59" spans="1:8">
      <c r="A59" s="7">
        <v>45291</v>
      </c>
      <c r="B59" t="s">
        <v>316</v>
      </c>
      <c r="D59" s="24"/>
      <c r="E59" s="25"/>
      <c r="F59" s="3">
        <f>D59-E59</f>
        <v>0</v>
      </c>
      <c r="G59" s="46"/>
      <c r="H59" s="51"/>
    </row>
    <row r="60" spans="1:8">
      <c r="B60" s="14" t="s">
        <v>317</v>
      </c>
      <c r="D60" s="24"/>
      <c r="E60" s="25"/>
      <c r="F60" s="3">
        <f t="shared" ref="F60:F67" si="2">D60-E60+F59</f>
        <v>0</v>
      </c>
      <c r="G60" s="46"/>
      <c r="H60" s="51"/>
    </row>
    <row r="61" spans="1:8">
      <c r="B61" t="s">
        <v>318</v>
      </c>
      <c r="D61" s="24"/>
      <c r="E61" s="25"/>
      <c r="F61" s="3">
        <f t="shared" si="2"/>
        <v>0</v>
      </c>
      <c r="G61" s="46"/>
      <c r="H61" s="51"/>
    </row>
    <row r="62" spans="1:8">
      <c r="A62" s="7">
        <v>45295</v>
      </c>
      <c r="B62" s="91" t="s">
        <v>319</v>
      </c>
      <c r="D62" s="24"/>
      <c r="E62" s="25"/>
      <c r="F62" s="3">
        <f t="shared" si="2"/>
        <v>0</v>
      </c>
      <c r="G62" s="46"/>
      <c r="H62" s="51"/>
    </row>
    <row r="63" spans="1:8">
      <c r="A63" s="7">
        <v>45295</v>
      </c>
      <c r="B63">
        <v>11402</v>
      </c>
      <c r="C63">
        <v>16</v>
      </c>
      <c r="D63" s="24">
        <f>C63*B63</f>
        <v>182432</v>
      </c>
      <c r="E63" s="25"/>
      <c r="F63" s="3">
        <f t="shared" si="2"/>
        <v>182432</v>
      </c>
      <c r="G63" s="46"/>
      <c r="H63" s="51"/>
    </row>
    <row r="64" spans="1:8">
      <c r="A64" s="26">
        <v>45295</v>
      </c>
      <c r="B64" s="14" t="s">
        <v>320</v>
      </c>
      <c r="D64" s="27">
        <v>-12432</v>
      </c>
      <c r="E64" s="28"/>
      <c r="F64" s="3">
        <f t="shared" si="2"/>
        <v>170000</v>
      </c>
      <c r="G64" s="46"/>
      <c r="H64" s="51"/>
    </row>
    <row r="65" spans="1:8">
      <c r="A65" s="26">
        <v>45295</v>
      </c>
      <c r="B65" t="s">
        <v>321</v>
      </c>
      <c r="D65" s="27"/>
      <c r="E65" s="28">
        <v>120000</v>
      </c>
      <c r="F65" s="3">
        <f t="shared" si="2"/>
        <v>50000</v>
      </c>
      <c r="G65" s="46"/>
      <c r="H65" s="51"/>
    </row>
    <row r="66" spans="1:8">
      <c r="A66" s="26">
        <v>45296</v>
      </c>
      <c r="B66" t="s">
        <v>321</v>
      </c>
      <c r="D66" s="27"/>
      <c r="E66" s="28">
        <v>26000</v>
      </c>
      <c r="F66" s="3">
        <f t="shared" si="2"/>
        <v>24000</v>
      </c>
      <c r="G66" s="46"/>
      <c r="H66" s="51"/>
    </row>
    <row r="67" spans="1:8">
      <c r="A67" s="26">
        <v>45299</v>
      </c>
      <c r="B67" t="s">
        <v>322</v>
      </c>
      <c r="D67" s="27"/>
      <c r="E67" s="28">
        <v>24000</v>
      </c>
      <c r="F67" s="3">
        <f t="shared" si="2"/>
        <v>0</v>
      </c>
      <c r="G67" s="46"/>
      <c r="H67" s="51"/>
    </row>
    <row r="68" spans="1:8">
      <c r="B68" s="3"/>
      <c r="C68" s="3"/>
      <c r="D68" s="3"/>
      <c r="F68" s="8"/>
      <c r="G68" s="46"/>
      <c r="H68" s="51"/>
    </row>
    <row r="69" spans="1:8">
      <c r="B69" s="3"/>
      <c r="C69" s="3"/>
      <c r="D69" s="3"/>
      <c r="F69" s="8"/>
      <c r="G69" s="46"/>
      <c r="H69" s="51"/>
    </row>
    <row r="70" spans="1:8">
      <c r="B70" s="3"/>
      <c r="C70" s="3"/>
      <c r="D70" s="3"/>
      <c r="F70" s="8"/>
      <c r="G70" s="46"/>
      <c r="H70" s="51"/>
    </row>
    <row r="71" spans="1:8">
      <c r="B71" s="3"/>
      <c r="C71" s="3"/>
      <c r="D71" s="3"/>
      <c r="F71" s="8"/>
      <c r="G71" s="46"/>
      <c r="H71" s="51"/>
    </row>
    <row r="72" spans="1:8">
      <c r="A72" s="308"/>
      <c r="B72" s="254" t="s">
        <v>91</v>
      </c>
      <c r="C72" s="254"/>
      <c r="D72" s="256"/>
      <c r="E72" s="256"/>
      <c r="F72" s="309"/>
      <c r="G72" s="46"/>
      <c r="H72" s="51"/>
    </row>
    <row r="73" spans="1:8">
      <c r="B73" t="s">
        <v>92</v>
      </c>
      <c r="C73" s="3"/>
      <c r="D73" s="3"/>
      <c r="F73" s="8"/>
      <c r="G73" s="46"/>
      <c r="H73" s="51"/>
    </row>
    <row r="74" spans="1:8">
      <c r="B74" s="42" t="s">
        <v>268</v>
      </c>
      <c r="C74" s="42"/>
      <c r="D74" s="42">
        <v>84000</v>
      </c>
      <c r="F74" s="3"/>
      <c r="G74" s="3"/>
      <c r="H74" s="3"/>
    </row>
    <row r="75" spans="1:8">
      <c r="B75" s="3"/>
      <c r="C75" s="3"/>
      <c r="D75" s="3"/>
      <c r="F75" s="3"/>
      <c r="G75" s="3"/>
      <c r="H75" s="3"/>
    </row>
    <row r="76" spans="1:8">
      <c r="B76" s="3"/>
      <c r="C76" s="3"/>
      <c r="D76" s="3"/>
      <c r="F76" s="3"/>
      <c r="G76" s="3"/>
      <c r="H76" s="3"/>
    </row>
    <row r="77" spans="1:8">
      <c r="B77" s="3"/>
      <c r="C77" s="3"/>
      <c r="D77" s="3"/>
      <c r="F77" s="3"/>
      <c r="G77" s="3"/>
      <c r="H77" s="3"/>
    </row>
    <row r="78" spans="1:8">
      <c r="B78" s="3"/>
      <c r="C78" s="3"/>
      <c r="D78" s="3"/>
      <c r="F78" s="3"/>
      <c r="G78" s="3"/>
      <c r="H78" s="3"/>
    </row>
    <row r="79" spans="1:8">
      <c r="F79" s="3"/>
      <c r="G79" s="3"/>
      <c r="H79" s="3"/>
    </row>
    <row r="80" spans="1:8">
      <c r="F80" s="3"/>
      <c r="G80" s="3"/>
      <c r="H80" s="3"/>
    </row>
    <row r="81" spans="2:8">
      <c r="B81" s="8"/>
      <c r="C81" s="8"/>
      <c r="D81" s="45"/>
      <c r="F81" s="3"/>
      <c r="G81" s="3"/>
      <c r="H81" s="3"/>
    </row>
    <row r="82" spans="2:8">
      <c r="D82" s="3"/>
      <c r="F82" s="3"/>
      <c r="G82" s="3"/>
      <c r="H82" s="3"/>
    </row>
    <row r="83" spans="2:8">
      <c r="D83" s="3"/>
      <c r="F83" s="3"/>
      <c r="G83" s="3"/>
      <c r="H83" s="3"/>
    </row>
    <row r="84" spans="2:8">
      <c r="D84" s="3"/>
      <c r="F84" s="3"/>
      <c r="G84" s="3"/>
      <c r="H84" s="3"/>
    </row>
    <row r="85" spans="2:8">
      <c r="D85" s="3"/>
      <c r="F85" s="3"/>
      <c r="G85" s="3"/>
      <c r="H85" s="3"/>
    </row>
    <row r="86" spans="2:8">
      <c r="D86" s="3"/>
      <c r="F86" s="3"/>
      <c r="G86" s="3"/>
      <c r="H86" s="3"/>
    </row>
    <row r="87" spans="2:8">
      <c r="D87" s="3"/>
      <c r="F87" s="3"/>
      <c r="G87" s="3"/>
      <c r="H87" s="3"/>
    </row>
    <row r="88" spans="2:8">
      <c r="D88" s="3"/>
      <c r="F88" s="3"/>
      <c r="G88" s="3"/>
      <c r="H88" s="3"/>
    </row>
    <row r="89" spans="2:8">
      <c r="B89" s="8"/>
      <c r="C89" s="8"/>
      <c r="D89" s="3"/>
      <c r="F89" s="45"/>
      <c r="G89" s="3"/>
      <c r="H89" s="3"/>
    </row>
    <row r="90" spans="2:8">
      <c r="B90" s="1"/>
      <c r="C90" s="1"/>
      <c r="D90" s="3"/>
      <c r="F90" s="45"/>
      <c r="G90" s="3"/>
      <c r="H90" s="3"/>
    </row>
    <row r="91" spans="2:8">
      <c r="B91" s="8"/>
      <c r="C91" s="8"/>
      <c r="F91" s="45"/>
      <c r="G91" s="3"/>
      <c r="H91" s="3"/>
    </row>
    <row r="92" spans="2:8">
      <c r="F92" s="45"/>
      <c r="G92" s="3"/>
      <c r="H92" s="3"/>
    </row>
    <row r="93" spans="2:8">
      <c r="B93" s="8"/>
      <c r="C93" s="8"/>
      <c r="E93"/>
      <c r="F93" s="45"/>
      <c r="G93" s="3"/>
      <c r="H93" s="3"/>
    </row>
    <row r="94" spans="2:8">
      <c r="B94" s="3"/>
      <c r="C94" s="3"/>
      <c r="D94" s="3"/>
      <c r="F94" s="3"/>
      <c r="G94" s="3"/>
      <c r="H94" s="3"/>
    </row>
    <row r="95" spans="2:8">
      <c r="B95" s="3"/>
      <c r="C95" s="3"/>
      <c r="D95" s="3"/>
      <c r="F95" s="3"/>
      <c r="G95" s="3"/>
      <c r="H95" s="3"/>
    </row>
    <row r="96" spans="2:8">
      <c r="B96" s="3"/>
      <c r="C96" s="3"/>
      <c r="D96" s="3"/>
      <c r="F96" s="3"/>
      <c r="G96" s="3"/>
      <c r="H96" s="3"/>
    </row>
    <row r="97" spans="2:8">
      <c r="B97" s="3"/>
      <c r="C97" s="3"/>
      <c r="D97" s="3"/>
      <c r="F97" s="3"/>
      <c r="G97" s="3"/>
      <c r="H97" s="3"/>
    </row>
    <row r="98" spans="2:8">
      <c r="B98" s="3"/>
      <c r="C98" s="3"/>
      <c r="D98" s="3"/>
      <c r="F98" s="3"/>
      <c r="G98" s="3"/>
      <c r="H98" s="3"/>
    </row>
    <row r="99" spans="2:8">
      <c r="B99" s="3"/>
      <c r="C99" s="3"/>
      <c r="D99" s="3"/>
      <c r="F99" s="3"/>
      <c r="G99" s="3"/>
      <c r="H99" s="3"/>
    </row>
    <row r="100" spans="2:8">
      <c r="B100" s="3"/>
      <c r="C100" s="3"/>
      <c r="D100" s="3"/>
      <c r="F100" s="3"/>
      <c r="G100" s="3"/>
      <c r="H100" s="3"/>
    </row>
    <row r="101" spans="2:8">
      <c r="B101" s="3"/>
      <c r="C101" s="3"/>
      <c r="D101" s="3"/>
      <c r="F101" s="3"/>
      <c r="G101" s="3"/>
      <c r="H101" s="3"/>
    </row>
    <row r="102" spans="2:8">
      <c r="B102" s="3"/>
      <c r="C102" s="3"/>
      <c r="D102" s="3"/>
      <c r="F102" s="3"/>
      <c r="G102" s="3"/>
      <c r="H102" s="3"/>
    </row>
    <row r="103" spans="2:8">
      <c r="B103" s="3"/>
      <c r="C103" s="3"/>
      <c r="D103" s="3"/>
      <c r="F103" s="3"/>
      <c r="G103" s="3"/>
      <c r="H103" s="3"/>
    </row>
    <row r="104" spans="2:8">
      <c r="B104" s="3"/>
      <c r="C104" s="3"/>
      <c r="D104" s="3"/>
      <c r="F104" s="3"/>
      <c r="G104" s="3"/>
      <c r="H104" s="3"/>
    </row>
    <row r="105" spans="2:8">
      <c r="B105" s="3"/>
      <c r="C105" s="3"/>
      <c r="D105" s="3"/>
      <c r="F105" s="3"/>
      <c r="G105" s="3"/>
      <c r="H105" s="3"/>
    </row>
    <row r="106" spans="2:8">
      <c r="B106" s="3"/>
      <c r="C106" s="3"/>
      <c r="D106" s="3"/>
      <c r="F106" s="3"/>
      <c r="G106" s="3"/>
      <c r="H106" s="3"/>
    </row>
    <row r="107" spans="2:8">
      <c r="B107" s="3"/>
      <c r="C107" s="3"/>
      <c r="D107" s="3"/>
      <c r="F107" s="3"/>
    </row>
    <row r="108" spans="2:8">
      <c r="B108" s="3"/>
      <c r="C108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8"/>
  <sheetViews>
    <sheetView zoomScale="160" zoomScaleNormal="160" workbookViewId="0">
      <selection activeCell="B68" sqref="B68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1" style="3" bestFit="1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93</v>
      </c>
      <c r="C1" s="8"/>
      <c r="D1" s="8"/>
      <c r="E1" s="45" t="s">
        <v>94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342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89"/>
      <c r="D4" s="14"/>
      <c r="E4" s="15">
        <f>SUM(E9:E13)</f>
        <v>240000</v>
      </c>
      <c r="F4" s="16">
        <f>SUM(F9:F13)</f>
        <v>135000</v>
      </c>
      <c r="G4" s="17" t="e">
        <f>#REF!</f>
        <v>#REF!</v>
      </c>
    </row>
    <row r="5" spans="1:7">
      <c r="A5" s="7"/>
      <c r="B5" s="14" t="s">
        <v>27</v>
      </c>
      <c r="C5" s="14"/>
      <c r="D5" s="14"/>
      <c r="E5" s="18">
        <f>G44</f>
        <v>161160</v>
      </c>
      <c r="G5"/>
    </row>
    <row r="6" spans="1:7">
      <c r="A6" s="7"/>
      <c r="B6" s="14" t="s">
        <v>5</v>
      </c>
      <c r="C6" s="14"/>
      <c r="D6"/>
      <c r="E6" s="52">
        <f>G41</f>
        <v>-4079.59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-26160</v>
      </c>
    </row>
    <row r="8" spans="1:7">
      <c r="A8" s="7"/>
      <c r="B8" t="s">
        <v>325</v>
      </c>
      <c r="C8" s="14"/>
      <c r="D8"/>
      <c r="E8"/>
    </row>
    <row r="9" spans="1:7">
      <c r="A9" s="7">
        <v>45259</v>
      </c>
      <c r="C9"/>
      <c r="D9"/>
      <c r="E9" s="24"/>
      <c r="F9" s="25"/>
      <c r="G9" s="3">
        <f>E9-F9</f>
        <v>0</v>
      </c>
    </row>
    <row r="10" spans="1:7">
      <c r="A10" s="7"/>
      <c r="B10" s="139"/>
      <c r="C10" s="46"/>
      <c r="D10" s="3">
        <f>C10*E9</f>
        <v>0</v>
      </c>
      <c r="E10" s="138">
        <f>D10+E9</f>
        <v>0</v>
      </c>
      <c r="F10" s="25"/>
      <c r="G10" s="3">
        <f t="shared" ref="G10:G19" si="0">E10-F10+G9</f>
        <v>0</v>
      </c>
    </row>
    <row r="11" spans="1:7">
      <c r="A11" s="32" t="s">
        <v>380</v>
      </c>
      <c r="B11" s="3" t="s">
        <v>492</v>
      </c>
      <c r="C11"/>
      <c r="D11"/>
      <c r="E11" s="24">
        <v>240000</v>
      </c>
      <c r="F11" s="25"/>
      <c r="G11" s="3">
        <f>E11-F11+G10</f>
        <v>240000</v>
      </c>
    </row>
    <row r="12" spans="1:7">
      <c r="A12" s="7"/>
      <c r="B12" s="3" t="s">
        <v>343</v>
      </c>
      <c r="C12"/>
      <c r="D12"/>
      <c r="E12" s="24"/>
      <c r="F12" s="25">
        <v>135000</v>
      </c>
      <c r="G12" s="3">
        <f t="shared" si="0"/>
        <v>105000</v>
      </c>
    </row>
    <row r="13" spans="1:7">
      <c r="B13" s="139"/>
      <c r="C13" s="46"/>
      <c r="E13" s="138"/>
      <c r="F13" s="25"/>
      <c r="G13" s="3">
        <f t="shared" si="0"/>
        <v>105000</v>
      </c>
    </row>
    <row r="14" spans="1:7">
      <c r="A14" s="26"/>
      <c r="B14"/>
      <c r="C14"/>
      <c r="D14"/>
      <c r="E14" s="30"/>
      <c r="F14" s="31"/>
      <c r="G14" s="3">
        <f t="shared" si="0"/>
        <v>105000</v>
      </c>
    </row>
    <row r="15" spans="1:7">
      <c r="A15" s="26"/>
      <c r="B15"/>
      <c r="G15" s="3">
        <f t="shared" si="0"/>
        <v>105000</v>
      </c>
    </row>
    <row r="16" spans="1:7">
      <c r="A16" s="32" t="s">
        <v>409</v>
      </c>
      <c r="B16" s="3" t="s">
        <v>492</v>
      </c>
      <c r="C16">
        <v>24</v>
      </c>
      <c r="D16">
        <v>22104</v>
      </c>
      <c r="E16" s="30">
        <f>D16*C16</f>
        <v>530496</v>
      </c>
      <c r="F16" s="31"/>
      <c r="G16" s="3">
        <f t="shared" si="0"/>
        <v>635496</v>
      </c>
    </row>
    <row r="17" spans="1:7">
      <c r="A17" s="26"/>
      <c r="B17" s="3" t="s">
        <v>343</v>
      </c>
      <c r="C17"/>
      <c r="E17" s="138"/>
      <c r="F17" s="31">
        <v>219000</v>
      </c>
      <c r="G17" s="3">
        <f t="shared" si="0"/>
        <v>416496</v>
      </c>
    </row>
    <row r="18" spans="1:7">
      <c r="A18" s="26"/>
      <c r="B18"/>
      <c r="C18"/>
      <c r="D18"/>
      <c r="E18" s="138"/>
      <c r="F18" s="31"/>
      <c r="G18" s="3">
        <f t="shared" si="0"/>
        <v>416496</v>
      </c>
    </row>
    <row r="19" spans="1:7" ht="15">
      <c r="A19" s="26"/>
      <c r="B19" s="293">
        <v>45739</v>
      </c>
      <c r="C19"/>
      <c r="D19"/>
      <c r="E19" s="30"/>
      <c r="F19" s="31"/>
      <c r="G19" s="3">
        <f t="shared" si="0"/>
        <v>416496</v>
      </c>
    </row>
    <row r="20" spans="1:7">
      <c r="A20" s="26"/>
      <c r="B20"/>
      <c r="C20"/>
      <c r="D20"/>
      <c r="E20" s="30"/>
      <c r="F20" s="31"/>
      <c r="G20" s="31"/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26"/>
      <c r="B23"/>
      <c r="C23"/>
      <c r="D23"/>
      <c r="E23" s="30"/>
      <c r="F23" s="31"/>
      <c r="G23" s="31"/>
    </row>
    <row r="24" spans="1:7">
      <c r="A24" s="26"/>
      <c r="B24"/>
      <c r="C24"/>
      <c r="D24"/>
      <c r="E24" s="30"/>
      <c r="F24" s="31"/>
      <c r="G24" s="31"/>
    </row>
    <row r="25" spans="1:7">
      <c r="A25" s="26"/>
      <c r="B25"/>
      <c r="C25"/>
      <c r="D25"/>
      <c r="E25" s="30"/>
      <c r="F25" s="31"/>
      <c r="G25" s="31"/>
    </row>
    <row r="26" spans="1:7">
      <c r="A26" s="26"/>
      <c r="B26"/>
      <c r="C26"/>
      <c r="D26"/>
      <c r="E26" s="30"/>
      <c r="F26" s="31"/>
      <c r="G26" s="31"/>
    </row>
    <row r="27" spans="1:7">
      <c r="A27" s="26"/>
      <c r="B27"/>
      <c r="C27"/>
      <c r="D27"/>
      <c r="E27" s="30"/>
      <c r="F27" s="31"/>
      <c r="G27" s="31"/>
    </row>
    <row r="28" spans="1:7">
      <c r="A28" s="32" t="s">
        <v>30</v>
      </c>
      <c r="B28" s="21" t="s">
        <v>31</v>
      </c>
      <c r="C28" s="21"/>
      <c r="D28" s="21" t="s">
        <v>32</v>
      </c>
      <c r="E28" s="33" t="s">
        <v>33</v>
      </c>
      <c r="F28" s="34"/>
      <c r="G28" s="34">
        <v>3000</v>
      </c>
    </row>
    <row r="29" spans="1:7">
      <c r="A29" s="26"/>
      <c r="B29" t="s">
        <v>34</v>
      </c>
      <c r="C29"/>
      <c r="D29"/>
      <c r="E29" s="30"/>
      <c r="F29" s="31"/>
      <c r="G29" s="31">
        <v>-3924.11</v>
      </c>
    </row>
    <row r="30" spans="1:7">
      <c r="A30" s="26"/>
      <c r="B30" t="s">
        <v>86</v>
      </c>
      <c r="C30"/>
      <c r="D30">
        <v>0</v>
      </c>
      <c r="E30" s="3">
        <v>875.64</v>
      </c>
      <c r="F30">
        <v>875.64</v>
      </c>
      <c r="G30" s="31">
        <f t="shared" ref="G30:G41" si="1">E30-F30+G29</f>
        <v>-3924.11</v>
      </c>
    </row>
    <row r="31" spans="1:7">
      <c r="A31" s="26"/>
      <c r="B31" t="s">
        <v>35</v>
      </c>
      <c r="C31"/>
      <c r="D31">
        <v>0</v>
      </c>
      <c r="E31" s="3">
        <v>1036.52</v>
      </c>
      <c r="F31">
        <v>1192</v>
      </c>
      <c r="G31" s="31">
        <f t="shared" si="1"/>
        <v>-4079.59</v>
      </c>
    </row>
    <row r="32" spans="1:7">
      <c r="A32" s="26"/>
      <c r="B32" t="s">
        <v>36</v>
      </c>
      <c r="C32"/>
      <c r="D32"/>
      <c r="F32"/>
      <c r="G32" s="31">
        <f t="shared" si="1"/>
        <v>-4079.59</v>
      </c>
    </row>
    <row r="33" spans="1:8">
      <c r="A33" s="26"/>
      <c r="B33" t="s">
        <v>37</v>
      </c>
      <c r="C33"/>
      <c r="D33"/>
      <c r="F33"/>
      <c r="G33" s="31">
        <f t="shared" si="1"/>
        <v>-4079.59</v>
      </c>
    </row>
    <row r="34" spans="1:8">
      <c r="A34" s="26"/>
      <c r="B34" t="s">
        <v>38</v>
      </c>
      <c r="C34"/>
      <c r="D34"/>
      <c r="F34"/>
      <c r="G34" s="31">
        <f t="shared" si="1"/>
        <v>-4079.59</v>
      </c>
    </row>
    <row r="35" spans="1:8">
      <c r="A35" s="26"/>
      <c r="B35" t="s">
        <v>87</v>
      </c>
      <c r="C35"/>
      <c r="D35"/>
      <c r="F35"/>
      <c r="G35" s="31">
        <f t="shared" si="1"/>
        <v>-4079.59</v>
      </c>
    </row>
    <row r="36" spans="1:8">
      <c r="A36" s="26"/>
      <c r="B36" t="s">
        <v>88</v>
      </c>
      <c r="C36"/>
      <c r="D36"/>
      <c r="F36"/>
      <c r="G36" s="31">
        <f t="shared" si="1"/>
        <v>-4079.59</v>
      </c>
    </row>
    <row r="37" spans="1:8">
      <c r="A37" s="26"/>
      <c r="B37" t="s">
        <v>89</v>
      </c>
      <c r="C37"/>
      <c r="D37"/>
      <c r="F37"/>
      <c r="G37" s="31">
        <f t="shared" si="1"/>
        <v>-4079.59</v>
      </c>
    </row>
    <row r="38" spans="1:8">
      <c r="A38" s="26"/>
      <c r="B38" t="s">
        <v>90</v>
      </c>
      <c r="C38"/>
      <c r="D38"/>
      <c r="F38"/>
      <c r="G38" s="31">
        <f t="shared" si="1"/>
        <v>-4079.59</v>
      </c>
    </row>
    <row r="39" spans="1:8">
      <c r="A39" s="26"/>
      <c r="B39" t="s">
        <v>39</v>
      </c>
      <c r="C39"/>
      <c r="D39"/>
      <c r="F39"/>
      <c r="G39" s="31">
        <f t="shared" si="1"/>
        <v>-4079.59</v>
      </c>
    </row>
    <row r="40" spans="1:8">
      <c r="A40" s="26"/>
      <c r="B40" t="s">
        <v>40</v>
      </c>
      <c r="C40"/>
      <c r="D40"/>
      <c r="E40" s="30"/>
      <c r="F40" s="31"/>
      <c r="G40" s="31">
        <f t="shared" si="1"/>
        <v>-4079.59</v>
      </c>
    </row>
    <row r="41" spans="1:8">
      <c r="A41" s="32"/>
      <c r="B41" s="21" t="s">
        <v>41</v>
      </c>
      <c r="C41" s="21"/>
      <c r="D41" s="21"/>
      <c r="E41" s="33"/>
      <c r="F41" s="34"/>
      <c r="G41" s="34">
        <f t="shared" si="1"/>
        <v>-4079.59</v>
      </c>
    </row>
    <row r="42" spans="1:8">
      <c r="A42" s="35">
        <v>45291</v>
      </c>
      <c r="B42" s="53" t="s">
        <v>34</v>
      </c>
      <c r="C42" s="53"/>
      <c r="D42" s="36">
        <f>SUM(D30:D41)</f>
        <v>0</v>
      </c>
      <c r="E42" s="37"/>
      <c r="F42" s="38"/>
      <c r="G42" s="39">
        <f>E42-F42+G41</f>
        <v>-4079.59</v>
      </c>
    </row>
    <row r="43" spans="1:8">
      <c r="A43" s="7"/>
      <c r="B43"/>
      <c r="C43"/>
      <c r="D43"/>
    </row>
    <row r="44" spans="1:8">
      <c r="A44" s="88" t="s">
        <v>253</v>
      </c>
      <c r="B44" s="40" t="s">
        <v>165</v>
      </c>
      <c r="C44" s="40"/>
      <c r="D44" s="40"/>
      <c r="E44" s="41"/>
      <c r="F44" s="42"/>
      <c r="G44" s="43">
        <f>SUM(F45:F49)</f>
        <v>161160</v>
      </c>
    </row>
    <row r="45" spans="1:8">
      <c r="A45" s="7"/>
      <c r="B45" s="8"/>
      <c r="C45" s="8"/>
      <c r="D45" s="8"/>
      <c r="E45"/>
      <c r="F45"/>
      <c r="G45"/>
    </row>
    <row r="46" spans="1:8">
      <c r="A46" s="7"/>
      <c r="B46" t="s">
        <v>95</v>
      </c>
      <c r="C46"/>
      <c r="D46"/>
    </row>
    <row r="47" spans="1:8">
      <c r="A47" s="7"/>
      <c r="B47" t="s">
        <v>96</v>
      </c>
      <c r="C47"/>
      <c r="D47" s="3">
        <v>3000</v>
      </c>
      <c r="E47" s="3">
        <v>12</v>
      </c>
      <c r="F47" s="3">
        <f>E47*D47</f>
        <v>36000</v>
      </c>
      <c r="H47" s="3">
        <v>36000</v>
      </c>
    </row>
    <row r="48" spans="1:8">
      <c r="A48" s="7"/>
      <c r="B48" t="s">
        <v>97</v>
      </c>
      <c r="C48"/>
      <c r="D48" s="3">
        <f>F48/E48</f>
        <v>3596.6666666666665</v>
      </c>
      <c r="E48" s="3">
        <v>12</v>
      </c>
      <c r="F48" s="3">
        <v>43160</v>
      </c>
      <c r="G48" s="44"/>
      <c r="H48" s="3">
        <v>43160</v>
      </c>
    </row>
    <row r="49" spans="1:8">
      <c r="A49" s="7"/>
      <c r="B49" s="21" t="s">
        <v>98</v>
      </c>
      <c r="C49" s="21"/>
      <c r="D49" s="3">
        <f>F49/E49</f>
        <v>6833.333333333333</v>
      </c>
      <c r="E49" s="8">
        <v>12</v>
      </c>
      <c r="F49" s="3">
        <v>82000</v>
      </c>
      <c r="G49" s="45"/>
      <c r="H49" s="42">
        <v>82000</v>
      </c>
    </row>
    <row r="50" spans="1:8">
      <c r="A50" s="7"/>
      <c r="B50" t="s">
        <v>491</v>
      </c>
      <c r="C50"/>
      <c r="E50" s="8"/>
      <c r="G50" s="45"/>
      <c r="H50" s="3">
        <v>135000</v>
      </c>
    </row>
    <row r="51" spans="1:8">
      <c r="A51" s="7"/>
      <c r="B51" t="s">
        <v>519</v>
      </c>
      <c r="C51"/>
      <c r="E51" s="8"/>
      <c r="G51" s="45"/>
    </row>
    <row r="52" spans="1:8">
      <c r="A52" s="7"/>
      <c r="B52"/>
      <c r="C52"/>
      <c r="E52" s="8"/>
      <c r="G52" s="45"/>
    </row>
    <row r="53" spans="1:8">
      <c r="A53" s="7"/>
      <c r="B53"/>
      <c r="C53"/>
      <c r="E53" s="8"/>
      <c r="G53" s="45"/>
    </row>
    <row r="54" spans="1:8">
      <c r="A54" s="54">
        <v>45214</v>
      </c>
      <c r="B54" t="s">
        <v>264</v>
      </c>
      <c r="C54"/>
      <c r="E54"/>
    </row>
    <row r="55" spans="1:8">
      <c r="A55" s="54">
        <v>45214</v>
      </c>
      <c r="B55" t="s">
        <v>265</v>
      </c>
      <c r="C55"/>
      <c r="E55"/>
    </row>
    <row r="56" spans="1:8">
      <c r="A56" s="54">
        <v>45214</v>
      </c>
      <c r="B56" t="s">
        <v>99</v>
      </c>
      <c r="C56"/>
      <c r="E56"/>
    </row>
    <row r="57" spans="1:8">
      <c r="A57" s="54">
        <v>44321</v>
      </c>
      <c r="B57" t="s">
        <v>100</v>
      </c>
      <c r="C57"/>
      <c r="E57"/>
    </row>
    <row r="58" spans="1:8">
      <c r="A58" s="54">
        <v>44367</v>
      </c>
      <c r="B58" t="s">
        <v>101</v>
      </c>
      <c r="C58"/>
      <c r="E58"/>
    </row>
    <row r="59" spans="1:8">
      <c r="A59" s="54">
        <v>44459</v>
      </c>
      <c r="B59" t="s">
        <v>102</v>
      </c>
      <c r="C59"/>
      <c r="E59"/>
    </row>
    <row r="60" spans="1:8">
      <c r="A60" s="54">
        <v>44459</v>
      </c>
      <c r="B60" t="s">
        <v>103</v>
      </c>
      <c r="C60"/>
      <c r="E60"/>
    </row>
    <row r="61" spans="1:8">
      <c r="A61" s="54">
        <v>44433</v>
      </c>
      <c r="B61" t="s">
        <v>104</v>
      </c>
      <c r="C61"/>
      <c r="E61"/>
    </row>
    <row r="62" spans="1:8">
      <c r="A62" s="54">
        <v>44449</v>
      </c>
      <c r="B62" t="s">
        <v>105</v>
      </c>
      <c r="C62"/>
      <c r="E62"/>
    </row>
    <row r="63" spans="1:8">
      <c r="A63" s="54">
        <v>44201</v>
      </c>
      <c r="B63" t="s">
        <v>106</v>
      </c>
      <c r="C63"/>
      <c r="E63" s="2">
        <v>500</v>
      </c>
    </row>
    <row r="64" spans="1:8">
      <c r="A64" s="54">
        <v>44931</v>
      </c>
      <c r="B64" t="s">
        <v>107</v>
      </c>
      <c r="C64"/>
      <c r="E64" s="2"/>
    </row>
    <row r="65" spans="1:8">
      <c r="A65" s="54">
        <v>44252</v>
      </c>
      <c r="B65" t="s">
        <v>108</v>
      </c>
      <c r="C65"/>
      <c r="E65" s="2" t="s">
        <v>109</v>
      </c>
    </row>
    <row r="66" spans="1:8">
      <c r="A66" s="54">
        <v>44285</v>
      </c>
      <c r="B66" t="s">
        <v>110</v>
      </c>
      <c r="C66"/>
      <c r="E66" s="2" t="s">
        <v>111</v>
      </c>
    </row>
    <row r="67" spans="1:8">
      <c r="A67" s="54">
        <v>44413</v>
      </c>
      <c r="B67" t="s">
        <v>522</v>
      </c>
      <c r="C67"/>
      <c r="E67" s="2" t="s">
        <v>111</v>
      </c>
    </row>
    <row r="68" spans="1:8">
      <c r="B68" t="s">
        <v>112</v>
      </c>
      <c r="C68"/>
      <c r="D68"/>
      <c r="E68" s="2" t="s">
        <v>109</v>
      </c>
    </row>
    <row r="69" spans="1:8">
      <c r="A69" s="54"/>
      <c r="B69"/>
      <c r="C69"/>
      <c r="E69"/>
    </row>
    <row r="70" spans="1:8">
      <c r="A70" s="54"/>
      <c r="B70"/>
      <c r="C70"/>
      <c r="E70"/>
    </row>
    <row r="71" spans="1:8">
      <c r="B71"/>
      <c r="C71"/>
      <c r="D71"/>
      <c r="E71"/>
    </row>
    <row r="72" spans="1:8">
      <c r="B72"/>
      <c r="C72"/>
      <c r="E72"/>
      <c r="G72" s="46"/>
      <c r="H72" s="51"/>
    </row>
    <row r="73" spans="1:8">
      <c r="B73"/>
      <c r="C73"/>
      <c r="E73"/>
      <c r="G73" s="46"/>
      <c r="H73" s="51"/>
    </row>
    <row r="74" spans="1:8">
      <c r="B74"/>
      <c r="C74"/>
      <c r="E74"/>
      <c r="G74" s="46"/>
      <c r="H74" s="51"/>
    </row>
    <row r="75" spans="1:8">
      <c r="B75" s="3" t="s">
        <v>113</v>
      </c>
      <c r="F75" s="1"/>
      <c r="G75" s="46"/>
      <c r="H75" s="51"/>
    </row>
    <row r="76" spans="1:8">
      <c r="F76" s="1"/>
      <c r="G76" s="46"/>
      <c r="H76" s="51"/>
    </row>
    <row r="77" spans="1:8">
      <c r="B77" t="s">
        <v>114</v>
      </c>
      <c r="C77"/>
      <c r="E77">
        <v>42.07</v>
      </c>
      <c r="F77" s="3">
        <f>D77-E77</f>
        <v>-42.07</v>
      </c>
      <c r="G77" s="46"/>
      <c r="H77" s="51"/>
    </row>
    <row r="78" spans="1:8">
      <c r="B78" t="s">
        <v>115</v>
      </c>
      <c r="C78"/>
      <c r="E78">
        <v>34.450000000000003</v>
      </c>
      <c r="F78" s="3">
        <f t="shared" ref="F78:F89" si="2">F77+D78-E78</f>
        <v>-76.52000000000001</v>
      </c>
    </row>
    <row r="79" spans="1:8">
      <c r="B79" t="s">
        <v>116</v>
      </c>
      <c r="C79"/>
      <c r="E79">
        <v>20.05</v>
      </c>
      <c r="F79" s="3">
        <f t="shared" si="2"/>
        <v>-96.570000000000007</v>
      </c>
    </row>
    <row r="80" spans="1:8">
      <c r="B80" t="s">
        <v>117</v>
      </c>
      <c r="C80"/>
      <c r="E80">
        <v>34.700000000000003</v>
      </c>
      <c r="F80" s="3">
        <f t="shared" si="2"/>
        <v>-131.27000000000001</v>
      </c>
    </row>
    <row r="81" spans="2:6">
      <c r="B81" t="s">
        <v>118</v>
      </c>
      <c r="C81"/>
      <c r="E81">
        <v>34.340000000000003</v>
      </c>
      <c r="F81" s="3">
        <f t="shared" si="2"/>
        <v>-165.61</v>
      </c>
    </row>
    <row r="82" spans="2:6">
      <c r="B82" t="s">
        <v>119</v>
      </c>
      <c r="C82"/>
      <c r="E82">
        <v>-65.91</v>
      </c>
      <c r="F82" s="3">
        <f t="shared" si="2"/>
        <v>-99.700000000000017</v>
      </c>
    </row>
    <row r="83" spans="2:6">
      <c r="B83" t="s">
        <v>120</v>
      </c>
      <c r="C83"/>
      <c r="E83">
        <v>31.54</v>
      </c>
      <c r="F83" s="3">
        <f t="shared" si="2"/>
        <v>-131.24</v>
      </c>
    </row>
    <row r="84" spans="2:6">
      <c r="B84" t="s">
        <v>121</v>
      </c>
      <c r="C84"/>
      <c r="E84">
        <v>0</v>
      </c>
      <c r="F84" s="3">
        <f t="shared" si="2"/>
        <v>-131.24</v>
      </c>
    </row>
    <row r="85" spans="2:6">
      <c r="B85" t="s">
        <v>122</v>
      </c>
      <c r="C85"/>
      <c r="E85">
        <v>45.99</v>
      </c>
      <c r="F85" s="3">
        <f t="shared" si="2"/>
        <v>-177.23000000000002</v>
      </c>
    </row>
    <row r="86" spans="2:6">
      <c r="B86" t="s">
        <v>123</v>
      </c>
      <c r="C86"/>
      <c r="E86">
        <v>42.89</v>
      </c>
      <c r="F86" s="3">
        <f t="shared" si="2"/>
        <v>-220.12</v>
      </c>
    </row>
    <row r="87" spans="2:6">
      <c r="B87" t="s">
        <v>124</v>
      </c>
      <c r="C87"/>
      <c r="E87">
        <v>34.979999999999997</v>
      </c>
      <c r="F87" s="3">
        <f t="shared" si="2"/>
        <v>-255.1</v>
      </c>
    </row>
    <row r="88" spans="2:6">
      <c r="B88" t="s">
        <v>125</v>
      </c>
      <c r="C88"/>
      <c r="E88">
        <v>0</v>
      </c>
      <c r="F88" s="3">
        <f t="shared" si="2"/>
        <v>-255.1</v>
      </c>
    </row>
    <row r="89" spans="2:6">
      <c r="B89" s="1" t="s">
        <v>126</v>
      </c>
      <c r="C89" s="1"/>
      <c r="D89" s="51"/>
      <c r="E89" s="1"/>
      <c r="F89" s="51">
        <f t="shared" si="2"/>
        <v>-255.1</v>
      </c>
    </row>
    <row r="92" spans="2:6">
      <c r="B92" s="1" t="s">
        <v>127</v>
      </c>
      <c r="C92" s="1"/>
      <c r="D92" s="51"/>
      <c r="E92" s="1"/>
      <c r="F92" s="51">
        <v>-255.1</v>
      </c>
    </row>
    <row r="93" spans="2:6">
      <c r="B93" t="s">
        <v>128</v>
      </c>
      <c r="C93"/>
      <c r="E93">
        <v>30.04</v>
      </c>
      <c r="F93" s="3">
        <f t="shared" ref="F93:F108" si="3">F92+D93-E93</f>
        <v>-285.14</v>
      </c>
    </row>
    <row r="94" spans="2:6">
      <c r="B94" s="55">
        <v>44593</v>
      </c>
      <c r="C94" s="55"/>
      <c r="E94">
        <v>135.32</v>
      </c>
      <c r="F94" s="3">
        <f t="shared" si="3"/>
        <v>-420.46</v>
      </c>
    </row>
    <row r="95" spans="2:6">
      <c r="B95" s="55">
        <v>44621</v>
      </c>
      <c r="C95" s="55"/>
      <c r="E95">
        <v>98.9</v>
      </c>
      <c r="F95" s="3">
        <f t="shared" si="3"/>
        <v>-519.36</v>
      </c>
    </row>
    <row r="96" spans="2:6">
      <c r="B96" s="55">
        <v>44652</v>
      </c>
      <c r="C96" s="55"/>
      <c r="E96">
        <v>135.6</v>
      </c>
      <c r="F96" s="3">
        <f t="shared" si="3"/>
        <v>-654.96</v>
      </c>
    </row>
    <row r="97" spans="2:6">
      <c r="B97" t="s">
        <v>129</v>
      </c>
      <c r="C97"/>
      <c r="E97">
        <v>214.37</v>
      </c>
      <c r="F97" s="3">
        <f t="shared" si="3"/>
        <v>-869.33</v>
      </c>
    </row>
    <row r="98" spans="2:6">
      <c r="B98" t="s">
        <v>130</v>
      </c>
      <c r="C98"/>
      <c r="E98">
        <v>427.65</v>
      </c>
      <c r="F98" s="3">
        <f t="shared" si="3"/>
        <v>-1296.98</v>
      </c>
    </row>
    <row r="99" spans="2:6">
      <c r="B99" t="s">
        <v>131</v>
      </c>
      <c r="C99"/>
      <c r="E99">
        <v>446.55</v>
      </c>
      <c r="F99" s="3">
        <f t="shared" si="3"/>
        <v>-1743.53</v>
      </c>
    </row>
    <row r="100" spans="2:6">
      <c r="B100" t="s">
        <v>132</v>
      </c>
      <c r="C100"/>
      <c r="E100">
        <v>333.96</v>
      </c>
      <c r="F100" s="3">
        <f t="shared" si="3"/>
        <v>-2077.4899999999998</v>
      </c>
    </row>
    <row r="101" spans="2:6">
      <c r="B101" t="s">
        <v>133</v>
      </c>
      <c r="C101"/>
      <c r="E101">
        <v>324.51</v>
      </c>
      <c r="F101" s="3">
        <f t="shared" si="3"/>
        <v>-2402</v>
      </c>
    </row>
    <row r="102" spans="2:6">
      <c r="B102" t="s">
        <v>134</v>
      </c>
      <c r="C102"/>
      <c r="E102">
        <v>331.27</v>
      </c>
      <c r="F102" s="3">
        <f t="shared" si="3"/>
        <v>-2733.27</v>
      </c>
    </row>
    <row r="103" spans="2:6">
      <c r="B103" t="s">
        <v>135</v>
      </c>
      <c r="C103"/>
      <c r="D103" s="3">
        <v>50</v>
      </c>
      <c r="E103"/>
      <c r="F103" s="3">
        <f t="shared" si="3"/>
        <v>-2683.27</v>
      </c>
    </row>
    <row r="104" spans="2:6">
      <c r="B104" s="55">
        <v>44866</v>
      </c>
      <c r="C104" s="55"/>
      <c r="E104">
        <v>412.42</v>
      </c>
      <c r="F104" s="3">
        <f t="shared" si="3"/>
        <v>-3095.69</v>
      </c>
    </row>
    <row r="105" spans="2:6">
      <c r="B105" t="s">
        <v>125</v>
      </c>
      <c r="C105"/>
      <c r="E105">
        <v>426.12</v>
      </c>
      <c r="F105" s="3">
        <f t="shared" si="3"/>
        <v>-3521.81</v>
      </c>
    </row>
    <row r="106" spans="2:6">
      <c r="B106" t="s">
        <v>136</v>
      </c>
      <c r="C106"/>
      <c r="D106" s="3">
        <v>2000</v>
      </c>
      <c r="E106"/>
      <c r="F106" s="3">
        <f t="shared" si="3"/>
        <v>-1521.81</v>
      </c>
    </row>
    <row r="107" spans="2:6">
      <c r="B107" t="s">
        <v>137</v>
      </c>
      <c r="C107"/>
      <c r="D107" s="3">
        <v>500</v>
      </c>
      <c r="E107"/>
      <c r="F107" s="3">
        <f t="shared" si="3"/>
        <v>-1021.81</v>
      </c>
    </row>
    <row r="108" spans="2:6">
      <c r="B108" t="s">
        <v>138</v>
      </c>
      <c r="C108"/>
      <c r="E108"/>
      <c r="F108" s="51">
        <f t="shared" si="3"/>
        <v>-1021.81</v>
      </c>
    </row>
  </sheetData>
  <phoneticPr fontId="49" type="noConversion"/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87F-6CBB-48CF-9073-716B69FD2C1F}">
  <dimension ref="A1:K65"/>
  <sheetViews>
    <sheetView topLeftCell="A9" zoomScale="145" zoomScaleNormal="145" workbookViewId="0">
      <selection activeCell="F12" sqref="F12"/>
    </sheetView>
  </sheetViews>
  <sheetFormatPr defaultRowHeight="12.75"/>
  <cols>
    <col min="1" max="1" width="9.28515625" customWidth="1"/>
    <col min="2" max="2" width="30.85546875" customWidth="1"/>
    <col min="3" max="3" width="8.85546875" bestFit="1" customWidth="1"/>
    <col min="4" max="4" width="7.42578125" bestFit="1" customWidth="1"/>
    <col min="5" max="5" width="11.5703125" bestFit="1" customWidth="1"/>
    <col min="6" max="7" width="11.28515625" bestFit="1" customWidth="1"/>
    <col min="8" max="8" width="12.7109375" bestFit="1" customWidth="1"/>
    <col min="10" max="10" width="10.5703125" bestFit="1" customWidth="1"/>
  </cols>
  <sheetData>
    <row r="1" spans="1:8" ht="15">
      <c r="A1" s="194"/>
      <c r="B1" s="195" t="s">
        <v>410</v>
      </c>
      <c r="C1" s="196"/>
      <c r="D1" s="197"/>
      <c r="E1" s="198"/>
      <c r="F1" s="199"/>
      <c r="G1" s="200"/>
      <c r="H1" s="200"/>
    </row>
    <row r="2" spans="1:8">
      <c r="A2" s="201"/>
      <c r="B2" s="202"/>
      <c r="C2" s="203"/>
      <c r="D2" s="204"/>
      <c r="E2" s="202"/>
      <c r="F2" s="205"/>
      <c r="G2" s="206"/>
      <c r="H2" s="206"/>
    </row>
    <row r="3" spans="1:8" ht="18">
      <c r="A3" s="207" t="s">
        <v>425</v>
      </c>
      <c r="B3" s="198"/>
      <c r="C3" s="196"/>
      <c r="D3" s="197"/>
      <c r="E3" s="208"/>
      <c r="F3" s="209">
        <f>SUM(F7:F65)</f>
        <v>1041691.3294872609</v>
      </c>
      <c r="G3" s="209">
        <f>SUM(G7:G65)</f>
        <v>655000</v>
      </c>
      <c r="H3" s="210">
        <f>F3-G3</f>
        <v>386691.3294872609</v>
      </c>
    </row>
    <row r="4" spans="1:8" ht="18">
      <c r="A4" s="207"/>
      <c r="B4" s="198"/>
      <c r="C4" s="196" t="s">
        <v>480</v>
      </c>
      <c r="D4" s="197"/>
      <c r="E4" s="198" t="s">
        <v>422</v>
      </c>
      <c r="F4" s="209"/>
      <c r="G4" s="209"/>
      <c r="H4" s="210"/>
    </row>
    <row r="5" spans="1:8">
      <c r="A5" s="211" t="s">
        <v>23</v>
      </c>
      <c r="B5" s="212" t="s">
        <v>24</v>
      </c>
      <c r="C5" s="213" t="s">
        <v>479</v>
      </c>
      <c r="D5" s="214" t="s">
        <v>481</v>
      </c>
      <c r="E5" s="215" t="s">
        <v>411</v>
      </c>
      <c r="F5" s="216" t="s">
        <v>210</v>
      </c>
      <c r="G5" s="217" t="s">
        <v>3</v>
      </c>
      <c r="H5" s="217" t="s">
        <v>26</v>
      </c>
    </row>
    <row r="6" spans="1:8">
      <c r="A6" s="194"/>
      <c r="B6" s="198"/>
      <c r="C6" s="196"/>
      <c r="D6" s="197"/>
      <c r="E6" s="198"/>
      <c r="F6" s="199"/>
      <c r="G6" s="200"/>
      <c r="H6" s="200">
        <f t="shared" ref="H6:H38" si="0">H7+F6-G6</f>
        <v>386691.32948726078</v>
      </c>
    </row>
    <row r="7" spans="1:8">
      <c r="A7" s="194"/>
      <c r="B7" s="198"/>
      <c r="C7" s="196"/>
      <c r="D7" s="197"/>
      <c r="E7" s="198"/>
      <c r="F7" s="199"/>
      <c r="G7" s="200"/>
      <c r="H7" s="200">
        <f t="shared" si="0"/>
        <v>386691.32948726078</v>
      </c>
    </row>
    <row r="8" spans="1:8">
      <c r="A8" s="194"/>
      <c r="C8" s="196"/>
      <c r="D8" s="197"/>
      <c r="E8" s="198"/>
      <c r="F8" s="199"/>
      <c r="G8" s="200"/>
      <c r="H8" s="200">
        <f t="shared" si="0"/>
        <v>386691.32948726078</v>
      </c>
    </row>
    <row r="9" spans="1:8">
      <c r="A9" s="194"/>
      <c r="B9" s="198"/>
      <c r="C9" s="196"/>
      <c r="D9" s="197"/>
      <c r="E9" s="198"/>
      <c r="F9" s="199"/>
      <c r="G9" s="200"/>
      <c r="H9" s="200">
        <f t="shared" si="0"/>
        <v>386691.32948726078</v>
      </c>
    </row>
    <row r="10" spans="1:8">
      <c r="A10" s="194"/>
      <c r="B10" s="198"/>
      <c r="C10" s="196"/>
      <c r="D10" s="197"/>
      <c r="E10" s="198"/>
      <c r="F10" s="199"/>
      <c r="G10" s="200"/>
      <c r="H10" s="200">
        <f t="shared" si="0"/>
        <v>386691.32948726078</v>
      </c>
    </row>
    <row r="11" spans="1:8">
      <c r="A11" s="194"/>
      <c r="B11" s="198"/>
      <c r="C11" s="196"/>
      <c r="D11" s="197"/>
      <c r="E11" s="198"/>
      <c r="F11" s="199"/>
      <c r="G11" s="200"/>
      <c r="H11" s="200">
        <f t="shared" si="0"/>
        <v>386691.32948726078</v>
      </c>
    </row>
    <row r="12" spans="1:8">
      <c r="A12" s="194"/>
      <c r="B12" s="198"/>
      <c r="C12" s="196"/>
      <c r="D12" s="197"/>
      <c r="E12" s="198"/>
      <c r="F12" s="199"/>
      <c r="G12" s="200"/>
      <c r="H12" s="200">
        <f t="shared" si="0"/>
        <v>386691.32948726078</v>
      </c>
    </row>
    <row r="13" spans="1:8">
      <c r="A13" s="194"/>
      <c r="B13" s="218"/>
      <c r="C13" s="196"/>
      <c r="D13" s="197"/>
      <c r="E13" s="199"/>
      <c r="F13" s="199"/>
      <c r="G13" s="200"/>
      <c r="H13" s="200">
        <f t="shared" si="0"/>
        <v>386691.32948726078</v>
      </c>
    </row>
    <row r="14" spans="1:8">
      <c r="A14" s="194"/>
      <c r="B14" s="218"/>
      <c r="C14" s="196"/>
      <c r="D14" s="197"/>
      <c r="E14" s="219"/>
      <c r="F14" s="199"/>
      <c r="G14" s="200"/>
      <c r="H14" s="200">
        <f t="shared" si="0"/>
        <v>386691.32948726078</v>
      </c>
    </row>
    <row r="15" spans="1:8">
      <c r="A15" s="194"/>
      <c r="B15" s="218"/>
      <c r="C15" s="196"/>
      <c r="D15" s="197"/>
      <c r="E15" s="199"/>
      <c r="F15" s="199"/>
      <c r="G15" s="200"/>
      <c r="H15" s="200">
        <f t="shared" si="0"/>
        <v>386691.32948726078</v>
      </c>
    </row>
    <row r="16" spans="1:8" ht="15.75">
      <c r="A16" s="194"/>
      <c r="B16" s="257"/>
      <c r="C16" s="196"/>
      <c r="D16" s="197"/>
      <c r="E16" s="199"/>
      <c r="F16" s="258"/>
      <c r="G16" s="200"/>
      <c r="H16" s="200">
        <f t="shared" si="0"/>
        <v>386691.32948726078</v>
      </c>
    </row>
    <row r="17" spans="1:11" ht="15">
      <c r="A17" s="194"/>
      <c r="B17" s="293">
        <v>46012</v>
      </c>
      <c r="C17" s="196"/>
      <c r="D17" s="197"/>
      <c r="E17" s="219"/>
      <c r="F17" s="199"/>
      <c r="G17" s="200"/>
      <c r="H17" s="200">
        <f t="shared" si="0"/>
        <v>386691.32948726078</v>
      </c>
    </row>
    <row r="18" spans="1:11">
      <c r="A18" s="194">
        <v>45991</v>
      </c>
      <c r="B18" s="218" t="s">
        <v>211</v>
      </c>
      <c r="C18" s="196"/>
      <c r="D18" s="197"/>
      <c r="E18" s="199"/>
      <c r="F18" s="199"/>
      <c r="G18" s="200">
        <v>301000</v>
      </c>
      <c r="H18" s="200">
        <f t="shared" si="0"/>
        <v>386691.32948726078</v>
      </c>
      <c r="J18" s="264"/>
    </row>
    <row r="19" spans="1:11">
      <c r="A19" s="194">
        <v>45991</v>
      </c>
      <c r="B19" s="218" t="s">
        <v>440</v>
      </c>
      <c r="C19" s="196">
        <v>2684.55</v>
      </c>
      <c r="D19" s="197">
        <v>0.35</v>
      </c>
      <c r="E19" s="219">
        <f>F20*D19</f>
        <v>185673.59999999998</v>
      </c>
      <c r="F19" s="199">
        <f>IF(H20&lt;=0,,(H20*D19))</f>
        <v>178290.34468188242</v>
      </c>
      <c r="G19" s="200"/>
      <c r="H19" s="200">
        <f t="shared" si="0"/>
        <v>687691.32948726078</v>
      </c>
    </row>
    <row r="20" spans="1:11">
      <c r="A20" s="194"/>
      <c r="B20" s="218" t="s">
        <v>523</v>
      </c>
      <c r="C20" s="196"/>
      <c r="D20" s="197"/>
      <c r="E20" s="199">
        <f>E24</f>
        <v>530496</v>
      </c>
      <c r="F20" s="199">
        <f>E20</f>
        <v>530496</v>
      </c>
      <c r="G20" s="200"/>
      <c r="H20" s="200">
        <f t="shared" si="0"/>
        <v>509400.98480537836</v>
      </c>
    </row>
    <row r="21" spans="1:11" ht="15.75">
      <c r="A21" s="194"/>
      <c r="B21" s="257" t="s">
        <v>458</v>
      </c>
      <c r="C21" s="196"/>
      <c r="D21" s="197"/>
      <c r="E21" s="199"/>
      <c r="F21" s="258">
        <v>22000</v>
      </c>
      <c r="G21" s="200"/>
      <c r="H21" s="200">
        <f t="shared" si="0"/>
        <v>-21095.015194621636</v>
      </c>
    </row>
    <row r="22" spans="1:11" ht="13.5" thickBot="1">
      <c r="A22" s="194">
        <v>45626</v>
      </c>
      <c r="C22" s="196"/>
      <c r="D22" s="197"/>
      <c r="E22" s="199"/>
      <c r="F22" s="199"/>
      <c r="G22" s="200">
        <v>219000</v>
      </c>
      <c r="H22" s="200">
        <f>H27+F22-G22</f>
        <v>-43095.015194621636</v>
      </c>
      <c r="I22">
        <v>240</v>
      </c>
      <c r="J22">
        <v>60</v>
      </c>
      <c r="K22">
        <f>I22*J22/100</f>
        <v>144</v>
      </c>
    </row>
    <row r="23" spans="1:11" ht="13.5" thickBot="1">
      <c r="A23" s="194"/>
      <c r="B23" s="320"/>
      <c r="C23" s="312" t="s">
        <v>456</v>
      </c>
      <c r="D23" s="312" t="s">
        <v>455</v>
      </c>
      <c r="E23" s="313" t="s">
        <v>175</v>
      </c>
      <c r="H23" s="200"/>
    </row>
    <row r="24" spans="1:11" ht="13.5" thickBot="1">
      <c r="A24" s="194"/>
      <c r="B24" s="311" t="s">
        <v>482</v>
      </c>
      <c r="C24" s="314">
        <v>24</v>
      </c>
      <c r="D24" s="314">
        <v>22104</v>
      </c>
      <c r="E24" s="315">
        <f>D24*C24</f>
        <v>530496</v>
      </c>
      <c r="H24" s="200"/>
    </row>
    <row r="25" spans="1:11" ht="13.5" thickBot="1">
      <c r="A25" s="194"/>
      <c r="B25" s="316"/>
      <c r="C25" s="317"/>
      <c r="D25" s="321" t="s">
        <v>490</v>
      </c>
      <c r="E25" s="319">
        <f>E24/12</f>
        <v>44208</v>
      </c>
      <c r="H25" s="200"/>
    </row>
    <row r="26" spans="1:11">
      <c r="A26" s="194"/>
      <c r="B26" s="218"/>
      <c r="C26" s="196"/>
      <c r="D26" s="197"/>
      <c r="E26" s="199"/>
      <c r="F26" s="199"/>
      <c r="G26" s="200"/>
      <c r="H26" s="200"/>
    </row>
    <row r="27" spans="1:11">
      <c r="A27" s="194"/>
      <c r="B27" s="218" t="s">
        <v>438</v>
      </c>
      <c r="C27" s="196"/>
      <c r="D27" s="197"/>
      <c r="E27" s="199"/>
      <c r="F27" s="199">
        <v>7080</v>
      </c>
      <c r="G27" s="200"/>
      <c r="H27" s="200">
        <f t="shared" si="0"/>
        <v>175904.98480537836</v>
      </c>
      <c r="K27">
        <f>K22+I22</f>
        <v>384</v>
      </c>
    </row>
    <row r="28" spans="1:11" ht="13.5" thickBot="1">
      <c r="A28" s="194">
        <v>45626</v>
      </c>
      <c r="B28" s="218" t="s">
        <v>437</v>
      </c>
      <c r="C28" s="224">
        <v>2657.23</v>
      </c>
      <c r="D28" s="197">
        <f>(C28/C30)-1</f>
        <v>2.2440176843369075E-2</v>
      </c>
      <c r="E28" s="219">
        <f>C28</f>
        <v>2657.23</v>
      </c>
      <c r="F28" s="199">
        <f>H29*D28</f>
        <v>3705.3145997334518</v>
      </c>
      <c r="G28" s="200"/>
      <c r="H28" s="200">
        <f t="shared" si="0"/>
        <v>168824.98480537836</v>
      </c>
      <c r="K28">
        <f>K27/12</f>
        <v>32</v>
      </c>
    </row>
    <row r="29" spans="1:11">
      <c r="A29" s="194"/>
      <c r="B29" s="218" t="s">
        <v>439</v>
      </c>
      <c r="C29" s="196"/>
      <c r="D29" s="197"/>
      <c r="E29" s="199">
        <f>E31+E30</f>
        <v>28469.068917672856</v>
      </c>
      <c r="F29" s="199">
        <f>E29</f>
        <v>28469.068917672856</v>
      </c>
      <c r="G29" s="200"/>
      <c r="H29" s="200">
        <f t="shared" si="0"/>
        <v>165119.67020564491</v>
      </c>
    </row>
    <row r="30" spans="1:11" ht="13.5" thickBot="1">
      <c r="A30" s="194">
        <v>45595</v>
      </c>
      <c r="B30" s="218" t="s">
        <v>412</v>
      </c>
      <c r="C30" s="223">
        <v>2598.91</v>
      </c>
      <c r="D30" s="197">
        <f>(C30/C32)-1</f>
        <v>2.8798650916806556E-2</v>
      </c>
      <c r="E30" s="219">
        <f>F31*D30</f>
        <v>796.92054121177785</v>
      </c>
      <c r="F30" s="199">
        <f>H31*D30</f>
        <v>3825.1925783116671</v>
      </c>
      <c r="G30" s="200"/>
      <c r="H30" s="200">
        <f t="shared" si="0"/>
        <v>136650.60128797207</v>
      </c>
    </row>
    <row r="31" spans="1:11">
      <c r="A31" s="194"/>
      <c r="B31" s="218" t="s">
        <v>436</v>
      </c>
      <c r="C31" s="196"/>
      <c r="D31" s="197"/>
      <c r="E31" s="199">
        <f>E33+E32</f>
        <v>27672.148376461078</v>
      </c>
      <c r="F31" s="199">
        <f>E31</f>
        <v>27672.148376461078</v>
      </c>
      <c r="G31" s="200"/>
      <c r="H31" s="200">
        <f t="shared" si="0"/>
        <v>132825.40870966041</v>
      </c>
    </row>
    <row r="32" spans="1:11">
      <c r="A32" s="194">
        <v>45565</v>
      </c>
      <c r="B32" s="218" t="s">
        <v>413</v>
      </c>
      <c r="C32" s="221">
        <v>2526.16</v>
      </c>
      <c r="D32" s="197">
        <f>(C32/C34)-1</f>
        <v>2.9681984559824404E-2</v>
      </c>
      <c r="E32" s="219">
        <f>F33*D32</f>
        <v>797.68733760881537</v>
      </c>
      <c r="F32" s="199">
        <f>IF(H33&lt;=0,,(H33*D32))</f>
        <v>3031.1858383726817</v>
      </c>
      <c r="G32" s="200"/>
      <c r="H32" s="200">
        <f t="shared" si="0"/>
        <v>105153.26033319932</v>
      </c>
    </row>
    <row r="33" spans="1:8">
      <c r="A33" s="194"/>
      <c r="B33" s="218" t="s">
        <v>435</v>
      </c>
      <c r="C33" s="196"/>
      <c r="D33" s="197"/>
      <c r="E33" s="199">
        <f>E35+E34</f>
        <v>26874.461038852263</v>
      </c>
      <c r="F33" s="199">
        <f>E33</f>
        <v>26874.461038852263</v>
      </c>
      <c r="G33" s="200"/>
      <c r="H33" s="200">
        <f t="shared" si="0"/>
        <v>102122.07449482664</v>
      </c>
    </row>
    <row r="34" spans="1:8">
      <c r="A34" s="194">
        <v>45534</v>
      </c>
      <c r="B34" s="218" t="s">
        <v>414</v>
      </c>
      <c r="C34" s="196">
        <v>2453.34</v>
      </c>
      <c r="D34" s="197">
        <f>(C34/C36)-1</f>
        <v>2.4744162733386421E-2</v>
      </c>
      <c r="E34" s="219">
        <f>F35*D34</f>
        <v>648.92883658262588</v>
      </c>
      <c r="F34" s="199">
        <f>IF(H35&lt;=0,,(H35*D34))</f>
        <v>1816.9795548647776</v>
      </c>
      <c r="G34" s="200"/>
      <c r="H34" s="200">
        <f t="shared" si="0"/>
        <v>75247.61345597438</v>
      </c>
    </row>
    <row r="35" spans="1:8">
      <c r="A35" s="194"/>
      <c r="B35" s="218" t="s">
        <v>434</v>
      </c>
      <c r="C35" s="196"/>
      <c r="D35" s="197"/>
      <c r="E35" s="199">
        <f>E37+E36</f>
        <v>26225.532202269638</v>
      </c>
      <c r="F35" s="199">
        <f>E35</f>
        <v>26225.532202269638</v>
      </c>
      <c r="G35" s="200"/>
      <c r="H35" s="200">
        <f t="shared" si="0"/>
        <v>73430.633901109599</v>
      </c>
    </row>
    <row r="36" spans="1:8">
      <c r="A36" s="194">
        <v>45503</v>
      </c>
      <c r="B36" s="218" t="s">
        <v>415</v>
      </c>
      <c r="C36" s="196">
        <v>2394.1</v>
      </c>
      <c r="D36" s="197">
        <f>(C36/C38)-1</f>
        <v>3.2255560969089547E-2</v>
      </c>
      <c r="E36" s="219">
        <f>F37*D36</f>
        <v>819.48626375330343</v>
      </c>
      <c r="F36" s="199">
        <f>IF(H37&lt;=0,,(H37*D36))</f>
        <v>1475.0485184788452</v>
      </c>
      <c r="G36" s="200"/>
      <c r="H36" s="200">
        <f t="shared" si="0"/>
        <v>47205.101698839957</v>
      </c>
    </row>
    <row r="37" spans="1:8">
      <c r="A37" s="194"/>
      <c r="B37" s="218" t="s">
        <v>433</v>
      </c>
      <c r="C37" s="196"/>
      <c r="D37" s="197"/>
      <c r="E37" s="199">
        <f>E39+E38</f>
        <v>25406.045938516334</v>
      </c>
      <c r="F37" s="199">
        <f>E37</f>
        <v>25406.045938516334</v>
      </c>
      <c r="G37" s="200"/>
      <c r="H37" s="200">
        <f t="shared" si="0"/>
        <v>45730.053180361108</v>
      </c>
    </row>
    <row r="38" spans="1:8">
      <c r="A38" s="194">
        <v>45473</v>
      </c>
      <c r="B38" s="218" t="s">
        <v>416</v>
      </c>
      <c r="C38" s="196">
        <v>2319.29</v>
      </c>
      <c r="D38" s="197">
        <f>(C38/C40)-1</f>
        <v>1.6407739334312055E-2</v>
      </c>
      <c r="E38" s="219">
        <f>F39*D38</f>
        <v>410.12653007517417</v>
      </c>
      <c r="F38" s="199">
        <f>IF(H39&lt;=0,,(H39*D38))</f>
        <v>328.0878334036139</v>
      </c>
      <c r="G38" s="200"/>
      <c r="H38" s="200">
        <f t="shared" si="0"/>
        <v>20324.007241844774</v>
      </c>
    </row>
    <row r="39" spans="1:8">
      <c r="A39" s="194"/>
      <c r="B39" s="218" t="s">
        <v>432</v>
      </c>
      <c r="C39" s="196"/>
      <c r="D39" s="197"/>
      <c r="E39" s="199">
        <f>E41+E40</f>
        <v>24995.919408441161</v>
      </c>
      <c r="F39" s="199">
        <f>E39</f>
        <v>24995.919408441161</v>
      </c>
      <c r="G39" s="200"/>
      <c r="H39" s="200">
        <f t="shared" ref="H39:H51" si="1">H40+F39-G39</f>
        <v>19995.919408441161</v>
      </c>
    </row>
    <row r="40" spans="1:8">
      <c r="A40" s="194">
        <v>45442</v>
      </c>
      <c r="B40" s="218" t="s">
        <v>417</v>
      </c>
      <c r="C40" s="196">
        <v>2281.85</v>
      </c>
      <c r="D40" s="197">
        <f>(C40/C42)-1</f>
        <v>3.3680634201585402E-2</v>
      </c>
      <c r="E40" s="219">
        <f>F41*D40</f>
        <v>673.612684031708</v>
      </c>
      <c r="F40" s="199">
        <f>IF(H41&lt;=0,,(H41*D40))</f>
        <v>0</v>
      </c>
      <c r="G40" s="200"/>
      <c r="H40" s="200">
        <f t="shared" si="1"/>
        <v>-5000</v>
      </c>
    </row>
    <row r="41" spans="1:8">
      <c r="A41" s="194"/>
      <c r="B41" s="218" t="s">
        <v>431</v>
      </c>
      <c r="C41" s="196"/>
      <c r="D41" s="197"/>
      <c r="E41" s="199">
        <f>E43+E42</f>
        <v>24322.306724409453</v>
      </c>
      <c r="F41" s="199">
        <f>F43</f>
        <v>20000</v>
      </c>
      <c r="G41" s="200"/>
      <c r="H41" s="200">
        <f t="shared" si="1"/>
        <v>-5000</v>
      </c>
    </row>
    <row r="42" spans="1:8">
      <c r="A42" s="194">
        <v>45412</v>
      </c>
      <c r="B42" s="218" t="s">
        <v>418</v>
      </c>
      <c r="C42" s="196">
        <v>2207.5</v>
      </c>
      <c r="D42" s="197">
        <f>(C42/C44)-1</f>
        <v>3.1797594731405532E-2</v>
      </c>
      <c r="E42" s="219">
        <f>F43*D42</f>
        <v>635.95189462811061</v>
      </c>
      <c r="F42" s="199">
        <f>IF(H43&lt;=0,,(H43*D42))</f>
        <v>0</v>
      </c>
      <c r="G42" s="200"/>
      <c r="H42" s="200">
        <f t="shared" si="1"/>
        <v>-25000</v>
      </c>
    </row>
    <row r="43" spans="1:8">
      <c r="A43" s="194"/>
      <c r="B43" s="218" t="s">
        <v>430</v>
      </c>
      <c r="C43" s="196"/>
      <c r="D43" s="197"/>
      <c r="E43" s="199">
        <f>E45+E44</f>
        <v>23686.354829781343</v>
      </c>
      <c r="F43" s="199">
        <f>F45</f>
        <v>20000</v>
      </c>
      <c r="G43" s="200"/>
      <c r="H43" s="200">
        <f t="shared" si="1"/>
        <v>-25000</v>
      </c>
    </row>
    <row r="44" spans="1:8">
      <c r="A44" s="194">
        <v>45381</v>
      </c>
      <c r="B44" s="218" t="s">
        <v>419</v>
      </c>
      <c r="C44" s="196">
        <v>2139.4699999999998</v>
      </c>
      <c r="D44" s="197">
        <f>(C44/C46)-1</f>
        <v>3.1626709356375349E-2</v>
      </c>
      <c r="E44" s="219">
        <f>E45*D44</f>
        <v>726.15554940492348</v>
      </c>
      <c r="F44" s="199">
        <f>IF(H45&lt;=0,,(H45*D44))</f>
        <v>0</v>
      </c>
      <c r="G44" s="200"/>
      <c r="H44" s="200">
        <f t="shared" si="1"/>
        <v>-45000</v>
      </c>
    </row>
    <row r="45" spans="1:8">
      <c r="A45" s="194"/>
      <c r="B45" s="218" t="s">
        <v>429</v>
      </c>
      <c r="C45" s="196"/>
      <c r="D45" s="197"/>
      <c r="E45" s="199">
        <f>E47+E46</f>
        <v>22960.199280376419</v>
      </c>
      <c r="F45" s="199">
        <f>F47</f>
        <v>20000</v>
      </c>
      <c r="G45" s="200"/>
      <c r="H45" s="200">
        <f t="shared" si="1"/>
        <v>-45000</v>
      </c>
    </row>
    <row r="46" spans="1:8">
      <c r="A46" s="194">
        <v>45351</v>
      </c>
      <c r="B46" s="218" t="s">
        <v>420</v>
      </c>
      <c r="C46" s="196">
        <v>2073.88</v>
      </c>
      <c r="D46" s="197">
        <f>(C46/C48)-1</f>
        <v>4.5291882138285056E-2</v>
      </c>
      <c r="E46" s="219">
        <f>E47*D46</f>
        <v>994.85192360919234</v>
      </c>
      <c r="F46" s="199">
        <f>IF(H47&lt;=0,,(H47*D46))</f>
        <v>0</v>
      </c>
      <c r="G46" s="200"/>
      <c r="H46" s="200">
        <f t="shared" si="1"/>
        <v>-65000</v>
      </c>
    </row>
    <row r="47" spans="1:8">
      <c r="A47" s="300"/>
      <c r="B47" s="301" t="s">
        <v>428</v>
      </c>
      <c r="C47" s="302"/>
      <c r="D47" s="303"/>
      <c r="E47" s="305">
        <f>E50+E48</f>
        <v>21965.347356767226</v>
      </c>
      <c r="F47" s="307">
        <f>F50</f>
        <v>20000</v>
      </c>
      <c r="G47" s="306"/>
      <c r="H47" s="306">
        <f t="shared" si="1"/>
        <v>-65000</v>
      </c>
    </row>
    <row r="48" spans="1:8">
      <c r="A48" s="194">
        <v>45321</v>
      </c>
      <c r="B48" s="218" t="s">
        <v>421</v>
      </c>
      <c r="C48" s="196">
        <v>1984.02</v>
      </c>
      <c r="D48" s="197">
        <f>(C48/C51)-1</f>
        <v>6.7033097053856627E-2</v>
      </c>
      <c r="E48" s="219">
        <f>E50*D48</f>
        <v>1379.9058953778017</v>
      </c>
      <c r="F48" s="199">
        <f>IF(H49&lt;=0,,(H49*D48))</f>
        <v>0</v>
      </c>
      <c r="G48" s="200"/>
      <c r="H48" s="200">
        <f t="shared" si="1"/>
        <v>-85000</v>
      </c>
    </row>
    <row r="49" spans="1:8">
      <c r="A49" s="194"/>
      <c r="B49" s="218" t="s">
        <v>441</v>
      </c>
      <c r="C49" s="196"/>
      <c r="D49" s="197"/>
      <c r="E49" s="199"/>
      <c r="F49" s="199">
        <v>10000</v>
      </c>
      <c r="G49" s="200"/>
      <c r="H49" s="200">
        <f t="shared" si="1"/>
        <v>-85000</v>
      </c>
    </row>
    <row r="50" spans="1:8">
      <c r="A50" s="300"/>
      <c r="B50" s="301" t="s">
        <v>427</v>
      </c>
      <c r="C50" s="302"/>
      <c r="D50" s="303"/>
      <c r="E50" s="305">
        <f>F52+E51</f>
        <v>20585.441461389426</v>
      </c>
      <c r="F50" s="307">
        <f>F52</f>
        <v>20000</v>
      </c>
      <c r="G50" s="306"/>
      <c r="H50" s="306">
        <f>H51+F50-G50</f>
        <v>-95000</v>
      </c>
    </row>
    <row r="51" spans="1:8">
      <c r="A51" s="194">
        <v>45290</v>
      </c>
      <c r="B51" s="218" t="s">
        <v>423</v>
      </c>
      <c r="C51" s="196">
        <v>1859.38</v>
      </c>
      <c r="D51" s="197">
        <f>(C51/C54)-1</f>
        <v>2.9272073069471327E-2</v>
      </c>
      <c r="E51" s="219">
        <f>F52*D51</f>
        <v>585.44146138942654</v>
      </c>
      <c r="F51" s="199">
        <f>IF(H52&lt;=0,,(H52*D51))</f>
        <v>0</v>
      </c>
      <c r="G51" s="200"/>
      <c r="H51" s="200">
        <f t="shared" si="1"/>
        <v>-115000</v>
      </c>
    </row>
    <row r="52" spans="1:8">
      <c r="A52" s="300"/>
      <c r="B52" s="301" t="s">
        <v>426</v>
      </c>
      <c r="C52" s="302"/>
      <c r="D52" s="303"/>
      <c r="E52" s="304"/>
      <c r="F52" s="305">
        <v>20000</v>
      </c>
      <c r="G52" s="306"/>
      <c r="H52" s="306">
        <f>H53+F52-G52</f>
        <v>-115000</v>
      </c>
    </row>
    <row r="53" spans="1:8">
      <c r="A53" s="194"/>
      <c r="B53" s="218"/>
      <c r="C53" s="196"/>
      <c r="D53" s="197"/>
      <c r="E53" s="198"/>
      <c r="F53" s="199"/>
      <c r="G53" s="200">
        <v>135000</v>
      </c>
      <c r="H53" s="200">
        <f>H55+F53-G53</f>
        <v>-135000</v>
      </c>
    </row>
    <row r="54" spans="1:8">
      <c r="A54" s="194">
        <v>45260</v>
      </c>
      <c r="B54" s="218" t="s">
        <v>424</v>
      </c>
      <c r="C54" s="196">
        <v>1806.5</v>
      </c>
      <c r="D54" s="197"/>
      <c r="E54" s="219"/>
      <c r="F54" s="199"/>
      <c r="G54" s="200"/>
      <c r="H54" s="200"/>
    </row>
    <row r="55" spans="1:8">
      <c r="A55" s="194"/>
      <c r="B55" s="218"/>
      <c r="C55" s="196"/>
      <c r="D55" s="197"/>
      <c r="E55" s="199"/>
      <c r="F55" s="199"/>
      <c r="G55" s="200"/>
      <c r="H55" s="200"/>
    </row>
    <row r="56" spans="1:8">
      <c r="A56" s="194"/>
      <c r="B56" s="200"/>
      <c r="C56" s="196"/>
      <c r="D56" s="197"/>
      <c r="E56" s="198"/>
      <c r="F56" s="199"/>
      <c r="G56" s="200"/>
      <c r="H56" s="200"/>
    </row>
    <row r="57" spans="1:8">
      <c r="A57" s="194"/>
      <c r="B57" s="218"/>
      <c r="C57" s="196"/>
      <c r="D57" s="197"/>
      <c r="E57" s="219"/>
      <c r="F57" s="199"/>
      <c r="G57" s="200"/>
      <c r="H57" s="200"/>
    </row>
    <row r="58" spans="1:8">
      <c r="A58" s="194"/>
      <c r="B58" s="218"/>
      <c r="C58" s="196"/>
      <c r="D58" s="197"/>
      <c r="E58" s="199"/>
      <c r="F58" s="199"/>
      <c r="G58" s="200"/>
      <c r="H58" s="200"/>
    </row>
    <row r="59" spans="1:8">
      <c r="A59" s="194"/>
      <c r="B59" s="218"/>
      <c r="C59" s="196"/>
      <c r="D59" s="197"/>
      <c r="E59" s="198"/>
      <c r="F59" s="199"/>
      <c r="G59" s="200"/>
      <c r="H59" s="200"/>
    </row>
    <row r="60" spans="1:8">
      <c r="A60" s="194"/>
      <c r="B60" s="218"/>
      <c r="C60" s="196"/>
      <c r="D60" s="197"/>
      <c r="E60" s="198"/>
      <c r="F60" s="199"/>
      <c r="G60" s="200"/>
      <c r="H60" s="200"/>
    </row>
    <row r="61" spans="1:8">
      <c r="A61" s="194"/>
      <c r="B61" s="218"/>
      <c r="C61" s="196"/>
      <c r="D61" s="197"/>
      <c r="E61" s="198"/>
      <c r="F61" s="199"/>
      <c r="G61" s="200"/>
      <c r="H61" s="200"/>
    </row>
    <row r="62" spans="1:8">
      <c r="A62" s="194"/>
      <c r="B62" s="200"/>
      <c r="C62" s="196"/>
      <c r="D62" s="197"/>
      <c r="E62" s="198"/>
      <c r="F62" s="199"/>
      <c r="G62" s="200"/>
      <c r="H62" s="200"/>
    </row>
    <row r="63" spans="1:8">
      <c r="A63" s="194"/>
      <c r="B63" s="218"/>
      <c r="C63" s="196"/>
      <c r="D63" s="197"/>
      <c r="E63" s="219"/>
      <c r="F63" s="199"/>
      <c r="G63" s="220"/>
      <c r="H63" s="200"/>
    </row>
    <row r="64" spans="1:8">
      <c r="A64" s="194"/>
      <c r="B64" s="218"/>
      <c r="C64" s="196"/>
      <c r="D64" s="197"/>
      <c r="E64" s="199"/>
      <c r="F64" s="199"/>
      <c r="G64" s="220"/>
      <c r="H64" s="200"/>
    </row>
    <row r="65" spans="1:8">
      <c r="A65" s="194"/>
      <c r="B65" s="200"/>
      <c r="C65" s="196"/>
      <c r="D65" s="197"/>
      <c r="E65" s="198"/>
      <c r="F65" s="199"/>
      <c r="G65" s="200"/>
      <c r="H65" s="20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69E-8356-4324-A959-1EA6F446C492}">
  <dimension ref="A1:I91"/>
  <sheetViews>
    <sheetView zoomScale="145" zoomScaleNormal="145" workbookViewId="0">
      <selection activeCell="B12" sqref="B12"/>
    </sheetView>
  </sheetViews>
  <sheetFormatPr defaultRowHeight="12.75"/>
  <cols>
    <col min="1" max="1" width="13" style="7" customWidth="1"/>
    <col min="2" max="2" width="32" style="3" customWidth="1"/>
    <col min="3" max="4" width="7.28515625" style="3" customWidth="1"/>
    <col min="5" max="5" width="12.5703125" style="3" customWidth="1"/>
    <col min="6" max="6" width="12.140625" style="3" customWidth="1"/>
    <col min="7" max="7" width="13" style="3" bestFit="1" customWidth="1"/>
    <col min="8" max="8" width="10.5703125" style="3" customWidth="1"/>
    <col min="9" max="9" width="11.28515625" style="3" customWidth="1"/>
    <col min="10" max="61" width="12.140625" customWidth="1"/>
    <col min="62" max="62" width="9.140625" customWidth="1"/>
  </cols>
  <sheetData>
    <row r="1" spans="1:7" ht="15.75">
      <c r="B1" s="179" t="s">
        <v>401</v>
      </c>
      <c r="C1" s="8"/>
      <c r="D1" s="8"/>
      <c r="G1" s="9" t="s">
        <v>140</v>
      </c>
    </row>
    <row r="2" spans="1:7">
      <c r="B2" s="8"/>
      <c r="C2" s="8"/>
      <c r="D2" s="8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14"/>
      <c r="D4" s="14"/>
      <c r="E4" s="15">
        <f>SUM(E9:E20)</f>
        <v>132624</v>
      </c>
      <c r="F4" s="16">
        <f>SUM(F9:F20)</f>
        <v>0</v>
      </c>
      <c r="G4" s="17">
        <f>G20</f>
        <v>132624</v>
      </c>
    </row>
    <row r="5" spans="1:7">
      <c r="B5" s="14" t="s">
        <v>27</v>
      </c>
      <c r="C5" s="14"/>
      <c r="D5" s="14"/>
      <c r="E5" s="18">
        <f>G40</f>
        <v>0</v>
      </c>
      <c r="G5"/>
    </row>
    <row r="6" spans="1:7">
      <c r="B6" s="14" t="s">
        <v>5</v>
      </c>
      <c r="C6"/>
      <c r="D6"/>
      <c r="E6" s="19">
        <f>G37</f>
        <v>-800</v>
      </c>
      <c r="F6" s="14"/>
      <c r="G6" s="9"/>
    </row>
    <row r="7" spans="1:7">
      <c r="A7" s="20"/>
      <c r="B7" s="21"/>
      <c r="C7" s="22"/>
      <c r="D7" s="22"/>
      <c r="E7" s="21"/>
      <c r="F7" s="56" t="s">
        <v>28</v>
      </c>
      <c r="G7" s="23">
        <f>F4-E5</f>
        <v>0</v>
      </c>
    </row>
    <row r="8" spans="1:7">
      <c r="B8" s="14" t="s">
        <v>29</v>
      </c>
      <c r="C8"/>
      <c r="D8"/>
      <c r="E8"/>
    </row>
    <row r="9" spans="1:7">
      <c r="A9" s="7">
        <v>45806</v>
      </c>
      <c r="B9" t="s">
        <v>496</v>
      </c>
      <c r="C9">
        <v>6</v>
      </c>
      <c r="D9">
        <v>22104</v>
      </c>
      <c r="E9" s="24">
        <f>D9*C9</f>
        <v>132624</v>
      </c>
      <c r="F9" s="25"/>
      <c r="G9" s="3">
        <f>E9-F9</f>
        <v>132624</v>
      </c>
    </row>
    <row r="10" spans="1:7">
      <c r="B10" s="14"/>
      <c r="C10"/>
      <c r="D10"/>
      <c r="E10" s="24"/>
      <c r="F10" s="25"/>
      <c r="G10" s="3">
        <f t="shared" ref="G10:G20" si="0">E10-F10+G9</f>
        <v>132624</v>
      </c>
    </row>
    <row r="11" spans="1:7">
      <c r="B11"/>
      <c r="C11"/>
      <c r="D11"/>
      <c r="E11" s="24"/>
      <c r="F11" s="25"/>
      <c r="G11" s="3">
        <f t="shared" si="0"/>
        <v>132624</v>
      </c>
    </row>
    <row r="12" spans="1:7" ht="15">
      <c r="B12" s="293">
        <v>45739</v>
      </c>
      <c r="C12" s="92"/>
      <c r="D12" s="92"/>
      <c r="E12" s="24"/>
      <c r="F12" s="25"/>
      <c r="G12" s="3">
        <f t="shared" si="0"/>
        <v>132624</v>
      </c>
    </row>
    <row r="13" spans="1:7">
      <c r="B13"/>
      <c r="C13" s="92"/>
      <c r="D13" s="92"/>
      <c r="E13" s="24"/>
      <c r="F13" s="25"/>
      <c r="G13" s="3">
        <f t="shared" si="0"/>
        <v>132624</v>
      </c>
    </row>
    <row r="14" spans="1:7">
      <c r="B14"/>
      <c r="C14" s="92"/>
      <c r="D14" s="92"/>
      <c r="E14" s="27"/>
      <c r="F14" s="28"/>
      <c r="G14" s="3">
        <f t="shared" si="0"/>
        <v>132624</v>
      </c>
    </row>
    <row r="15" spans="1:7">
      <c r="B15"/>
      <c r="C15" s="92"/>
      <c r="D15" s="92"/>
      <c r="E15" s="27"/>
      <c r="F15" s="28"/>
      <c r="G15" s="3">
        <f t="shared" si="0"/>
        <v>132624</v>
      </c>
    </row>
    <row r="16" spans="1:7">
      <c r="A16" s="26"/>
      <c r="B16"/>
      <c r="C16"/>
      <c r="D16"/>
      <c r="E16" s="27"/>
      <c r="F16" s="28"/>
      <c r="G16" s="3">
        <f t="shared" si="0"/>
        <v>132624</v>
      </c>
    </row>
    <row r="17" spans="1:7">
      <c r="A17" s="26"/>
      <c r="B17"/>
      <c r="C17"/>
      <c r="D17"/>
      <c r="E17" s="27"/>
      <c r="F17" s="28"/>
      <c r="G17" s="3">
        <f t="shared" si="0"/>
        <v>132624</v>
      </c>
    </row>
    <row r="18" spans="1:7">
      <c r="A18" s="26"/>
      <c r="B18"/>
      <c r="C18"/>
      <c r="D18"/>
      <c r="E18" s="27"/>
      <c r="F18" s="28"/>
      <c r="G18" s="3">
        <f t="shared" si="0"/>
        <v>132624</v>
      </c>
    </row>
    <row r="19" spans="1:7">
      <c r="A19" s="26"/>
      <c r="B19"/>
      <c r="C19"/>
      <c r="D19"/>
      <c r="E19" s="27"/>
      <c r="F19" s="28"/>
      <c r="G19" s="3">
        <f t="shared" si="0"/>
        <v>132624</v>
      </c>
    </row>
    <row r="20" spans="1:7">
      <c r="A20" s="26"/>
      <c r="B20"/>
      <c r="C20"/>
      <c r="D20"/>
      <c r="E20" s="27"/>
      <c r="F20" s="28"/>
      <c r="G20" s="29">
        <f t="shared" si="0"/>
        <v>132624</v>
      </c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32" t="s">
        <v>30</v>
      </c>
      <c r="B23" s="21" t="s">
        <v>31</v>
      </c>
      <c r="C23" s="21" t="s">
        <v>32</v>
      </c>
      <c r="D23" s="21"/>
      <c r="E23" s="33" t="s">
        <v>33</v>
      </c>
      <c r="F23" s="34"/>
      <c r="G23" s="34" t="s">
        <v>338</v>
      </c>
    </row>
    <row r="24" spans="1:7">
      <c r="A24" s="26"/>
      <c r="B24" t="s">
        <v>34</v>
      </c>
      <c r="C24"/>
      <c r="D24"/>
      <c r="E24" s="30"/>
      <c r="F24" s="31"/>
      <c r="G24" s="31">
        <v>-800</v>
      </c>
    </row>
    <row r="25" spans="1:7">
      <c r="A25" s="26"/>
      <c r="B25" t="s">
        <v>86</v>
      </c>
      <c r="C25">
        <v>0</v>
      </c>
      <c r="D25"/>
      <c r="E25" s="31"/>
      <c r="F25" s="31"/>
      <c r="G25" s="31">
        <f t="shared" ref="G25:G36" si="1">E25-F25+G24</f>
        <v>-800</v>
      </c>
    </row>
    <row r="26" spans="1:7">
      <c r="A26" s="26"/>
      <c r="B26" t="s">
        <v>35</v>
      </c>
      <c r="C26">
        <v>0</v>
      </c>
      <c r="D26"/>
      <c r="E26" s="31"/>
      <c r="F26" s="31"/>
      <c r="G26" s="31">
        <f t="shared" si="1"/>
        <v>-800</v>
      </c>
    </row>
    <row r="27" spans="1:7">
      <c r="A27" s="26"/>
      <c r="B27" t="s">
        <v>36</v>
      </c>
      <c r="C27"/>
      <c r="D27"/>
      <c r="E27" s="31"/>
      <c r="F27" s="31"/>
      <c r="G27" s="31">
        <f t="shared" si="1"/>
        <v>-800</v>
      </c>
    </row>
    <row r="28" spans="1:7">
      <c r="A28" s="26"/>
      <c r="B28" t="s">
        <v>37</v>
      </c>
      <c r="C28"/>
      <c r="D28"/>
      <c r="E28" s="31"/>
      <c r="F28" s="31"/>
      <c r="G28" s="31">
        <f t="shared" si="1"/>
        <v>-800</v>
      </c>
    </row>
    <row r="29" spans="1:7">
      <c r="A29" s="26"/>
      <c r="B29" t="s">
        <v>38</v>
      </c>
      <c r="C29"/>
      <c r="D29"/>
      <c r="E29" s="31"/>
      <c r="F29" s="31"/>
      <c r="G29" s="31">
        <f t="shared" si="1"/>
        <v>-800</v>
      </c>
    </row>
    <row r="30" spans="1:7">
      <c r="A30" s="26"/>
      <c r="B30" t="s">
        <v>87</v>
      </c>
      <c r="C30"/>
      <c r="D30"/>
      <c r="E30" s="31"/>
      <c r="F30" s="31"/>
      <c r="G30" s="31">
        <f t="shared" si="1"/>
        <v>-800</v>
      </c>
    </row>
    <row r="31" spans="1:7">
      <c r="A31" s="26"/>
      <c r="B31" t="s">
        <v>88</v>
      </c>
      <c r="C31"/>
      <c r="D31"/>
      <c r="E31" s="31"/>
      <c r="F31" s="31"/>
      <c r="G31" s="31">
        <f t="shared" si="1"/>
        <v>-800</v>
      </c>
    </row>
    <row r="32" spans="1:7">
      <c r="A32" s="26"/>
      <c r="B32" t="s">
        <v>89</v>
      </c>
      <c r="C32"/>
      <c r="D32"/>
      <c r="E32" s="31"/>
      <c r="F32" s="31"/>
      <c r="G32" s="31">
        <f t="shared" si="1"/>
        <v>-800</v>
      </c>
    </row>
    <row r="33" spans="1:7">
      <c r="A33" s="26"/>
      <c r="B33" t="s">
        <v>90</v>
      </c>
      <c r="C33"/>
      <c r="D33"/>
      <c r="E33" s="30"/>
      <c r="F33" s="31"/>
      <c r="G33" s="31">
        <f t="shared" si="1"/>
        <v>-800</v>
      </c>
    </row>
    <row r="34" spans="1:7">
      <c r="A34" s="26"/>
      <c r="B34" t="s">
        <v>39</v>
      </c>
      <c r="C34"/>
      <c r="D34"/>
      <c r="E34" s="30"/>
      <c r="F34" s="31"/>
      <c r="G34" s="31">
        <f t="shared" si="1"/>
        <v>-800</v>
      </c>
    </row>
    <row r="35" spans="1:7">
      <c r="A35" s="26"/>
      <c r="B35" t="s">
        <v>40</v>
      </c>
      <c r="C35"/>
      <c r="D35"/>
      <c r="E35" s="30"/>
      <c r="F35" s="31"/>
      <c r="G35" s="31">
        <f t="shared" si="1"/>
        <v>-800</v>
      </c>
    </row>
    <row r="36" spans="1:7">
      <c r="A36" s="32"/>
      <c r="B36" s="21" t="s">
        <v>41</v>
      </c>
      <c r="C36" s="21"/>
      <c r="D36" s="21"/>
      <c r="E36" s="33"/>
      <c r="F36" s="34"/>
      <c r="G36" s="34">
        <f t="shared" si="1"/>
        <v>-800</v>
      </c>
    </row>
    <row r="37" spans="1:7">
      <c r="A37" s="35">
        <v>45291</v>
      </c>
      <c r="B37" s="36" t="s">
        <v>34</v>
      </c>
      <c r="C37" s="36">
        <f>SUM(C25:C36)</f>
        <v>0</v>
      </c>
      <c r="D37" s="36"/>
      <c r="E37" s="37"/>
      <c r="F37" s="38"/>
      <c r="G37" s="39">
        <f>E37-F37+G36</f>
        <v>-800</v>
      </c>
    </row>
    <row r="38" spans="1:7">
      <c r="A38" s="26"/>
      <c r="B38"/>
      <c r="C38"/>
      <c r="D38"/>
      <c r="E38" s="30"/>
      <c r="F38" s="30"/>
      <c r="G38" s="30"/>
    </row>
    <row r="39" spans="1:7">
      <c r="B39"/>
      <c r="C39"/>
      <c r="D39"/>
    </row>
    <row r="40" spans="1:7">
      <c r="A40" s="88" t="s">
        <v>252</v>
      </c>
      <c r="B40" s="40" t="s">
        <v>165</v>
      </c>
      <c r="C40" s="40"/>
      <c r="D40" s="40"/>
      <c r="E40" s="41"/>
      <c r="F40" s="42"/>
      <c r="G40" s="43">
        <f>SUM(F41:F63)</f>
        <v>0</v>
      </c>
    </row>
    <row r="41" spans="1:7">
      <c r="B41" s="8"/>
      <c r="C41" s="8"/>
      <c r="D41" s="8"/>
      <c r="E41"/>
      <c r="F41"/>
      <c r="G41"/>
    </row>
    <row r="42" spans="1:7">
      <c r="A42" s="308"/>
      <c r="B42" s="309" t="s">
        <v>494</v>
      </c>
      <c r="C42" s="309"/>
      <c r="D42" s="309"/>
      <c r="E42" s="254"/>
      <c r="F42" s="254"/>
      <c r="G42" s="254"/>
    </row>
    <row r="43" spans="1:7">
      <c r="B43" s="8"/>
      <c r="C43" s="8"/>
      <c r="D43" s="8"/>
      <c r="E43"/>
      <c r="F43"/>
      <c r="G43"/>
    </row>
    <row r="44" spans="1:7">
      <c r="B44" s="8"/>
      <c r="C44" s="8">
        <v>12</v>
      </c>
      <c r="D44" s="8">
        <v>22102</v>
      </c>
      <c r="E44">
        <f>D44*C44</f>
        <v>265224</v>
      </c>
      <c r="F44"/>
      <c r="G44"/>
    </row>
    <row r="45" spans="1:7">
      <c r="B45" s="8"/>
      <c r="C45" s="8"/>
      <c r="D45" s="8"/>
      <c r="E45"/>
      <c r="F45"/>
      <c r="G45"/>
    </row>
    <row r="46" spans="1:7">
      <c r="B46" s="8"/>
      <c r="C46" s="8"/>
      <c r="D46" s="8"/>
      <c r="E46"/>
      <c r="F46"/>
      <c r="G46"/>
    </row>
    <row r="47" spans="1:7">
      <c r="B47" s="8"/>
      <c r="C47" s="8"/>
      <c r="D47" s="8"/>
      <c r="E47"/>
      <c r="F47"/>
      <c r="G47"/>
    </row>
    <row r="48" spans="1:7">
      <c r="B48" s="8"/>
      <c r="C48" s="8"/>
      <c r="D48" s="8"/>
      <c r="E48"/>
      <c r="F48"/>
      <c r="G48"/>
    </row>
    <row r="49" spans="1:9">
      <c r="B49" s="8"/>
      <c r="C49" s="8"/>
      <c r="D49" s="8"/>
      <c r="E49"/>
      <c r="F49"/>
      <c r="G49"/>
    </row>
    <row r="50" spans="1:9">
      <c r="B50" s="8"/>
      <c r="C50" s="8"/>
      <c r="D50" s="8"/>
      <c r="E50"/>
      <c r="F50"/>
      <c r="G50"/>
    </row>
    <row r="51" spans="1:9">
      <c r="B51" s="8"/>
      <c r="C51" s="8"/>
      <c r="D51" s="8"/>
      <c r="E51"/>
      <c r="F51"/>
      <c r="G51"/>
    </row>
    <row r="52" spans="1:9">
      <c r="B52" s="8"/>
      <c r="C52" s="8"/>
      <c r="D52" s="8"/>
      <c r="E52"/>
      <c r="F52"/>
      <c r="G52"/>
    </row>
    <row r="53" spans="1:9">
      <c r="B53" s="8"/>
      <c r="C53" s="8"/>
      <c r="D53" s="8"/>
      <c r="E53"/>
      <c r="F53"/>
      <c r="G53"/>
    </row>
    <row r="54" spans="1:9">
      <c r="B54" s="8"/>
      <c r="C54" s="8"/>
      <c r="D54" s="8"/>
      <c r="E54"/>
      <c r="F54"/>
      <c r="G54"/>
    </row>
    <row r="55" spans="1:9">
      <c r="A55" s="308"/>
      <c r="B55" s="309" t="s">
        <v>493</v>
      </c>
      <c r="C55" s="309"/>
      <c r="D55" s="309"/>
      <c r="E55" s="254"/>
      <c r="F55" s="254"/>
      <c r="G55" s="254"/>
    </row>
    <row r="56" spans="1:9">
      <c r="B56" s="1" t="s">
        <v>143</v>
      </c>
      <c r="C56" s="1"/>
      <c r="D56" s="1"/>
    </row>
    <row r="57" spans="1:9">
      <c r="A57" s="7">
        <v>45402</v>
      </c>
      <c r="B57" t="s">
        <v>383</v>
      </c>
      <c r="C57"/>
      <c r="D57"/>
    </row>
    <row r="58" spans="1:9">
      <c r="B58" t="s">
        <v>384</v>
      </c>
      <c r="C58"/>
      <c r="D58"/>
      <c r="E58" s="3">
        <v>204024</v>
      </c>
    </row>
    <row r="59" spans="1:9">
      <c r="A59" s="7">
        <v>45402</v>
      </c>
      <c r="B59" t="s">
        <v>146</v>
      </c>
      <c r="C59"/>
      <c r="D59"/>
    </row>
    <row r="60" spans="1:9">
      <c r="B60"/>
      <c r="C60"/>
      <c r="D60"/>
    </row>
    <row r="61" spans="1:9">
      <c r="A61" s="7">
        <v>45449</v>
      </c>
      <c r="B61" t="s">
        <v>147</v>
      </c>
      <c r="C61"/>
      <c r="D61"/>
    </row>
    <row r="62" spans="1:9">
      <c r="A62" s="7">
        <v>45813</v>
      </c>
      <c r="B62" t="s">
        <v>148</v>
      </c>
      <c r="C62"/>
      <c r="D62"/>
      <c r="F62"/>
    </row>
    <row r="63" spans="1:9">
      <c r="B63" t="s">
        <v>385</v>
      </c>
      <c r="C63">
        <f>A62-A59</f>
        <v>411</v>
      </c>
      <c r="D63"/>
      <c r="E63"/>
      <c r="F63"/>
    </row>
    <row r="64" spans="1:9">
      <c r="B64"/>
      <c r="C64"/>
      <c r="D64"/>
      <c r="E64"/>
      <c r="F64"/>
      <c r="H64"/>
      <c r="I64"/>
    </row>
    <row r="65" spans="1:9">
      <c r="F65" s="57"/>
      <c r="H65"/>
      <c r="I65"/>
    </row>
    <row r="66" spans="1:9">
      <c r="A66" s="145">
        <v>45402</v>
      </c>
      <c r="B66" t="s">
        <v>383</v>
      </c>
      <c r="C66" s="147"/>
      <c r="D66" s="147"/>
      <c r="E66" s="148"/>
      <c r="F66" s="148"/>
      <c r="G66" s="148"/>
      <c r="H66"/>
      <c r="I66"/>
    </row>
    <row r="67" spans="1:9">
      <c r="A67" s="147"/>
      <c r="B67" s="146" t="s">
        <v>355</v>
      </c>
      <c r="C67" s="147"/>
      <c r="D67" s="147"/>
      <c r="E67" s="148"/>
      <c r="F67" s="148"/>
      <c r="G67" s="148"/>
      <c r="H67"/>
      <c r="I67"/>
    </row>
    <row r="68" spans="1:9">
      <c r="A68" s="147"/>
      <c r="B68" s="147"/>
      <c r="C68" s="147"/>
      <c r="D68" s="147"/>
      <c r="E68" s="148" t="s">
        <v>2</v>
      </c>
      <c r="F68" s="148" t="s">
        <v>3</v>
      </c>
      <c r="G68" s="148" t="s">
        <v>356</v>
      </c>
      <c r="H68"/>
      <c r="I68"/>
    </row>
    <row r="69" spans="1:9">
      <c r="A69" s="145"/>
      <c r="B69" s="147" t="s">
        <v>387</v>
      </c>
      <c r="C69" s="147"/>
      <c r="D69" s="147"/>
      <c r="E69" s="148">
        <v>204024</v>
      </c>
      <c r="F69" s="148"/>
      <c r="G69" s="148">
        <f>E69-F69</f>
        <v>204024</v>
      </c>
      <c r="H69"/>
      <c r="I69"/>
    </row>
    <row r="70" spans="1:9">
      <c r="A70" s="145"/>
      <c r="B70" s="147"/>
      <c r="C70" s="147"/>
      <c r="D70" s="147"/>
      <c r="E70" s="148"/>
      <c r="F70" s="148"/>
      <c r="G70" s="148">
        <f t="shared" ref="G70:G77" si="2">G69+E70-F70</f>
        <v>204024</v>
      </c>
      <c r="H70"/>
      <c r="I70"/>
    </row>
    <row r="71" spans="1:9">
      <c r="A71" s="145">
        <v>45402</v>
      </c>
      <c r="B71" s="147" t="s">
        <v>357</v>
      </c>
      <c r="C71" s="147"/>
      <c r="D71" s="147"/>
      <c r="E71" s="148"/>
      <c r="F71" s="148"/>
      <c r="G71" s="148">
        <f t="shared" si="2"/>
        <v>204024</v>
      </c>
      <c r="H71"/>
      <c r="I71"/>
    </row>
    <row r="72" spans="1:9">
      <c r="A72" s="145">
        <v>45813</v>
      </c>
      <c r="B72" s="147" t="s">
        <v>358</v>
      </c>
      <c r="C72" s="147"/>
      <c r="D72" s="147"/>
      <c r="F72"/>
      <c r="G72" s="148">
        <f t="shared" si="2"/>
        <v>204024</v>
      </c>
      <c r="H72"/>
      <c r="I72"/>
    </row>
    <row r="73" spans="1:9">
      <c r="A73" s="145">
        <v>45170</v>
      </c>
      <c r="B73" s="147" t="s">
        <v>386</v>
      </c>
      <c r="C73" s="147"/>
      <c r="D73" s="147"/>
      <c r="F73">
        <v>1000</v>
      </c>
      <c r="G73" s="148">
        <f t="shared" si="2"/>
        <v>203024</v>
      </c>
      <c r="H73"/>
      <c r="I73"/>
    </row>
    <row r="74" spans="1:9">
      <c r="A74" s="145">
        <v>45199</v>
      </c>
      <c r="B74" s="147" t="s">
        <v>386</v>
      </c>
      <c r="C74" s="147"/>
      <c r="D74" s="147"/>
      <c r="F74">
        <v>50000</v>
      </c>
      <c r="G74" s="148">
        <f t="shared" si="2"/>
        <v>153024</v>
      </c>
      <c r="H74" s="46"/>
      <c r="I74" s="51"/>
    </row>
    <row r="75" spans="1:9">
      <c r="A75" s="145">
        <v>45229</v>
      </c>
      <c r="B75" s="147" t="s">
        <v>495</v>
      </c>
      <c r="C75" s="147"/>
      <c r="D75" s="147"/>
      <c r="F75">
        <v>33000</v>
      </c>
      <c r="G75" s="148">
        <f t="shared" si="2"/>
        <v>120024</v>
      </c>
      <c r="H75" s="46"/>
      <c r="I75" s="51"/>
    </row>
    <row r="76" spans="1:9">
      <c r="A76" s="145">
        <v>45260</v>
      </c>
      <c r="B76" s="147" t="s">
        <v>386</v>
      </c>
      <c r="C76" s="147"/>
      <c r="D76" s="147"/>
      <c r="F76">
        <v>120000</v>
      </c>
      <c r="G76" s="148">
        <f t="shared" si="2"/>
        <v>24</v>
      </c>
      <c r="H76" s="46"/>
      <c r="I76" s="51"/>
    </row>
    <row r="77" spans="1:9">
      <c r="A77" s="145"/>
      <c r="B77" s="147" t="s">
        <v>382</v>
      </c>
      <c r="C77" s="147"/>
      <c r="D77" s="147"/>
      <c r="F77">
        <v>24</v>
      </c>
      <c r="G77" s="148">
        <f t="shared" si="2"/>
        <v>0</v>
      </c>
      <c r="H77" s="46"/>
      <c r="I77" s="51"/>
    </row>
    <row r="78" spans="1:9">
      <c r="A78" s="145"/>
      <c r="B78" s="147"/>
      <c r="C78" s="147"/>
      <c r="D78" s="147"/>
      <c r="F78"/>
      <c r="G78" s="148"/>
    </row>
    <row r="79" spans="1:9" ht="15">
      <c r="A79" s="145"/>
      <c r="B79" s="147" t="s">
        <v>366</v>
      </c>
      <c r="C79" s="150">
        <f>A72-A71</f>
        <v>411</v>
      </c>
      <c r="D79" s="150"/>
      <c r="F79"/>
      <c r="G79" s="148"/>
    </row>
    <row r="80" spans="1:9">
      <c r="A80" s="145"/>
      <c r="B80" s="147" t="s">
        <v>367</v>
      </c>
      <c r="C80" s="146">
        <f>(E69-24)/C79</f>
        <v>496.35036496350364</v>
      </c>
      <c r="D80" s="146"/>
      <c r="F80"/>
      <c r="G80" s="148"/>
    </row>
    <row r="81" spans="1:7" ht="15.75" thickBot="1">
      <c r="A81" s="151">
        <v>45813</v>
      </c>
      <c r="B81" s="152" t="s">
        <v>368</v>
      </c>
      <c r="C81" s="153"/>
      <c r="D81" s="153"/>
      <c r="E81" s="154"/>
      <c r="F81"/>
      <c r="G81" s="148"/>
    </row>
    <row r="82" spans="1:7" ht="13.5" thickTop="1">
      <c r="A82"/>
      <c r="B82" s="147" t="s">
        <v>369</v>
      </c>
      <c r="C82" s="146">
        <f>A81-A71</f>
        <v>411</v>
      </c>
      <c r="D82" s="146"/>
      <c r="E82"/>
      <c r="F82"/>
      <c r="G82" s="148"/>
    </row>
    <row r="83" spans="1:7">
      <c r="A83" s="145"/>
      <c r="B83" s="147" t="s">
        <v>370</v>
      </c>
      <c r="C83" s="147"/>
      <c r="D83" s="147"/>
      <c r="E83" s="3">
        <f>C82*C80</f>
        <v>204000</v>
      </c>
      <c r="F83"/>
      <c r="G83" s="148"/>
    </row>
    <row r="84" spans="1:7">
      <c r="A84" s="145"/>
      <c r="B84" s="147" t="s">
        <v>371</v>
      </c>
      <c r="C84" s="147"/>
      <c r="D84" s="147"/>
      <c r="E84" s="3">
        <f>E69-24-E83</f>
        <v>0</v>
      </c>
      <c r="F84"/>
      <c r="G84" s="148"/>
    </row>
    <row r="85" spans="1:7" ht="15.75" thickBot="1">
      <c r="A85" s="145"/>
      <c r="B85" s="155" t="s">
        <v>372</v>
      </c>
      <c r="C85" s="155" t="s">
        <v>373</v>
      </c>
      <c r="D85" s="155"/>
      <c r="E85" s="156">
        <f>SUM(E84:E84)</f>
        <v>0</v>
      </c>
      <c r="F85"/>
      <c r="G85" s="148"/>
    </row>
    <row r="86" spans="1:7" ht="13.5" thickTop="1">
      <c r="A86" s="145"/>
      <c r="B86" s="147" t="s">
        <v>374</v>
      </c>
      <c r="C86" s="147" t="s">
        <v>373</v>
      </c>
      <c r="D86" s="147"/>
      <c r="F86"/>
      <c r="G86" s="148"/>
    </row>
    <row r="87" spans="1:7">
      <c r="A87" s="145"/>
      <c r="B87" s="147" t="s">
        <v>375</v>
      </c>
      <c r="C87" s="147" t="s">
        <v>376</v>
      </c>
      <c r="D87" s="147"/>
      <c r="F87"/>
      <c r="G87" s="148"/>
    </row>
    <row r="88" spans="1:7">
      <c r="A88" s="145"/>
      <c r="B88" s="147" t="s">
        <v>377</v>
      </c>
      <c r="C88" s="147" t="s">
        <v>376</v>
      </c>
      <c r="D88" s="147"/>
      <c r="F88"/>
      <c r="G88" s="148"/>
    </row>
    <row r="89" spans="1:7" ht="13.5" thickBot="1">
      <c r="A89" s="145"/>
      <c r="B89" s="157"/>
      <c r="C89" s="147"/>
      <c r="D89" s="147"/>
      <c r="F89"/>
      <c r="G89" s="148"/>
    </row>
    <row r="90" spans="1:7" s="3" customFormat="1" ht="16.5" thickTop="1" thickBot="1">
      <c r="A90" s="147"/>
      <c r="B90" s="158" t="s">
        <v>379</v>
      </c>
      <c r="C90" s="159" t="s">
        <v>373</v>
      </c>
      <c r="D90" s="159"/>
      <c r="E90" s="156">
        <f>SUM(E85:E89)</f>
        <v>0</v>
      </c>
      <c r="F90" s="148"/>
      <c r="G90" s="148"/>
    </row>
    <row r="91" spans="1:7" s="3" customFormat="1" ht="13.5" thickTop="1">
      <c r="A91" s="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="145" zoomScaleNormal="145" workbookViewId="0">
      <selection activeCell="B106" sqref="B106:B10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139</v>
      </c>
      <c r="C1" s="8"/>
      <c r="F1" s="9" t="s">
        <v>140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7000</v>
      </c>
      <c r="E4" s="16">
        <f>SUM(E9:E20)</f>
        <v>0</v>
      </c>
      <c r="F4" s="17">
        <f>F20</f>
        <v>7000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-794.6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0</v>
      </c>
    </row>
    <row r="8" spans="1:6">
      <c r="B8" s="14" t="s">
        <v>29</v>
      </c>
      <c r="C8"/>
      <c r="D8"/>
    </row>
    <row r="9" spans="1:6">
      <c r="A9" s="7">
        <v>45167</v>
      </c>
      <c r="B9"/>
      <c r="C9"/>
      <c r="D9" s="24"/>
      <c r="E9" s="25"/>
      <c r="F9" s="3">
        <f>D9-E9</f>
        <v>0</v>
      </c>
    </row>
    <row r="10" spans="1:6">
      <c r="B10" s="14"/>
      <c r="C10"/>
      <c r="D10" s="24"/>
      <c r="E10" s="25"/>
      <c r="F10" s="3">
        <f t="shared" ref="F10:F20" si="0">D10-E10+F9</f>
        <v>0</v>
      </c>
    </row>
    <row r="11" spans="1:6">
      <c r="B11"/>
      <c r="C11"/>
      <c r="D11" s="24"/>
      <c r="E11" s="25"/>
      <c r="F11" s="3">
        <f t="shared" si="0"/>
        <v>0</v>
      </c>
    </row>
    <row r="12" spans="1:6">
      <c r="B12"/>
      <c r="C12" s="92"/>
      <c r="D12" s="24"/>
      <c r="E12" s="25"/>
      <c r="F12" s="3">
        <f t="shared" si="0"/>
        <v>0</v>
      </c>
    </row>
    <row r="13" spans="1:6">
      <c r="B13"/>
      <c r="C13" s="92"/>
      <c r="D13" s="24"/>
      <c r="E13" s="25"/>
      <c r="F13" s="3">
        <f t="shared" si="0"/>
        <v>0</v>
      </c>
    </row>
    <row r="14" spans="1:6">
      <c r="B14"/>
      <c r="C14" s="92"/>
      <c r="D14" s="27"/>
      <c r="E14" s="28"/>
      <c r="F14" s="3">
        <f t="shared" si="0"/>
        <v>0</v>
      </c>
    </row>
    <row r="15" spans="1:6">
      <c r="A15" s="7">
        <v>44956</v>
      </c>
      <c r="B15" t="s">
        <v>142</v>
      </c>
      <c r="C15" s="92">
        <v>45322</v>
      </c>
      <c r="D15" s="27">
        <v>7000</v>
      </c>
      <c r="E15" s="28"/>
      <c r="F15" s="3">
        <f t="shared" si="0"/>
        <v>7000</v>
      </c>
    </row>
    <row r="16" spans="1:6">
      <c r="A16" s="26"/>
      <c r="B16"/>
      <c r="C16"/>
      <c r="D16" s="27"/>
      <c r="E16" s="28"/>
      <c r="F16" s="3">
        <f t="shared" si="0"/>
        <v>7000</v>
      </c>
    </row>
    <row r="17" spans="1:6">
      <c r="A17" s="26"/>
      <c r="B17"/>
      <c r="C17"/>
      <c r="D17" s="27"/>
      <c r="E17" s="28"/>
      <c r="F17" s="3">
        <f t="shared" si="0"/>
        <v>7000</v>
      </c>
    </row>
    <row r="18" spans="1:6">
      <c r="A18" s="26"/>
      <c r="B18"/>
      <c r="C18"/>
      <c r="D18" s="27"/>
      <c r="E18" s="28"/>
      <c r="F18" s="3">
        <f t="shared" si="0"/>
        <v>7000</v>
      </c>
    </row>
    <row r="19" spans="1:6">
      <c r="A19" s="26"/>
      <c r="B19"/>
      <c r="C19"/>
      <c r="D19" s="27"/>
      <c r="E19" s="28"/>
      <c r="F19" s="3">
        <f t="shared" si="0"/>
        <v>7000</v>
      </c>
    </row>
    <row r="20" spans="1:6">
      <c r="A20" s="26"/>
      <c r="B20"/>
      <c r="C20"/>
      <c r="D20" s="27"/>
      <c r="E20" s="28"/>
      <c r="F20" s="29">
        <f t="shared" si="0"/>
        <v>7000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30</v>
      </c>
      <c r="B23" s="21" t="s">
        <v>31</v>
      </c>
      <c r="C23" s="21" t="s">
        <v>32</v>
      </c>
      <c r="D23" s="33" t="s">
        <v>33</v>
      </c>
      <c r="E23" s="34"/>
      <c r="F23" s="34" t="s">
        <v>338</v>
      </c>
    </row>
    <row r="24" spans="1:6">
      <c r="A24" s="26"/>
      <c r="B24" t="s">
        <v>34</v>
      </c>
      <c r="C24"/>
      <c r="D24" s="30"/>
      <c r="E24" s="31"/>
      <c r="F24" s="31">
        <v>-800</v>
      </c>
    </row>
    <row r="25" spans="1:6">
      <c r="A25" s="26"/>
      <c r="B25" t="s">
        <v>86</v>
      </c>
      <c r="C25">
        <v>0</v>
      </c>
      <c r="D25" s="31">
        <v>381.33</v>
      </c>
      <c r="E25" s="31">
        <v>431.36</v>
      </c>
      <c r="F25" s="31">
        <f t="shared" ref="F25:F36" si="1">D25-E25+F24</f>
        <v>-850.03</v>
      </c>
    </row>
    <row r="26" spans="1:6">
      <c r="A26" s="26"/>
      <c r="B26" t="s">
        <v>35</v>
      </c>
      <c r="C26">
        <v>0</v>
      </c>
      <c r="D26" s="31">
        <v>237.14</v>
      </c>
      <c r="E26" s="31">
        <v>237.11</v>
      </c>
      <c r="F26" s="31">
        <f t="shared" si="1"/>
        <v>-850</v>
      </c>
    </row>
    <row r="27" spans="1:6">
      <c r="A27" s="26"/>
      <c r="B27" t="s">
        <v>36</v>
      </c>
      <c r="C27"/>
      <c r="D27" s="31">
        <v>55.4</v>
      </c>
      <c r="E27" s="31"/>
      <c r="F27" s="31">
        <f t="shared" si="1"/>
        <v>-794.6</v>
      </c>
    </row>
    <row r="28" spans="1:6">
      <c r="A28" s="26"/>
      <c r="B28" t="s">
        <v>37</v>
      </c>
      <c r="C28"/>
      <c r="D28" s="31"/>
      <c r="E28" s="31"/>
      <c r="F28" s="31">
        <f t="shared" si="1"/>
        <v>-794.6</v>
      </c>
    </row>
    <row r="29" spans="1:6">
      <c r="A29" s="26"/>
      <c r="B29" t="s">
        <v>38</v>
      </c>
      <c r="C29"/>
      <c r="D29" s="31"/>
      <c r="E29" s="31"/>
      <c r="F29" s="31">
        <f t="shared" si="1"/>
        <v>-794.6</v>
      </c>
    </row>
    <row r="30" spans="1:6">
      <c r="A30" s="26"/>
      <c r="B30" t="s">
        <v>87</v>
      </c>
      <c r="C30"/>
      <c r="D30" s="31"/>
      <c r="E30" s="31"/>
      <c r="F30" s="31">
        <f t="shared" si="1"/>
        <v>-794.6</v>
      </c>
    </row>
    <row r="31" spans="1:6">
      <c r="A31" s="26"/>
      <c r="B31" t="s">
        <v>88</v>
      </c>
      <c r="C31"/>
      <c r="D31" s="31"/>
      <c r="E31" s="31"/>
      <c r="F31" s="31">
        <f t="shared" si="1"/>
        <v>-794.6</v>
      </c>
    </row>
    <row r="32" spans="1:6">
      <c r="A32" s="26"/>
      <c r="B32" t="s">
        <v>89</v>
      </c>
      <c r="C32"/>
      <c r="D32" s="31"/>
      <c r="E32" s="31"/>
      <c r="F32" s="31">
        <f t="shared" si="1"/>
        <v>-794.6</v>
      </c>
    </row>
    <row r="33" spans="1:6">
      <c r="A33" s="26"/>
      <c r="B33" t="s">
        <v>90</v>
      </c>
      <c r="C33"/>
      <c r="D33" s="30"/>
      <c r="E33" s="31"/>
      <c r="F33" s="31">
        <f t="shared" si="1"/>
        <v>-794.6</v>
      </c>
    </row>
    <row r="34" spans="1:6">
      <c r="A34" s="26"/>
      <c r="B34" t="s">
        <v>39</v>
      </c>
      <c r="C34"/>
      <c r="D34" s="30"/>
      <c r="E34" s="31"/>
      <c r="F34" s="31">
        <f t="shared" si="1"/>
        <v>-794.6</v>
      </c>
    </row>
    <row r="35" spans="1:6">
      <c r="A35" s="26"/>
      <c r="B35" t="s">
        <v>40</v>
      </c>
      <c r="C35"/>
      <c r="D35" s="30"/>
      <c r="E35" s="31"/>
      <c r="F35" s="31">
        <f t="shared" si="1"/>
        <v>-794.6</v>
      </c>
    </row>
    <row r="36" spans="1:6">
      <c r="A36" s="32"/>
      <c r="B36" s="21" t="s">
        <v>41</v>
      </c>
      <c r="C36" s="21"/>
      <c r="D36" s="33"/>
      <c r="E36" s="34"/>
      <c r="F36" s="34">
        <f t="shared" si="1"/>
        <v>-794.6</v>
      </c>
    </row>
    <row r="37" spans="1:6">
      <c r="A37" s="35">
        <v>45291</v>
      </c>
      <c r="B37" s="36" t="s">
        <v>34</v>
      </c>
      <c r="C37" s="36">
        <f>SUM(C25:C36)</f>
        <v>0</v>
      </c>
      <c r="D37" s="37"/>
      <c r="E37" s="38"/>
      <c r="F37" s="39">
        <f>D37-E37+F36</f>
        <v>-794.6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252</v>
      </c>
      <c r="B40" s="40" t="s">
        <v>165</v>
      </c>
      <c r="C40" s="40"/>
      <c r="D40" s="41"/>
      <c r="E40" s="42"/>
      <c r="F40" s="43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143</v>
      </c>
      <c r="C42" s="1"/>
    </row>
    <row r="43" spans="1:6">
      <c r="A43" s="7">
        <v>44774</v>
      </c>
      <c r="B43" t="s">
        <v>144</v>
      </c>
      <c r="C43"/>
    </row>
    <row r="44" spans="1:6">
      <c r="B44" t="s">
        <v>145</v>
      </c>
      <c r="C44"/>
      <c r="D44" s="3">
        <v>45000</v>
      </c>
    </row>
    <row r="45" spans="1:6">
      <c r="A45" s="7">
        <v>44774</v>
      </c>
      <c r="B45" t="s">
        <v>146</v>
      </c>
      <c r="C45"/>
    </row>
    <row r="46" spans="1:6">
      <c r="B46"/>
      <c r="C46"/>
    </row>
    <row r="47" spans="1:6">
      <c r="A47" s="7">
        <v>44803</v>
      </c>
      <c r="B47" t="s">
        <v>147</v>
      </c>
      <c r="C47"/>
    </row>
    <row r="48" spans="1:6">
      <c r="A48" s="7">
        <v>45167</v>
      </c>
      <c r="B48" t="s">
        <v>148</v>
      </c>
      <c r="C48"/>
      <c r="E48"/>
    </row>
    <row r="49" spans="1:6">
      <c r="B49" t="s">
        <v>149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150</v>
      </c>
      <c r="C51"/>
      <c r="D51"/>
      <c r="E51"/>
    </row>
    <row r="52" spans="1:6">
      <c r="B52" t="s">
        <v>151</v>
      </c>
      <c r="C52"/>
      <c r="D52"/>
      <c r="E52"/>
    </row>
    <row r="53" spans="1:6">
      <c r="B53" t="s">
        <v>152</v>
      </c>
      <c r="C53"/>
      <c r="D53"/>
      <c r="E53"/>
    </row>
    <row r="54" spans="1:6">
      <c r="B54" t="s">
        <v>153</v>
      </c>
      <c r="C54"/>
      <c r="D54"/>
      <c r="E54"/>
    </row>
    <row r="55" spans="1:6">
      <c r="B55" t="s">
        <v>141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154</v>
      </c>
      <c r="C60" s="1"/>
      <c r="D60"/>
      <c r="E60"/>
      <c r="F60" s="3">
        <f t="shared" si="2"/>
        <v>0</v>
      </c>
    </row>
    <row r="61" spans="1:6">
      <c r="B61" t="s">
        <v>155</v>
      </c>
      <c r="C61"/>
      <c r="E61">
        <v>32.35</v>
      </c>
      <c r="F61" s="3">
        <f t="shared" si="2"/>
        <v>-32.35</v>
      </c>
    </row>
    <row r="62" spans="1:6">
      <c r="B62" t="s">
        <v>156</v>
      </c>
      <c r="C62"/>
      <c r="E62">
        <v>39.909999999999997</v>
      </c>
      <c r="F62" s="3">
        <f t="shared" si="2"/>
        <v>-72.259999999999991</v>
      </c>
    </row>
    <row r="63" spans="1:6">
      <c r="B63" t="s">
        <v>157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158</v>
      </c>
      <c r="D64" s="3"/>
      <c r="E64" s="3">
        <v>60.27</v>
      </c>
      <c r="F64" s="3">
        <f t="shared" si="2"/>
        <v>-141.51999999999998</v>
      </c>
    </row>
    <row r="65" spans="1:8">
      <c r="B65" t="s">
        <v>159</v>
      </c>
      <c r="C65"/>
      <c r="D65"/>
      <c r="E65">
        <v>500</v>
      </c>
      <c r="F65" s="3">
        <f t="shared" si="2"/>
        <v>-641.52</v>
      </c>
      <c r="G65"/>
      <c r="H65"/>
    </row>
    <row r="66" spans="1:8">
      <c r="B66" t="s">
        <v>160</v>
      </c>
      <c r="C66"/>
      <c r="D66"/>
      <c r="E66">
        <v>58.48</v>
      </c>
      <c r="F66" s="3">
        <f t="shared" si="2"/>
        <v>-700</v>
      </c>
      <c r="G66"/>
      <c r="H66"/>
    </row>
    <row r="67" spans="1:8">
      <c r="B67" t="s">
        <v>161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1:8">
      <c r="B68" t="s">
        <v>162</v>
      </c>
      <c r="C68"/>
      <c r="D68"/>
      <c r="E68">
        <v>37.76</v>
      </c>
      <c r="F68" s="3">
        <f t="shared" si="2"/>
        <v>-787.76</v>
      </c>
      <c r="G68"/>
      <c r="H68"/>
    </row>
    <row r="69" spans="1:8">
      <c r="B69" t="s">
        <v>163</v>
      </c>
      <c r="C69"/>
      <c r="D69"/>
      <c r="E69">
        <v>12.24</v>
      </c>
      <c r="F69" s="3">
        <f t="shared" si="2"/>
        <v>-800</v>
      </c>
      <c r="G69"/>
      <c r="H69"/>
    </row>
    <row r="70" spans="1:8">
      <c r="B70"/>
      <c r="C70"/>
      <c r="D70"/>
      <c r="E70"/>
      <c r="G70"/>
      <c r="H70"/>
    </row>
    <row r="71" spans="1:8">
      <c r="E71" s="57"/>
      <c r="G71"/>
      <c r="H71"/>
    </row>
    <row r="72" spans="1:8">
      <c r="A72" s="145">
        <v>45139</v>
      </c>
      <c r="B72" s="146" t="s">
        <v>144</v>
      </c>
      <c r="C72" s="147"/>
      <c r="D72" s="148"/>
      <c r="E72" s="148"/>
      <c r="F72" s="148"/>
      <c r="G72"/>
      <c r="H72"/>
    </row>
    <row r="73" spans="1:8">
      <c r="A73" s="147"/>
      <c r="B73" s="146" t="s">
        <v>355</v>
      </c>
      <c r="C73" s="147"/>
      <c r="D73" s="148"/>
      <c r="E73" s="148"/>
      <c r="F73" s="148"/>
      <c r="G73"/>
      <c r="H73"/>
    </row>
    <row r="74" spans="1:8">
      <c r="A74" s="147"/>
      <c r="B74" s="147"/>
      <c r="C74" s="147"/>
      <c r="D74" s="148" t="s">
        <v>2</v>
      </c>
      <c r="E74" s="148" t="s">
        <v>3</v>
      </c>
      <c r="F74" s="148" t="s">
        <v>356</v>
      </c>
      <c r="G74"/>
      <c r="H74"/>
    </row>
    <row r="75" spans="1:8">
      <c r="A75" s="145"/>
      <c r="B75" s="147"/>
      <c r="C75" s="147"/>
      <c r="D75" s="148">
        <v>96000</v>
      </c>
      <c r="E75" s="148"/>
      <c r="F75" s="148">
        <f>D75-E75</f>
        <v>96000</v>
      </c>
      <c r="G75"/>
      <c r="H75"/>
    </row>
    <row r="76" spans="1:8">
      <c r="A76" s="145"/>
      <c r="B76" s="147"/>
      <c r="C76" s="147"/>
      <c r="D76" s="148"/>
      <c r="E76" s="148"/>
      <c r="F76" s="148">
        <f t="shared" ref="F76:F84" si="3">F75+D76-E76</f>
        <v>96000</v>
      </c>
      <c r="G76"/>
      <c r="H76"/>
    </row>
    <row r="77" spans="1:8">
      <c r="A77" s="145">
        <v>45168</v>
      </c>
      <c r="B77" s="147" t="s">
        <v>357</v>
      </c>
      <c r="C77" s="147"/>
      <c r="D77" s="148"/>
      <c r="E77" s="148"/>
      <c r="F77" s="148">
        <f t="shared" si="3"/>
        <v>96000</v>
      </c>
      <c r="G77"/>
      <c r="H77"/>
    </row>
    <row r="78" spans="1:8">
      <c r="A78" s="145">
        <v>45533</v>
      </c>
      <c r="B78" s="147" t="s">
        <v>358</v>
      </c>
      <c r="C78" s="147"/>
      <c r="E78"/>
      <c r="F78" s="148">
        <f t="shared" si="3"/>
        <v>96000</v>
      </c>
      <c r="G78"/>
      <c r="H78"/>
    </row>
    <row r="79" spans="1:8">
      <c r="A79" s="145">
        <v>45170</v>
      </c>
      <c r="B79" s="147" t="s">
        <v>359</v>
      </c>
      <c r="C79" s="147"/>
      <c r="E79">
        <v>65000</v>
      </c>
      <c r="F79" s="148">
        <f t="shared" si="3"/>
        <v>31000</v>
      </c>
      <c r="G79"/>
      <c r="H79"/>
    </row>
    <row r="80" spans="1:8">
      <c r="A80" s="145">
        <v>45199</v>
      </c>
      <c r="B80" s="147" t="s">
        <v>360</v>
      </c>
      <c r="C80" s="147"/>
      <c r="E80">
        <v>6000</v>
      </c>
      <c r="F80" s="148">
        <f t="shared" si="3"/>
        <v>25000</v>
      </c>
      <c r="G80" s="46"/>
      <c r="H80" s="51"/>
    </row>
    <row r="81" spans="1:8">
      <c r="A81" s="145">
        <v>45229</v>
      </c>
      <c r="B81" s="147" t="s">
        <v>361</v>
      </c>
      <c r="C81" s="147"/>
      <c r="E81">
        <v>6000</v>
      </c>
      <c r="F81" s="148">
        <f t="shared" si="3"/>
        <v>19000</v>
      </c>
      <c r="G81" s="46"/>
      <c r="H81" s="51"/>
    </row>
    <row r="82" spans="1:8">
      <c r="A82" s="145">
        <v>45260</v>
      </c>
      <c r="B82" s="147" t="s">
        <v>362</v>
      </c>
      <c r="C82" s="147"/>
      <c r="E82">
        <v>6000</v>
      </c>
      <c r="F82" s="148">
        <f t="shared" si="3"/>
        <v>13000</v>
      </c>
      <c r="G82" s="46"/>
      <c r="H82" s="51"/>
    </row>
    <row r="83" spans="1:8">
      <c r="A83" s="145">
        <v>45290</v>
      </c>
      <c r="B83" s="147" t="s">
        <v>363</v>
      </c>
      <c r="C83" s="147"/>
      <c r="E83">
        <v>6000</v>
      </c>
      <c r="F83" s="148">
        <f t="shared" si="3"/>
        <v>7000</v>
      </c>
      <c r="G83" s="46"/>
      <c r="H83" s="51"/>
    </row>
    <row r="84" spans="1:8" ht="13.5" thickBot="1">
      <c r="A84" s="145">
        <v>45321</v>
      </c>
      <c r="B84" s="147" t="s">
        <v>364</v>
      </c>
      <c r="C84" s="149" t="s">
        <v>365</v>
      </c>
      <c r="E84"/>
      <c r="F84" s="148">
        <f t="shared" si="3"/>
        <v>7000</v>
      </c>
      <c r="G84" s="46"/>
      <c r="H84" s="51"/>
    </row>
    <row r="85" spans="1:8" ht="13.5" thickTop="1">
      <c r="A85" s="145"/>
      <c r="B85" s="147"/>
      <c r="C85" s="147"/>
      <c r="E85"/>
      <c r="F85" s="148"/>
    </row>
    <row r="86" spans="1:8" ht="15">
      <c r="A86" s="145"/>
      <c r="B86" s="147" t="s">
        <v>366</v>
      </c>
      <c r="C86" s="150">
        <f>A78-A77</f>
        <v>365</v>
      </c>
      <c r="E86"/>
      <c r="F86" s="148"/>
    </row>
    <row r="87" spans="1:8">
      <c r="A87" s="145"/>
      <c r="B87" s="147" t="s">
        <v>367</v>
      </c>
      <c r="C87" s="146">
        <f>D75/C86</f>
        <v>263.01369863013701</v>
      </c>
      <c r="E87"/>
      <c r="F87" s="148"/>
    </row>
    <row r="88" spans="1:8" ht="15.75" thickBot="1">
      <c r="A88" s="151">
        <v>45413</v>
      </c>
      <c r="B88" s="152" t="s">
        <v>368</v>
      </c>
      <c r="C88" s="153"/>
      <c r="D88" s="154"/>
      <c r="E88"/>
    </row>
    <row r="89" spans="1:8" ht="13.5" thickTop="1">
      <c r="A89"/>
      <c r="B89" s="147" t="s">
        <v>369</v>
      </c>
      <c r="C89" s="146">
        <f>A88-A77</f>
        <v>245</v>
      </c>
      <c r="D89"/>
      <c r="E89"/>
    </row>
    <row r="90" spans="1:8">
      <c r="A90" s="145"/>
      <c r="B90" s="147" t="s">
        <v>370</v>
      </c>
      <c r="C90" s="147"/>
      <c r="D90" s="3">
        <f>C89*C87</f>
        <v>64438.356164383571</v>
      </c>
      <c r="E90"/>
    </row>
    <row r="91" spans="1:8">
      <c r="A91" s="145"/>
      <c r="B91" s="147" t="s">
        <v>371</v>
      </c>
      <c r="C91" s="147"/>
      <c r="D91" s="3">
        <f>D75-D90</f>
        <v>31561.643835616429</v>
      </c>
      <c r="E91"/>
      <c r="F91" s="148"/>
    </row>
    <row r="92" spans="1:8" ht="15.75" thickBot="1">
      <c r="A92" s="145"/>
      <c r="B92" s="155" t="s">
        <v>372</v>
      </c>
      <c r="C92" s="155" t="s">
        <v>373</v>
      </c>
      <c r="D92" s="156">
        <f>SUM(D91:D91)</f>
        <v>31561.643835616429</v>
      </c>
      <c r="E92"/>
      <c r="F92" s="148"/>
    </row>
    <row r="93" spans="1:8" ht="13.5" thickTop="1">
      <c r="A93" s="145"/>
      <c r="B93" s="147" t="s">
        <v>374</v>
      </c>
      <c r="C93" s="147" t="s">
        <v>373</v>
      </c>
      <c r="D93" s="3">
        <v>794.6</v>
      </c>
      <c r="E93"/>
      <c r="F93" s="148"/>
    </row>
    <row r="94" spans="1:8">
      <c r="A94" s="145"/>
      <c r="B94" s="147" t="s">
        <v>377</v>
      </c>
      <c r="C94" s="147" t="s">
        <v>376</v>
      </c>
      <c r="D94" s="3">
        <v>-30</v>
      </c>
      <c r="E94"/>
      <c r="F94" s="148"/>
    </row>
    <row r="95" spans="1:8" ht="13.5" thickBot="1">
      <c r="A95" s="145"/>
      <c r="B95" s="157" t="s">
        <v>378</v>
      </c>
      <c r="C95" s="147" t="s">
        <v>376</v>
      </c>
      <c r="D95" s="3">
        <f>F84*-1</f>
        <v>-7000</v>
      </c>
      <c r="E95"/>
      <c r="F95" s="148"/>
    </row>
    <row r="96" spans="1:8" ht="16.5" thickTop="1" thickBot="1">
      <c r="A96" s="147"/>
      <c r="B96" s="158" t="s">
        <v>379</v>
      </c>
      <c r="C96" s="159" t="s">
        <v>373</v>
      </c>
      <c r="D96" s="156">
        <f>SUM(D92:D95)</f>
        <v>25326.243835616428</v>
      </c>
      <c r="E96" s="148"/>
      <c r="F96" s="148"/>
    </row>
    <row r="97" spans="1:4" ht="13.5" thickTop="1">
      <c r="A97" s="7">
        <v>45412</v>
      </c>
      <c r="B97" s="3" t="s">
        <v>321</v>
      </c>
      <c r="D97" s="3">
        <v>24000</v>
      </c>
    </row>
    <row r="98" spans="1:4">
      <c r="B98" s="3" t="s">
        <v>399</v>
      </c>
      <c r="D98" s="3">
        <v>1000</v>
      </c>
    </row>
    <row r="99" spans="1:4">
      <c r="B99" s="178" t="s">
        <v>400</v>
      </c>
    </row>
    <row r="101" spans="1:4">
      <c r="D101" s="3" t="s">
        <v>388</v>
      </c>
    </row>
    <row r="102" spans="1:4">
      <c r="A102" s="7" t="s">
        <v>121</v>
      </c>
      <c r="D102" s="3">
        <v>2</v>
      </c>
    </row>
    <row r="103" spans="1:4">
      <c r="A103" s="7">
        <v>9</v>
      </c>
      <c r="D103" s="3">
        <v>30</v>
      </c>
    </row>
    <row r="104" spans="1:4">
      <c r="A104" s="7">
        <v>10</v>
      </c>
      <c r="D104" s="3">
        <v>31</v>
      </c>
    </row>
    <row r="105" spans="1:4">
      <c r="A105" s="7">
        <v>11</v>
      </c>
      <c r="D105" s="3">
        <v>30</v>
      </c>
    </row>
    <row r="106" spans="1:4">
      <c r="A106" s="7">
        <v>12</v>
      </c>
      <c r="D106" s="3">
        <v>31</v>
      </c>
    </row>
    <row r="107" spans="1:4">
      <c r="A107" s="7">
        <v>1</v>
      </c>
      <c r="D107" s="3">
        <v>31</v>
      </c>
    </row>
    <row r="108" spans="1:4">
      <c r="A108" s="7">
        <v>2</v>
      </c>
      <c r="D108" s="3">
        <v>29</v>
      </c>
    </row>
    <row r="109" spans="1:4">
      <c r="A109" s="7">
        <v>3</v>
      </c>
      <c r="D109" s="3">
        <v>31</v>
      </c>
    </row>
    <row r="110" spans="1:4">
      <c r="A110" s="7">
        <v>4</v>
      </c>
      <c r="D110" s="3">
        <v>30</v>
      </c>
    </row>
    <row r="111" spans="1:4">
      <c r="D111" s="3">
        <f>SUM(D102:D110)</f>
        <v>245</v>
      </c>
    </row>
    <row r="114" spans="1:5">
      <c r="A114" s="148"/>
      <c r="B114" s="3" t="s">
        <v>389</v>
      </c>
      <c r="D114" s="3">
        <v>7000</v>
      </c>
    </row>
    <row r="115" spans="1:5" ht="13.5" thickBot="1">
      <c r="A115" s="151">
        <v>45413</v>
      </c>
      <c r="B115" s="3">
        <v>1985</v>
      </c>
      <c r="D115" s="3">
        <f>D114/B115</f>
        <v>3.5264483627204029</v>
      </c>
      <c r="E115" s="3" t="s">
        <v>390</v>
      </c>
    </row>
    <row r="116" spans="1:5" ht="14.25" thickTop="1" thickBot="1">
      <c r="A116" s="151">
        <v>45412</v>
      </c>
      <c r="B116" s="3">
        <v>2410</v>
      </c>
      <c r="D116" s="3">
        <f>D115*B116</f>
        <v>8498.7405541561711</v>
      </c>
    </row>
    <row r="117" spans="1:5" ht="13.5" thickTop="1">
      <c r="D117" s="3">
        <f>D114/B116</f>
        <v>2.904564315352697</v>
      </c>
      <c r="E117" s="3" t="s">
        <v>390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1"/>
  <sheetViews>
    <sheetView zoomScale="175" zoomScaleNormal="175" workbookViewId="0">
      <selection activeCell="E23" sqref="E23"/>
    </sheetView>
  </sheetViews>
  <sheetFormatPr defaultRowHeight="12.75"/>
  <cols>
    <col min="1" max="1" width="13.42578125" style="168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161"/>
      <c r="B1" s="8" t="s">
        <v>164</v>
      </c>
      <c r="C1" s="8"/>
      <c r="D1" s="8"/>
      <c r="G1" s="9" t="s">
        <v>140</v>
      </c>
    </row>
    <row r="2" spans="1:7">
      <c r="A2" s="161"/>
      <c r="B2" s="8"/>
      <c r="C2" s="8"/>
      <c r="D2" s="8"/>
    </row>
    <row r="3" spans="1:7" ht="13.5" thickBot="1">
      <c r="A3" s="162" t="s">
        <v>23</v>
      </c>
      <c r="B3" s="11" t="s">
        <v>24</v>
      </c>
      <c r="C3" s="11"/>
      <c r="D3" s="11" t="s">
        <v>337</v>
      </c>
      <c r="E3" s="12" t="s">
        <v>2</v>
      </c>
      <c r="F3" s="12" t="s">
        <v>3</v>
      </c>
      <c r="G3" s="12" t="s">
        <v>26</v>
      </c>
    </row>
    <row r="4" spans="1:7">
      <c r="A4" s="161"/>
      <c r="B4" s="13" t="s">
        <v>20</v>
      </c>
      <c r="C4" s="14"/>
      <c r="D4" s="14"/>
      <c r="E4" s="15">
        <f>SUM(E9:E39)</f>
        <v>447218.53578899364</v>
      </c>
      <c r="F4" s="16">
        <f>SUM(F9:F39)</f>
        <v>184917.52</v>
      </c>
      <c r="G4" s="17" t="e">
        <f>#REF!</f>
        <v>#REF!</v>
      </c>
    </row>
    <row r="5" spans="1:7">
      <c r="A5" s="161"/>
      <c r="B5" s="14" t="s">
        <v>27</v>
      </c>
      <c r="C5" s="14"/>
      <c r="D5" s="14"/>
      <c r="E5" s="18">
        <f>G59</f>
        <v>0</v>
      </c>
      <c r="G5"/>
    </row>
    <row r="6" spans="1:7">
      <c r="A6" s="161"/>
      <c r="B6" s="14" t="s">
        <v>5</v>
      </c>
      <c r="C6"/>
      <c r="D6"/>
      <c r="E6" s="19">
        <f>G56</f>
        <v>-2824.5300000000007</v>
      </c>
      <c r="F6" s="14"/>
      <c r="G6" s="9"/>
    </row>
    <row r="7" spans="1:7">
      <c r="A7" s="164" t="s">
        <v>380</v>
      </c>
      <c r="B7" s="21"/>
      <c r="C7" s="22"/>
      <c r="D7" s="22"/>
      <c r="E7" s="21"/>
      <c r="F7" s="58" t="s">
        <v>28</v>
      </c>
      <c r="G7" s="59">
        <f>F4-E5</f>
        <v>184917.52</v>
      </c>
    </row>
    <row r="8" spans="1:7">
      <c r="A8" s="161"/>
      <c r="B8" s="14" t="s">
        <v>29</v>
      </c>
      <c r="C8"/>
      <c r="D8"/>
      <c r="E8"/>
    </row>
    <row r="9" spans="1:7">
      <c r="A9" s="167">
        <v>44957</v>
      </c>
      <c r="B9" s="141" t="s">
        <v>271</v>
      </c>
      <c r="C9">
        <v>6.65</v>
      </c>
      <c r="E9" s="60">
        <v>6920</v>
      </c>
      <c r="F9" s="25">
        <v>6920</v>
      </c>
      <c r="G9" s="3">
        <f>E9-F9</f>
        <v>0</v>
      </c>
    </row>
    <row r="10" spans="1:7">
      <c r="A10" s="167"/>
      <c r="B10" s="141" t="s">
        <v>272</v>
      </c>
      <c r="C10">
        <v>3.15</v>
      </c>
      <c r="E10" s="60">
        <f t="shared" ref="E10:E20" si="0">E9+(E9*C9/100)</f>
        <v>7380.18</v>
      </c>
      <c r="F10" s="25"/>
      <c r="G10" s="3">
        <f t="shared" ref="G10:G39" si="1">E10-F10+G9</f>
        <v>7380.18</v>
      </c>
    </row>
    <row r="11" spans="1:7">
      <c r="A11" s="167"/>
      <c r="B11" s="141" t="s">
        <v>273</v>
      </c>
      <c r="C11">
        <v>2.29</v>
      </c>
      <c r="E11" s="60">
        <f t="shared" si="0"/>
        <v>7612.6556700000001</v>
      </c>
      <c r="F11" s="25"/>
      <c r="G11" s="3">
        <f t="shared" si="1"/>
        <v>14992.83567</v>
      </c>
    </row>
    <row r="12" spans="1:7">
      <c r="A12" s="167"/>
      <c r="B12" s="141" t="s">
        <v>275</v>
      </c>
      <c r="C12">
        <v>2.39</v>
      </c>
      <c r="E12" s="60">
        <f t="shared" si="0"/>
        <v>7786.9854848430004</v>
      </c>
      <c r="F12" s="25">
        <v>8425.4599999999991</v>
      </c>
      <c r="G12" s="3">
        <f t="shared" si="1"/>
        <v>14354.361154843002</v>
      </c>
    </row>
    <row r="13" spans="1:7">
      <c r="A13" s="167"/>
      <c r="B13" s="141" t="s">
        <v>274</v>
      </c>
      <c r="C13">
        <v>0.04</v>
      </c>
      <c r="E13" s="60">
        <f t="shared" si="0"/>
        <v>7973.0944379307484</v>
      </c>
      <c r="F13" s="25">
        <v>28080</v>
      </c>
      <c r="G13" s="3">
        <f t="shared" si="1"/>
        <v>-5752.5444072262508</v>
      </c>
    </row>
    <row r="14" spans="1:7">
      <c r="A14" s="167"/>
      <c r="B14" s="141" t="s">
        <v>276</v>
      </c>
      <c r="C14">
        <v>3.92</v>
      </c>
      <c r="E14" s="60">
        <f t="shared" si="0"/>
        <v>7976.2836757059204</v>
      </c>
      <c r="F14" s="28"/>
      <c r="G14" s="3">
        <f t="shared" si="1"/>
        <v>2223.7392684796696</v>
      </c>
    </row>
    <row r="15" spans="1:7">
      <c r="A15" s="167"/>
      <c r="B15" s="141" t="s">
        <v>277</v>
      </c>
      <c r="C15">
        <v>9.49</v>
      </c>
      <c r="E15" s="60">
        <f t="shared" si="0"/>
        <v>8288.9539957935922</v>
      </c>
      <c r="F15" s="28">
        <v>50000</v>
      </c>
      <c r="G15" s="3">
        <f t="shared" si="1"/>
        <v>-39487.306735726735</v>
      </c>
    </row>
    <row r="16" spans="1:7">
      <c r="A16" s="167"/>
      <c r="B16" s="141" t="s">
        <v>278</v>
      </c>
      <c r="C16">
        <v>9.09</v>
      </c>
      <c r="E16" s="60">
        <f t="shared" si="0"/>
        <v>9075.5757299944034</v>
      </c>
      <c r="F16" s="28"/>
      <c r="G16" s="3">
        <f t="shared" si="1"/>
        <v>-30411.731005732334</v>
      </c>
    </row>
    <row r="17" spans="1:7">
      <c r="A17" s="167"/>
      <c r="B17" s="141" t="s">
        <v>279</v>
      </c>
      <c r="C17">
        <v>4.75</v>
      </c>
      <c r="E17" s="60">
        <f t="shared" si="0"/>
        <v>9900.5455638508938</v>
      </c>
      <c r="F17" s="28"/>
      <c r="G17" s="3">
        <f t="shared" si="1"/>
        <v>-20511.18544188144</v>
      </c>
    </row>
    <row r="18" spans="1:7">
      <c r="A18" s="167"/>
      <c r="B18" s="141" t="s">
        <v>260</v>
      </c>
      <c r="C18">
        <v>3.43</v>
      </c>
      <c r="E18" s="60">
        <f t="shared" si="0"/>
        <v>10370.821478133812</v>
      </c>
      <c r="F18" s="28"/>
      <c r="G18" s="3">
        <f t="shared" si="1"/>
        <v>-10140.363963747628</v>
      </c>
    </row>
    <row r="19" spans="1:7">
      <c r="A19" s="167">
        <v>45260</v>
      </c>
      <c r="B19" s="141" t="s">
        <v>381</v>
      </c>
      <c r="C19">
        <v>42.645099999999999</v>
      </c>
      <c r="E19" s="60">
        <f t="shared" si="0"/>
        <v>10726.540654833801</v>
      </c>
      <c r="F19" s="28">
        <v>15887.06</v>
      </c>
      <c r="G19" s="3">
        <f t="shared" si="1"/>
        <v>-15300.883308913826</v>
      </c>
    </row>
    <row r="20" spans="1:7">
      <c r="A20" s="167">
        <v>45291</v>
      </c>
      <c r="B20" s="141" t="s">
        <v>262</v>
      </c>
      <c r="C20">
        <v>2.93</v>
      </c>
      <c r="E20" s="60">
        <f t="shared" si="0"/>
        <v>15300.884643628331</v>
      </c>
      <c r="F20" s="28"/>
      <c r="G20" s="29">
        <f t="shared" si="1"/>
        <v>1.3347145049920073E-3</v>
      </c>
    </row>
    <row r="21" spans="1:7">
      <c r="A21" s="180"/>
      <c r="B21" s="181"/>
      <c r="C21" s="181"/>
      <c r="D21" s="182"/>
      <c r="E21" s="183"/>
      <c r="F21" s="184"/>
      <c r="G21" s="185"/>
    </row>
    <row r="22" spans="1:7">
      <c r="A22" s="167">
        <v>45322</v>
      </c>
      <c r="B22" s="142" t="s">
        <v>271</v>
      </c>
      <c r="C22">
        <v>6.71</v>
      </c>
      <c r="E22" s="60">
        <v>17002</v>
      </c>
      <c r="F22" s="28"/>
      <c r="G22" s="29">
        <f>E22-F22+G20</f>
        <v>17002.001334714507</v>
      </c>
    </row>
    <row r="23" spans="1:7">
      <c r="A23" s="167"/>
      <c r="B23" s="142" t="s">
        <v>272</v>
      </c>
      <c r="C23">
        <v>4.53</v>
      </c>
      <c r="E23" s="60">
        <f>E22+(E22*C22/100)</f>
        <v>18142.834200000001</v>
      </c>
      <c r="F23" s="28"/>
      <c r="G23" s="29">
        <f t="shared" si="1"/>
        <v>35144.835534714512</v>
      </c>
    </row>
    <row r="24" spans="1:7">
      <c r="A24" s="167"/>
      <c r="B24" s="142" t="s">
        <v>273</v>
      </c>
      <c r="C24">
        <v>3.16</v>
      </c>
      <c r="E24" s="60">
        <f>E23+(E23*C23/100)</f>
        <v>18964.70458926</v>
      </c>
      <c r="F24" s="28"/>
      <c r="G24" s="29">
        <f t="shared" si="1"/>
        <v>54109.540123974512</v>
      </c>
    </row>
    <row r="25" spans="1:7">
      <c r="A25" s="167"/>
      <c r="B25" s="144" t="s">
        <v>341</v>
      </c>
      <c r="C25"/>
      <c r="E25" s="60"/>
      <c r="F25" s="28">
        <v>-3795</v>
      </c>
      <c r="G25" s="29">
        <f t="shared" si="1"/>
        <v>57904.540123974512</v>
      </c>
    </row>
    <row r="26" spans="1:7">
      <c r="A26" s="167">
        <v>45397</v>
      </c>
      <c r="B26" s="142" t="s">
        <v>352</v>
      </c>
      <c r="C26">
        <v>3.18</v>
      </c>
      <c r="E26" s="60">
        <f>E24+(E24*C24/100)</f>
        <v>19563.989254280616</v>
      </c>
      <c r="F26" s="28">
        <v>85000</v>
      </c>
      <c r="G26" s="29">
        <f t="shared" si="1"/>
        <v>-7531.4706217448693</v>
      </c>
    </row>
    <row r="27" spans="1:7">
      <c r="A27" s="167"/>
      <c r="B27" s="144" t="s">
        <v>205</v>
      </c>
      <c r="C27"/>
      <c r="E27" s="60"/>
      <c r="F27" s="28">
        <v>-5600</v>
      </c>
      <c r="G27" s="29">
        <f t="shared" si="1"/>
        <v>-1931.4706217448693</v>
      </c>
    </row>
    <row r="28" spans="1:7">
      <c r="A28" s="167"/>
      <c r="B28" s="143" t="s">
        <v>353</v>
      </c>
      <c r="C28">
        <v>3.37</v>
      </c>
      <c r="E28" s="60">
        <f>E26+(E26*C26/100)</f>
        <v>20186.12411256674</v>
      </c>
      <c r="F28" s="28"/>
      <c r="G28" s="29">
        <f t="shared" si="1"/>
        <v>18254.653490821871</v>
      </c>
    </row>
    <row r="29" spans="1:7">
      <c r="A29" s="167"/>
      <c r="B29" s="143" t="s">
        <v>276</v>
      </c>
      <c r="C29">
        <v>3.6</v>
      </c>
      <c r="E29" s="60">
        <f>E28+(E28*C28/100)</f>
        <v>20866.396495160239</v>
      </c>
      <c r="F29"/>
      <c r="G29" s="29">
        <f t="shared" si="1"/>
        <v>39121.049985982114</v>
      </c>
    </row>
    <row r="30" spans="1:7">
      <c r="A30" s="167"/>
      <c r="B30" s="143" t="s">
        <v>277</v>
      </c>
      <c r="C30">
        <v>3.6</v>
      </c>
      <c r="E30" s="60">
        <f t="shared" ref="E30:E39" si="2">E29+(E29*C29/100)</f>
        <v>21617.58676898601</v>
      </c>
      <c r="F30"/>
      <c r="G30" s="29">
        <f t="shared" si="1"/>
        <v>60738.636754968124</v>
      </c>
    </row>
    <row r="31" spans="1:7">
      <c r="A31" s="167"/>
      <c r="B31" s="143" t="s">
        <v>278</v>
      </c>
      <c r="C31"/>
      <c r="E31" s="60">
        <f t="shared" si="2"/>
        <v>22395.819892669508</v>
      </c>
      <c r="F31"/>
      <c r="G31" s="29">
        <f t="shared" si="1"/>
        <v>83134.456647637635</v>
      </c>
    </row>
    <row r="32" spans="1:7">
      <c r="A32" s="167"/>
      <c r="B32" s="143" t="s">
        <v>354</v>
      </c>
      <c r="C32"/>
      <c r="E32" s="60">
        <f t="shared" si="2"/>
        <v>22395.819892669508</v>
      </c>
      <c r="F32"/>
      <c r="G32" s="29">
        <f t="shared" si="1"/>
        <v>105530.27654030714</v>
      </c>
    </row>
    <row r="33" spans="1:13">
      <c r="A33" s="167"/>
      <c r="B33" s="143" t="s">
        <v>260</v>
      </c>
      <c r="C33"/>
      <c r="E33" s="60">
        <f t="shared" si="2"/>
        <v>22395.819892669508</v>
      </c>
      <c r="F33"/>
      <c r="G33" s="29">
        <f t="shared" si="1"/>
        <v>127926.09643297664</v>
      </c>
    </row>
    <row r="34" spans="1:13">
      <c r="A34" s="167"/>
      <c r="B34" s="143" t="s">
        <v>261</v>
      </c>
      <c r="C34"/>
      <c r="E34" s="60">
        <f t="shared" si="2"/>
        <v>22395.819892669508</v>
      </c>
      <c r="F34"/>
      <c r="G34" s="29">
        <f t="shared" si="1"/>
        <v>150321.91632564616</v>
      </c>
    </row>
    <row r="35" spans="1:13">
      <c r="A35" s="167"/>
      <c r="B35" s="143" t="s">
        <v>262</v>
      </c>
      <c r="C35"/>
      <c r="E35" s="60">
        <f t="shared" si="2"/>
        <v>22395.819892669508</v>
      </c>
      <c r="F35"/>
      <c r="G35" s="29">
        <f t="shared" si="1"/>
        <v>172717.73621831567</v>
      </c>
    </row>
    <row r="36" spans="1:13">
      <c r="A36" s="167"/>
      <c r="B36" s="143" t="s">
        <v>271</v>
      </c>
      <c r="C36"/>
      <c r="E36" s="60">
        <f t="shared" si="2"/>
        <v>22395.819892669508</v>
      </c>
      <c r="F36"/>
      <c r="G36" s="29">
        <f t="shared" si="1"/>
        <v>195113.55611098517</v>
      </c>
    </row>
    <row r="37" spans="1:13">
      <c r="A37" s="167"/>
      <c r="B37" s="143" t="s">
        <v>272</v>
      </c>
      <c r="C37"/>
      <c r="E37" s="60">
        <f t="shared" si="2"/>
        <v>22395.819892669508</v>
      </c>
      <c r="F37"/>
      <c r="G37" s="29">
        <f t="shared" si="1"/>
        <v>217509.37600365467</v>
      </c>
    </row>
    <row r="38" spans="1:13">
      <c r="A38" s="167"/>
      <c r="B38" s="143" t="s">
        <v>273</v>
      </c>
      <c r="C38"/>
      <c r="E38" s="60">
        <f t="shared" si="2"/>
        <v>22395.819892669508</v>
      </c>
      <c r="F38"/>
      <c r="G38" s="29">
        <f t="shared" si="1"/>
        <v>239905.19589632418</v>
      </c>
    </row>
    <row r="39" spans="1:13">
      <c r="A39" s="167"/>
      <c r="B39" s="143" t="s">
        <v>352</v>
      </c>
      <c r="C39"/>
      <c r="E39" s="60">
        <f t="shared" si="2"/>
        <v>22395.819892669508</v>
      </c>
      <c r="F39"/>
      <c r="G39" s="29">
        <f t="shared" si="1"/>
        <v>262301.01578899368</v>
      </c>
    </row>
    <row r="40" spans="1:13">
      <c r="A40" s="163"/>
      <c r="B40"/>
      <c r="C40"/>
      <c r="D40"/>
      <c r="E40" s="30"/>
      <c r="F40" s="31"/>
      <c r="G40" s="31"/>
    </row>
    <row r="41" spans="1:13">
      <c r="A41" s="163"/>
      <c r="B41"/>
      <c r="C41"/>
      <c r="D41"/>
      <c r="E41" s="30"/>
      <c r="F41" s="31"/>
      <c r="G41" s="31"/>
    </row>
    <row r="42" spans="1:13">
      <c r="A42" s="164" t="str">
        <f>A7</f>
        <v xml:space="preserve"> - 2024 -</v>
      </c>
      <c r="B42" s="21" t="s">
        <v>31</v>
      </c>
      <c r="C42" s="21" t="s">
        <v>32</v>
      </c>
      <c r="D42" s="21"/>
      <c r="E42" s="33" t="s">
        <v>33</v>
      </c>
      <c r="F42" s="34"/>
      <c r="G42" s="34" t="s">
        <v>339</v>
      </c>
    </row>
    <row r="43" spans="1:13">
      <c r="A43" s="163"/>
      <c r="B43" t="s">
        <v>34</v>
      </c>
      <c r="C43"/>
      <c r="D43"/>
      <c r="E43" s="30"/>
      <c r="F43" s="31"/>
      <c r="G43" s="31">
        <v>-2510.63</v>
      </c>
      <c r="I43" s="1"/>
      <c r="J43" s="1"/>
      <c r="K43" s="51"/>
      <c r="L43" s="51"/>
      <c r="M43" s="51"/>
    </row>
    <row r="44" spans="1:13">
      <c r="A44" s="163"/>
      <c r="B44" t="s">
        <v>86</v>
      </c>
      <c r="C44">
        <v>0</v>
      </c>
      <c r="D44"/>
      <c r="E44" s="3">
        <v>781.86</v>
      </c>
      <c r="F44" s="3">
        <v>891.32</v>
      </c>
      <c r="G44" s="31">
        <f t="shared" ref="G44:G55" si="3">E44-F44+G43</f>
        <v>-2620.09</v>
      </c>
      <c r="K44" s="3"/>
      <c r="L44" s="3"/>
      <c r="M44" s="3"/>
    </row>
    <row r="45" spans="1:13">
      <c r="A45" s="163"/>
      <c r="B45" t="s">
        <v>35</v>
      </c>
      <c r="C45">
        <v>0</v>
      </c>
      <c r="D45"/>
      <c r="E45" s="3">
        <v>2044.36</v>
      </c>
      <c r="F45" s="3">
        <v>2248.8000000000002</v>
      </c>
      <c r="G45" s="31">
        <f t="shared" si="3"/>
        <v>-2824.5300000000007</v>
      </c>
      <c r="J45" s="1"/>
      <c r="K45" s="3"/>
      <c r="L45" s="3"/>
      <c r="M45" s="3"/>
    </row>
    <row r="46" spans="1:13">
      <c r="A46" s="163"/>
      <c r="B46" t="s">
        <v>36</v>
      </c>
      <c r="C46"/>
      <c r="D46"/>
      <c r="G46" s="31">
        <f t="shared" si="3"/>
        <v>-2824.5300000000007</v>
      </c>
      <c r="J46" s="1"/>
      <c r="K46" s="3"/>
      <c r="L46" s="3"/>
      <c r="M46" s="3"/>
    </row>
    <row r="47" spans="1:13">
      <c r="A47" s="163"/>
      <c r="B47" t="s">
        <v>37</v>
      </c>
      <c r="C47"/>
      <c r="D47"/>
      <c r="G47" s="31">
        <f t="shared" si="3"/>
        <v>-2824.5300000000007</v>
      </c>
      <c r="J47" s="1"/>
      <c r="K47" s="3"/>
      <c r="L47" s="3"/>
      <c r="M47" s="3"/>
    </row>
    <row r="48" spans="1:13">
      <c r="A48" s="163"/>
      <c r="B48" t="s">
        <v>38</v>
      </c>
      <c r="C48"/>
      <c r="D48"/>
      <c r="G48" s="31">
        <f t="shared" si="3"/>
        <v>-2824.5300000000007</v>
      </c>
      <c r="J48" s="1"/>
      <c r="K48" s="3"/>
      <c r="L48" s="3"/>
      <c r="M48" s="3"/>
    </row>
    <row r="49" spans="1:13">
      <c r="A49" s="163"/>
      <c r="B49" t="s">
        <v>87</v>
      </c>
      <c r="C49"/>
      <c r="D49"/>
      <c r="G49" s="31">
        <f t="shared" si="3"/>
        <v>-2824.5300000000007</v>
      </c>
      <c r="J49" s="1"/>
      <c r="K49" s="3"/>
      <c r="L49" s="3"/>
      <c r="M49" s="3"/>
    </row>
    <row r="50" spans="1:13">
      <c r="A50" s="163"/>
      <c r="B50" t="s">
        <v>88</v>
      </c>
      <c r="C50"/>
      <c r="D50"/>
      <c r="G50" s="31">
        <f t="shared" si="3"/>
        <v>-2824.5300000000007</v>
      </c>
      <c r="J50" s="1"/>
      <c r="K50" s="3"/>
      <c r="L50" s="3"/>
      <c r="M50" s="3"/>
    </row>
    <row r="51" spans="1:13">
      <c r="A51" s="163"/>
      <c r="B51" t="s">
        <v>89</v>
      </c>
      <c r="C51"/>
      <c r="D51"/>
      <c r="G51" s="31">
        <f t="shared" si="3"/>
        <v>-2824.5300000000007</v>
      </c>
      <c r="J51" s="1"/>
      <c r="K51" s="3"/>
      <c r="L51" s="3"/>
      <c r="M51" s="3"/>
    </row>
    <row r="52" spans="1:13">
      <c r="A52" s="163"/>
      <c r="B52" t="s">
        <v>90</v>
      </c>
      <c r="C52"/>
      <c r="D52"/>
      <c r="G52" s="31">
        <f t="shared" si="3"/>
        <v>-2824.5300000000007</v>
      </c>
      <c r="J52" s="1"/>
      <c r="K52" s="3"/>
      <c r="L52" s="3"/>
      <c r="M52" s="3"/>
    </row>
    <row r="53" spans="1:13">
      <c r="A53" s="163"/>
      <c r="B53" t="s">
        <v>39</v>
      </c>
      <c r="C53"/>
      <c r="D53"/>
      <c r="E53" s="51"/>
      <c r="F53" s="51"/>
      <c r="G53" s="31">
        <f t="shared" si="3"/>
        <v>-2824.5300000000007</v>
      </c>
      <c r="J53" s="1"/>
      <c r="K53" s="3"/>
      <c r="L53" s="3"/>
      <c r="M53" s="3"/>
    </row>
    <row r="54" spans="1:13">
      <c r="A54" s="163"/>
      <c r="B54" t="s">
        <v>40</v>
      </c>
      <c r="C54"/>
      <c r="D54"/>
      <c r="E54" s="30"/>
      <c r="F54" s="31"/>
      <c r="G54" s="31">
        <f t="shared" si="3"/>
        <v>-2824.5300000000007</v>
      </c>
      <c r="I54" s="1"/>
      <c r="J54" s="1"/>
      <c r="K54" s="3"/>
      <c r="L54" s="51"/>
      <c r="M54" s="3"/>
    </row>
    <row r="55" spans="1:13">
      <c r="A55" s="164"/>
      <c r="B55" s="21" t="s">
        <v>41</v>
      </c>
      <c r="C55" s="21"/>
      <c r="D55" s="21"/>
      <c r="E55" s="33"/>
      <c r="F55" s="34"/>
      <c r="G55" s="34">
        <f t="shared" si="3"/>
        <v>-2824.5300000000007</v>
      </c>
      <c r="I55" s="1"/>
      <c r="K55" s="61"/>
      <c r="L55" s="3"/>
      <c r="M55" s="3"/>
    </row>
    <row r="56" spans="1:13">
      <c r="A56" s="165">
        <v>45657</v>
      </c>
      <c r="B56" s="36" t="s">
        <v>34</v>
      </c>
      <c r="C56" s="36">
        <f>SUM(C44:C55)</f>
        <v>0</v>
      </c>
      <c r="D56" s="36"/>
      <c r="E56" s="37"/>
      <c r="F56" s="38"/>
      <c r="G56" s="39">
        <f>E56-F56+G55</f>
        <v>-2824.5300000000007</v>
      </c>
      <c r="I56" s="1"/>
      <c r="K56" s="61"/>
      <c r="L56" s="3"/>
      <c r="M56" s="3"/>
    </row>
    <row r="57" spans="1:13">
      <c r="A57" s="163"/>
      <c r="B57"/>
      <c r="C57"/>
      <c r="D57"/>
      <c r="E57" s="30"/>
      <c r="F57" s="30"/>
      <c r="G57" s="34"/>
      <c r="I57"/>
      <c r="K57" s="61"/>
      <c r="L57" s="3"/>
      <c r="M57" s="3"/>
    </row>
    <row r="58" spans="1:13">
      <c r="A58" s="161"/>
      <c r="B58"/>
      <c r="C58"/>
      <c r="D58"/>
      <c r="J58" s="3"/>
      <c r="K58" s="3"/>
      <c r="L58" s="3"/>
      <c r="M58" s="3"/>
    </row>
    <row r="59" spans="1:13">
      <c r="A59" s="166" t="s">
        <v>251</v>
      </c>
      <c r="B59" s="40" t="s">
        <v>165</v>
      </c>
      <c r="C59" s="40"/>
      <c r="D59" s="40"/>
      <c r="E59" s="41"/>
      <c r="F59" s="42"/>
      <c r="G59" s="43">
        <f>SUM(F60:F60)</f>
        <v>0</v>
      </c>
      <c r="J59" s="3"/>
      <c r="K59" s="3"/>
      <c r="L59" s="3"/>
      <c r="M59" s="3"/>
    </row>
    <row r="60" spans="1:13">
      <c r="A60" s="161"/>
      <c r="B60" s="8"/>
      <c r="C60" s="8"/>
      <c r="D60" s="8"/>
      <c r="E60"/>
      <c r="F60"/>
      <c r="G60"/>
    </row>
    <row r="61" spans="1:13">
      <c r="A61" s="161"/>
      <c r="B61" s="8"/>
      <c r="C61" s="8"/>
      <c r="D61" s="8"/>
      <c r="E61"/>
      <c r="F61"/>
      <c r="G61"/>
    </row>
    <row r="62" spans="1:13">
      <c r="A62" s="161"/>
      <c r="B62" s="8"/>
      <c r="C62" s="8"/>
      <c r="D62" s="8"/>
      <c r="E62"/>
      <c r="F62"/>
      <c r="G62"/>
    </row>
    <row r="63" spans="1:13">
      <c r="A63" s="167"/>
      <c r="B63" t="s">
        <v>346</v>
      </c>
      <c r="C63"/>
      <c r="D63"/>
      <c r="E63"/>
      <c r="F63"/>
      <c r="G63"/>
    </row>
    <row r="64" spans="1:13">
      <c r="A64" s="167"/>
      <c r="B64"/>
      <c r="C64"/>
      <c r="D64"/>
      <c r="E64"/>
      <c r="F64"/>
      <c r="G64"/>
    </row>
    <row r="65" spans="1:7">
      <c r="A65" s="167"/>
      <c r="B65" t="s">
        <v>282</v>
      </c>
      <c r="C65"/>
      <c r="E65" s="3">
        <v>48000</v>
      </c>
      <c r="G65" s="3">
        <f>G63+E65-F65</f>
        <v>48000</v>
      </c>
    </row>
    <row r="66" spans="1:7">
      <c r="A66" s="167">
        <v>44651</v>
      </c>
      <c r="B66" t="s">
        <v>283</v>
      </c>
      <c r="C66"/>
      <c r="F66">
        <v>28000</v>
      </c>
      <c r="G66" s="3">
        <f t="shared" ref="G66:G71" si="4">G65+E66-F66</f>
        <v>20000</v>
      </c>
    </row>
    <row r="67" spans="1:7">
      <c r="A67" s="167">
        <v>44681</v>
      </c>
      <c r="B67" t="s">
        <v>280</v>
      </c>
      <c r="C67"/>
      <c r="F67">
        <v>4000</v>
      </c>
      <c r="G67" s="3">
        <f t="shared" si="4"/>
        <v>16000</v>
      </c>
    </row>
    <row r="68" spans="1:7">
      <c r="A68" s="167">
        <v>44711</v>
      </c>
      <c r="B68" t="s">
        <v>281</v>
      </c>
      <c r="C68"/>
      <c r="F68">
        <v>4000</v>
      </c>
      <c r="G68" s="3">
        <f t="shared" si="4"/>
        <v>12000</v>
      </c>
    </row>
    <row r="69" spans="1:7">
      <c r="A69" s="167">
        <v>44742</v>
      </c>
      <c r="B69" t="s">
        <v>347</v>
      </c>
      <c r="C69"/>
      <c r="F69"/>
      <c r="G69" s="3">
        <f t="shared" si="4"/>
        <v>12000</v>
      </c>
    </row>
    <row r="70" spans="1:7">
      <c r="A70" s="167">
        <v>44772</v>
      </c>
      <c r="B70" t="s">
        <v>348</v>
      </c>
      <c r="C70"/>
      <c r="F70"/>
      <c r="G70" s="3">
        <f t="shared" si="4"/>
        <v>12000</v>
      </c>
    </row>
    <row r="71" spans="1:7">
      <c r="A71" s="167">
        <v>44803</v>
      </c>
      <c r="B71" t="s">
        <v>349</v>
      </c>
      <c r="C71"/>
      <c r="F71"/>
      <c r="G71" s="3">
        <f t="shared" si="4"/>
        <v>12000</v>
      </c>
    </row>
    <row r="72" spans="1:7">
      <c r="A72" s="167"/>
      <c r="B72"/>
      <c r="C72"/>
      <c r="D72"/>
      <c r="E72"/>
      <c r="F72"/>
      <c r="G72"/>
    </row>
    <row r="73" spans="1:7">
      <c r="B73" t="s">
        <v>351</v>
      </c>
      <c r="C73"/>
      <c r="D73"/>
      <c r="E73"/>
      <c r="F73"/>
      <c r="G73"/>
    </row>
    <row r="74" spans="1:7">
      <c r="B74" t="s">
        <v>350</v>
      </c>
      <c r="C74"/>
      <c r="D74"/>
      <c r="E74"/>
      <c r="F74"/>
      <c r="G74"/>
    </row>
    <row r="75" spans="1:7">
      <c r="A75" s="167"/>
      <c r="B75"/>
      <c r="C75"/>
      <c r="D75"/>
      <c r="E75"/>
      <c r="F75"/>
      <c r="G75"/>
    </row>
    <row r="76" spans="1:7">
      <c r="A76" s="161"/>
      <c r="B76" s="8"/>
      <c r="C76" s="8"/>
      <c r="D76" s="8"/>
      <c r="E76"/>
      <c r="F76"/>
      <c r="G76"/>
    </row>
    <row r="77" spans="1:7">
      <c r="A77" s="161"/>
      <c r="B77" s="8"/>
      <c r="C77" s="8"/>
      <c r="D77" s="8"/>
      <c r="E77"/>
      <c r="F77"/>
      <c r="G77"/>
    </row>
    <row r="78" spans="1:7">
      <c r="A78" s="161"/>
      <c r="B78" s="8"/>
      <c r="C78" s="8"/>
      <c r="D78" s="8"/>
      <c r="E78"/>
      <c r="F78"/>
      <c r="G78"/>
    </row>
    <row r="79" spans="1:7">
      <c r="A79" s="161"/>
      <c r="B79" s="8"/>
      <c r="C79" s="8"/>
      <c r="D79" s="8"/>
      <c r="E79"/>
      <c r="F79"/>
      <c r="G79"/>
    </row>
    <row r="80" spans="1:7">
      <c r="A80" s="161"/>
      <c r="B80" s="8"/>
      <c r="C80" s="8"/>
      <c r="D80" s="8"/>
      <c r="E80"/>
      <c r="F80"/>
      <c r="G80"/>
    </row>
    <row r="81" spans="1:7" ht="20.25">
      <c r="B81" s="160">
        <v>2023</v>
      </c>
      <c r="C81" s="8"/>
      <c r="D81" s="8"/>
      <c r="E81"/>
      <c r="F81"/>
      <c r="G81"/>
    </row>
    <row r="82" spans="1:7">
      <c r="A82" s="161"/>
      <c r="B82" s="8"/>
      <c r="C82" s="8"/>
      <c r="D82" s="8"/>
      <c r="E82"/>
      <c r="F82"/>
      <c r="G82"/>
    </row>
    <row r="83" spans="1:7">
      <c r="A83" s="161">
        <v>45315</v>
      </c>
      <c r="B83" s="8" t="s">
        <v>326</v>
      </c>
      <c r="C83" s="8"/>
      <c r="D83" s="8"/>
      <c r="E83"/>
      <c r="F83"/>
      <c r="G83"/>
    </row>
    <row r="84" spans="1:7">
      <c r="A84" s="168">
        <v>45236</v>
      </c>
      <c r="B84" t="s">
        <v>166</v>
      </c>
      <c r="C84"/>
      <c r="D84"/>
      <c r="E84" s="61"/>
    </row>
    <row r="85" spans="1:7">
      <c r="A85" s="168">
        <v>45236</v>
      </c>
      <c r="B85" s="1" t="s">
        <v>167</v>
      </c>
      <c r="C85"/>
      <c r="D85"/>
      <c r="E85" s="61"/>
    </row>
    <row r="86" spans="1:7">
      <c r="A86" s="170"/>
      <c r="B86"/>
      <c r="C86" s="62"/>
      <c r="D86" s="62"/>
      <c r="E86" s="57"/>
      <c r="F86" s="57"/>
    </row>
    <row r="87" spans="1:7">
      <c r="A87" s="168">
        <v>45236</v>
      </c>
      <c r="B87" t="s">
        <v>168</v>
      </c>
      <c r="C87"/>
      <c r="D87"/>
      <c r="E87" s="61"/>
    </row>
    <row r="88" spans="1:7">
      <c r="B88" t="s">
        <v>169</v>
      </c>
      <c r="C88"/>
      <c r="D88"/>
      <c r="E88" s="61"/>
    </row>
    <row r="89" spans="1:7">
      <c r="B89" t="s">
        <v>170</v>
      </c>
      <c r="C89"/>
      <c r="D89"/>
      <c r="E89" s="61"/>
    </row>
    <row r="90" spans="1:7">
      <c r="B90" s="3" t="s">
        <v>171</v>
      </c>
      <c r="C90"/>
      <c r="D90"/>
      <c r="E90"/>
    </row>
    <row r="91" spans="1:7">
      <c r="B91" t="s">
        <v>172</v>
      </c>
      <c r="C91"/>
      <c r="D91"/>
      <c r="E91"/>
    </row>
    <row r="92" spans="1:7">
      <c r="B92" s="3" t="s">
        <v>173</v>
      </c>
      <c r="C92"/>
      <c r="D92"/>
      <c r="E92"/>
    </row>
    <row r="93" spans="1:7">
      <c r="C93"/>
      <c r="D93"/>
      <c r="E93"/>
    </row>
    <row r="94" spans="1:7">
      <c r="B94"/>
      <c r="C94"/>
      <c r="D94"/>
      <c r="E94" t="s">
        <v>174</v>
      </c>
      <c r="F94" s="3" t="s">
        <v>175</v>
      </c>
    </row>
    <row r="95" spans="1:7">
      <c r="A95" s="168">
        <v>45236</v>
      </c>
      <c r="B95" s="3" t="s">
        <v>176</v>
      </c>
      <c r="C95">
        <v>0.65</v>
      </c>
      <c r="D95"/>
      <c r="E95" s="3">
        <v>84000</v>
      </c>
      <c r="F95" s="3">
        <f>E95*C95</f>
        <v>54600</v>
      </c>
      <c r="G95" s="3">
        <f>F95+E95</f>
        <v>138600</v>
      </c>
    </row>
    <row r="96" spans="1:7">
      <c r="B96"/>
    </row>
    <row r="97" spans="1:11">
      <c r="B97"/>
    </row>
    <row r="98" spans="1:11" ht="114.75">
      <c r="A98" s="168">
        <v>45236</v>
      </c>
      <c r="B98"/>
      <c r="E98" s="63" t="s">
        <v>177</v>
      </c>
      <c r="F98" s="63" t="s">
        <v>178</v>
      </c>
      <c r="G98" s="63" t="s">
        <v>179</v>
      </c>
    </row>
    <row r="99" spans="1:11" ht="25.5">
      <c r="B99" s="63" t="s">
        <v>180</v>
      </c>
      <c r="C99" s="3">
        <v>11.5</v>
      </c>
      <c r="E99" s="3">
        <v>138000</v>
      </c>
    </row>
    <row r="100" spans="1:11" ht="38.25">
      <c r="B100" s="64" t="s">
        <v>181</v>
      </c>
      <c r="C100" s="3">
        <v>12</v>
      </c>
      <c r="E100">
        <v>84000</v>
      </c>
      <c r="F100" s="3">
        <v>12000</v>
      </c>
      <c r="G100" s="3">
        <v>144000</v>
      </c>
    </row>
    <row r="101" spans="1:11" ht="37.5" customHeight="1">
      <c r="B101" s="63" t="s">
        <v>182</v>
      </c>
      <c r="C101" s="3">
        <v>14</v>
      </c>
      <c r="E101">
        <v>98000</v>
      </c>
      <c r="F101" s="3">
        <v>14000</v>
      </c>
      <c r="G101" s="3">
        <v>168000</v>
      </c>
    </row>
    <row r="102" spans="1:11">
      <c r="A102" s="171"/>
      <c r="B102"/>
      <c r="C102" s="1"/>
      <c r="D102" s="1"/>
      <c r="E102" s="51"/>
      <c r="F102" s="51"/>
    </row>
    <row r="103" spans="1:11">
      <c r="B103"/>
      <c r="C103"/>
      <c r="D103"/>
      <c r="J103" s="3"/>
    </row>
    <row r="104" spans="1:11">
      <c r="B104" s="3" t="s">
        <v>183</v>
      </c>
      <c r="G104" s="3">
        <f t="shared" ref="G104:G115" si="5">G103+E104-F104</f>
        <v>0</v>
      </c>
      <c r="J104" s="3"/>
    </row>
    <row r="105" spans="1:11">
      <c r="B105" t="s">
        <v>184</v>
      </c>
      <c r="C105"/>
      <c r="D105"/>
      <c r="F105" s="3">
        <v>20.95</v>
      </c>
      <c r="G105" s="3">
        <f t="shared" si="5"/>
        <v>-20.95</v>
      </c>
      <c r="J105" s="3"/>
    </row>
    <row r="106" spans="1:11">
      <c r="B106" t="s">
        <v>185</v>
      </c>
      <c r="C106"/>
      <c r="D106"/>
      <c r="F106" s="3">
        <v>11.93</v>
      </c>
      <c r="G106" s="3">
        <f t="shared" si="5"/>
        <v>-32.879999999999995</v>
      </c>
      <c r="J106" s="3"/>
    </row>
    <row r="107" spans="1:11">
      <c r="A107" s="171"/>
      <c r="B107" t="s">
        <v>186</v>
      </c>
      <c r="C107"/>
      <c r="D107"/>
      <c r="F107" s="3">
        <v>0</v>
      </c>
      <c r="G107" s="3">
        <f t="shared" si="5"/>
        <v>-32.879999999999995</v>
      </c>
      <c r="J107" s="3"/>
    </row>
    <row r="108" spans="1:11">
      <c r="A108" s="171"/>
      <c r="B108" t="s">
        <v>187</v>
      </c>
      <c r="C108"/>
      <c r="D108"/>
      <c r="F108" s="3">
        <v>23.25</v>
      </c>
      <c r="G108" s="3">
        <f t="shared" si="5"/>
        <v>-56.129999999999995</v>
      </c>
      <c r="J108" s="3"/>
    </row>
    <row r="109" spans="1:11">
      <c r="A109" s="172"/>
      <c r="B109" t="s">
        <v>155</v>
      </c>
      <c r="C109"/>
      <c r="D109"/>
      <c r="F109" s="3">
        <v>42.14</v>
      </c>
      <c r="G109" s="3">
        <f t="shared" si="5"/>
        <v>-98.27</v>
      </c>
      <c r="J109" s="3"/>
    </row>
    <row r="110" spans="1:11">
      <c r="B110" t="s">
        <v>156</v>
      </c>
      <c r="C110"/>
      <c r="D110"/>
      <c r="F110" s="3">
        <v>39.369999999999997</v>
      </c>
      <c r="G110" s="3">
        <f t="shared" si="5"/>
        <v>-137.63999999999999</v>
      </c>
      <c r="J110" s="3"/>
      <c r="K110" s="3"/>
    </row>
    <row r="111" spans="1:11">
      <c r="B111" t="s">
        <v>157</v>
      </c>
      <c r="C111"/>
      <c r="D111"/>
      <c r="F111" s="3">
        <v>150.16</v>
      </c>
      <c r="G111" s="3">
        <f t="shared" si="5"/>
        <v>-287.79999999999995</v>
      </c>
      <c r="J111" s="3"/>
      <c r="K111" s="3"/>
    </row>
    <row r="112" spans="1:11">
      <c r="B112" t="s">
        <v>158</v>
      </c>
      <c r="C112"/>
      <c r="D112"/>
      <c r="F112" s="3">
        <v>216.76</v>
      </c>
      <c r="G112" s="3">
        <f t="shared" si="5"/>
        <v>-504.55999999999995</v>
      </c>
      <c r="J112" s="3"/>
      <c r="K112" s="3"/>
    </row>
    <row r="113" spans="1:11">
      <c r="B113" t="s">
        <v>188</v>
      </c>
      <c r="C113"/>
      <c r="D113"/>
      <c r="F113" s="3">
        <v>132.72</v>
      </c>
      <c r="G113" s="3">
        <f t="shared" si="5"/>
        <v>-637.28</v>
      </c>
      <c r="J113" s="3"/>
      <c r="K113" s="3"/>
    </row>
    <row r="114" spans="1:11">
      <c r="B114"/>
      <c r="C114"/>
      <c r="D114"/>
      <c r="E114" s="3">
        <v>404.76</v>
      </c>
      <c r="G114" s="3">
        <f t="shared" si="5"/>
        <v>-232.51999999999998</v>
      </c>
      <c r="J114" s="3"/>
      <c r="K114" s="3"/>
    </row>
    <row r="115" spans="1:11">
      <c r="B115" s="1" t="s">
        <v>189</v>
      </c>
      <c r="C115" s="1"/>
      <c r="D115" s="1"/>
      <c r="E115" s="51"/>
      <c r="F115" s="51"/>
      <c r="G115" s="51">
        <f t="shared" si="5"/>
        <v>-232.51999999999998</v>
      </c>
      <c r="J115" s="3"/>
      <c r="K115" s="3"/>
    </row>
    <row r="116" spans="1:11">
      <c r="B116"/>
      <c r="C116"/>
      <c r="D116"/>
      <c r="J116" s="3"/>
      <c r="K116" s="3"/>
    </row>
    <row r="117" spans="1:11" ht="13.5" thickBot="1">
      <c r="B117"/>
      <c r="C117"/>
      <c r="D117"/>
      <c r="E117"/>
    </row>
    <row r="118" spans="1:11">
      <c r="A118" s="167"/>
      <c r="B118" s="65" t="s">
        <v>190</v>
      </c>
      <c r="C118" s="66"/>
      <c r="D118" s="66"/>
      <c r="E118" s="67"/>
      <c r="F118" s="68"/>
    </row>
    <row r="119" spans="1:11">
      <c r="A119" s="167"/>
      <c r="B119" s="69" t="s">
        <v>191</v>
      </c>
      <c r="C119"/>
      <c r="D119"/>
      <c r="E119" s="70">
        <v>48000</v>
      </c>
      <c r="F119" s="71">
        <f>E119</f>
        <v>48000</v>
      </c>
      <c r="G119"/>
    </row>
    <row r="120" spans="1:11">
      <c r="A120" s="167"/>
      <c r="B120" s="72" t="s">
        <v>192</v>
      </c>
      <c r="C120" s="1"/>
      <c r="D120" s="1"/>
      <c r="E120" s="51">
        <v>6920</v>
      </c>
      <c r="F120" s="73">
        <f t="shared" ref="F120:F127" si="6">F119-E120</f>
        <v>41080</v>
      </c>
      <c r="G120"/>
    </row>
    <row r="121" spans="1:11">
      <c r="B121" s="74" t="s">
        <v>193</v>
      </c>
      <c r="C121" s="1"/>
      <c r="D121" s="1"/>
      <c r="E121" s="51">
        <v>13000</v>
      </c>
      <c r="F121" s="73">
        <f t="shared" si="6"/>
        <v>28080</v>
      </c>
      <c r="G121"/>
    </row>
    <row r="122" spans="1:11">
      <c r="B122" s="75" t="s">
        <v>194</v>
      </c>
      <c r="C122"/>
      <c r="D122"/>
      <c r="E122"/>
      <c r="F122" s="73">
        <f t="shared" si="6"/>
        <v>28080</v>
      </c>
    </row>
    <row r="123" spans="1:11">
      <c r="B123" s="75" t="s">
        <v>195</v>
      </c>
      <c r="C123"/>
      <c r="D123"/>
      <c r="E123"/>
      <c r="F123" s="73">
        <f t="shared" si="6"/>
        <v>28080</v>
      </c>
      <c r="G123"/>
    </row>
    <row r="124" spans="1:11">
      <c r="B124" s="75" t="s">
        <v>196</v>
      </c>
      <c r="C124"/>
      <c r="D124"/>
      <c r="E124"/>
      <c r="F124" s="73">
        <f t="shared" si="6"/>
        <v>28080</v>
      </c>
      <c r="G124" s="51"/>
    </row>
    <row r="125" spans="1:11">
      <c r="B125" s="76" t="s">
        <v>197</v>
      </c>
      <c r="C125"/>
      <c r="D125"/>
      <c r="E125"/>
      <c r="F125" s="73">
        <f t="shared" si="6"/>
        <v>28080</v>
      </c>
      <c r="G125" s="51"/>
    </row>
    <row r="126" spans="1:11">
      <c r="B126" s="75" t="s">
        <v>198</v>
      </c>
      <c r="C126"/>
      <c r="D126"/>
      <c r="E126"/>
      <c r="F126" s="73">
        <f t="shared" si="6"/>
        <v>28080</v>
      </c>
      <c r="G126" s="51"/>
    </row>
    <row r="127" spans="1:11">
      <c r="B127" s="72" t="s">
        <v>199</v>
      </c>
      <c r="C127" s="1"/>
      <c r="D127" s="1"/>
      <c r="E127" s="51">
        <v>28080</v>
      </c>
      <c r="F127" s="73">
        <f t="shared" si="6"/>
        <v>0</v>
      </c>
      <c r="G127" s="51"/>
    </row>
    <row r="128" spans="1:11">
      <c r="B128" s="75"/>
      <c r="C128"/>
      <c r="D128"/>
      <c r="E128"/>
      <c r="F128" s="73"/>
      <c r="G128" s="51"/>
    </row>
    <row r="129" spans="1:7">
      <c r="B129" s="75"/>
      <c r="C129"/>
      <c r="D129"/>
      <c r="E129"/>
      <c r="F129" s="73"/>
      <c r="G129" s="77"/>
    </row>
    <row r="130" spans="1:7">
      <c r="B130" s="78" t="s">
        <v>200</v>
      </c>
      <c r="C130"/>
      <c r="D130"/>
      <c r="E130" s="3">
        <v>83000</v>
      </c>
      <c r="F130" s="73">
        <v>83000</v>
      </c>
    </row>
    <row r="131" spans="1:7">
      <c r="B131" s="75" t="s">
        <v>195</v>
      </c>
      <c r="C131"/>
      <c r="D131"/>
      <c r="F131" s="73">
        <f t="shared" ref="F131:F137" si="7">F130-E131</f>
        <v>83000</v>
      </c>
      <c r="G131"/>
    </row>
    <row r="132" spans="1:7">
      <c r="B132" s="75" t="s">
        <v>196</v>
      </c>
      <c r="C132"/>
      <c r="D132"/>
      <c r="F132" s="73">
        <f t="shared" si="7"/>
        <v>83000</v>
      </c>
      <c r="G132" s="51"/>
    </row>
    <row r="133" spans="1:7">
      <c r="B133" s="79" t="s">
        <v>201</v>
      </c>
      <c r="C133"/>
      <c r="D133"/>
      <c r="F133" s="73">
        <f t="shared" si="7"/>
        <v>83000</v>
      </c>
      <c r="G133" s="51"/>
    </row>
    <row r="134" spans="1:7">
      <c r="B134" s="78" t="s">
        <v>198</v>
      </c>
      <c r="C134"/>
      <c r="D134"/>
      <c r="F134" s="73">
        <f t="shared" si="7"/>
        <v>83000</v>
      </c>
      <c r="G134" s="51"/>
    </row>
    <row r="135" spans="1:7">
      <c r="B135" s="78"/>
      <c r="C135"/>
      <c r="D135"/>
      <c r="E135"/>
      <c r="F135" s="73">
        <f t="shared" si="7"/>
        <v>83000</v>
      </c>
      <c r="G135" s="51"/>
    </row>
    <row r="136" spans="1:7">
      <c r="B136" s="74" t="s">
        <v>202</v>
      </c>
      <c r="C136"/>
      <c r="D136"/>
      <c r="E136" s="51">
        <v>50000</v>
      </c>
      <c r="F136" s="73">
        <f t="shared" si="7"/>
        <v>33000</v>
      </c>
      <c r="G136" s="51"/>
    </row>
    <row r="137" spans="1:7" ht="13.5" thickBot="1">
      <c r="B137" s="80" t="s">
        <v>203</v>
      </c>
      <c r="C137" s="81"/>
      <c r="D137" s="81"/>
      <c r="E137" s="81"/>
      <c r="F137" s="82">
        <f t="shared" si="7"/>
        <v>33000</v>
      </c>
      <c r="G137" s="51"/>
    </row>
    <row r="138" spans="1:7">
      <c r="B138"/>
      <c r="C138"/>
      <c r="D138"/>
      <c r="E138"/>
      <c r="G138" s="51"/>
    </row>
    <row r="139" spans="1:7">
      <c r="B139" s="1" t="s">
        <v>204</v>
      </c>
      <c r="F139" s="51"/>
      <c r="G139" s="51"/>
    </row>
    <row r="140" spans="1:7">
      <c r="B140" t="s">
        <v>205</v>
      </c>
      <c r="C140"/>
      <c r="D140"/>
      <c r="E140" s="3">
        <v>1252.54</v>
      </c>
      <c r="G140" s="51"/>
    </row>
    <row r="141" spans="1:7">
      <c r="B141" t="s">
        <v>206</v>
      </c>
      <c r="C141"/>
      <c r="D141"/>
      <c r="E141" s="3">
        <v>375</v>
      </c>
      <c r="G141" s="51"/>
    </row>
    <row r="142" spans="1:7">
      <c r="B142" t="s">
        <v>207</v>
      </c>
      <c r="C142"/>
      <c r="D142"/>
      <c r="E142" s="3">
        <v>1500</v>
      </c>
      <c r="G142" s="51"/>
    </row>
    <row r="143" spans="1:7">
      <c r="A143" s="168">
        <v>45015</v>
      </c>
      <c r="B143" t="s">
        <v>208</v>
      </c>
      <c r="C143"/>
      <c r="D143"/>
      <c r="E143" s="3">
        <v>1447</v>
      </c>
      <c r="G143" s="51"/>
    </row>
    <row r="144" spans="1:7">
      <c r="B144" t="s">
        <v>209</v>
      </c>
      <c r="C144" s="1"/>
      <c r="D144" s="1"/>
      <c r="F144" s="51">
        <v>4574.54</v>
      </c>
      <c r="G144" s="51"/>
    </row>
    <row r="145" spans="1:7">
      <c r="B145"/>
      <c r="C145"/>
      <c r="D145"/>
      <c r="E145"/>
      <c r="G145" s="51"/>
    </row>
    <row r="146" spans="1:7" ht="20.25">
      <c r="A146" s="169">
        <v>2021</v>
      </c>
      <c r="B146"/>
      <c r="C146"/>
      <c r="D146"/>
      <c r="E146"/>
      <c r="F146"/>
    </row>
    <row r="147" spans="1:7">
      <c r="B147" s="1"/>
      <c r="C147" s="1"/>
      <c r="D147" s="1"/>
      <c r="E147" s="3" t="s">
        <v>210</v>
      </c>
      <c r="F147" s="3" t="s">
        <v>211</v>
      </c>
    </row>
    <row r="148" spans="1:7">
      <c r="B148" t="s">
        <v>212</v>
      </c>
      <c r="C148"/>
      <c r="D148"/>
      <c r="E148" s="3">
        <v>36000</v>
      </c>
    </row>
    <row r="149" spans="1:7">
      <c r="B149" t="s">
        <v>213</v>
      </c>
      <c r="C149"/>
      <c r="D149"/>
      <c r="F149" s="51">
        <v>28000</v>
      </c>
    </row>
    <row r="150" spans="1:7">
      <c r="A150" s="167"/>
      <c r="B150" t="s">
        <v>214</v>
      </c>
      <c r="C150"/>
      <c r="D150"/>
      <c r="F150" s="51">
        <v>4000</v>
      </c>
      <c r="G150"/>
    </row>
    <row r="151" spans="1:7">
      <c r="A151" s="167"/>
      <c r="B151" t="s">
        <v>215</v>
      </c>
      <c r="C151"/>
      <c r="D151"/>
      <c r="F151" s="51">
        <v>4000</v>
      </c>
      <c r="G1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sheetPr>
    <tabColor theme="9" tint="0.39997558519241921"/>
  </sheetPr>
  <dimension ref="B4:J90"/>
  <sheetViews>
    <sheetView topLeftCell="A55" zoomScale="175" zoomScaleNormal="175" workbookViewId="0">
      <selection activeCell="F46" sqref="F46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9.42578125" customWidth="1"/>
    <col min="7" max="7" width="9.42578125" bestFit="1" customWidth="1"/>
    <col min="8" max="8" width="10.570312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4" spans="2:10">
      <c r="C4" t="s">
        <v>346</v>
      </c>
    </row>
    <row r="6" spans="2:10">
      <c r="C6" t="s">
        <v>282</v>
      </c>
      <c r="E6" s="3">
        <v>48000</v>
      </c>
      <c r="F6" s="3"/>
      <c r="G6" s="3"/>
      <c r="H6" s="3">
        <f>I4+E6-G6</f>
        <v>48000</v>
      </c>
    </row>
    <row r="7" spans="2:10">
      <c r="B7" s="54">
        <v>44651</v>
      </c>
      <c r="C7" t="s">
        <v>283</v>
      </c>
      <c r="E7" s="3"/>
      <c r="F7" s="3"/>
      <c r="G7">
        <v>28000</v>
      </c>
      <c r="H7" s="3">
        <f t="shared" ref="H7:H12" si="0">H6+E7-G7</f>
        <v>20000</v>
      </c>
    </row>
    <row r="8" spans="2:10">
      <c r="B8" s="54">
        <v>44681</v>
      </c>
      <c r="C8" t="s">
        <v>280</v>
      </c>
      <c r="E8" s="3"/>
      <c r="F8" s="3"/>
      <c r="G8">
        <v>4000</v>
      </c>
      <c r="H8" s="3">
        <f t="shared" si="0"/>
        <v>16000</v>
      </c>
    </row>
    <row r="9" spans="2:10">
      <c r="B9" s="54">
        <v>44711</v>
      </c>
      <c r="C9" t="s">
        <v>281</v>
      </c>
      <c r="E9" s="3"/>
      <c r="F9" s="3"/>
      <c r="G9">
        <v>4000</v>
      </c>
      <c r="H9" s="3">
        <f t="shared" si="0"/>
        <v>12000</v>
      </c>
    </row>
    <row r="10" spans="2:10">
      <c r="B10" s="54">
        <v>44742</v>
      </c>
      <c r="C10" t="s">
        <v>347</v>
      </c>
      <c r="E10" s="3"/>
      <c r="F10" s="3"/>
      <c r="H10" s="3">
        <f t="shared" si="0"/>
        <v>12000</v>
      </c>
    </row>
    <row r="11" spans="2:10">
      <c r="B11" s="54">
        <v>44772</v>
      </c>
      <c r="C11" t="s">
        <v>348</v>
      </c>
      <c r="E11" s="3"/>
      <c r="F11" s="3"/>
      <c r="H11" s="3">
        <f t="shared" si="0"/>
        <v>12000</v>
      </c>
    </row>
    <row r="12" spans="2:10">
      <c r="B12" s="54">
        <v>44803</v>
      </c>
      <c r="C12" t="s">
        <v>349</v>
      </c>
      <c r="E12" s="3"/>
      <c r="F12" s="3"/>
      <c r="H12" s="3">
        <f t="shared" si="0"/>
        <v>12000</v>
      </c>
    </row>
    <row r="13" spans="2:10">
      <c r="J13" s="3"/>
    </row>
    <row r="14" spans="2:10">
      <c r="B14" t="s">
        <v>351</v>
      </c>
      <c r="J14" s="3"/>
    </row>
    <row r="15" spans="2:10">
      <c r="B15" t="s">
        <v>350</v>
      </c>
      <c r="E15" s="186" t="s">
        <v>405</v>
      </c>
      <c r="J15" s="3"/>
    </row>
    <row r="16" spans="2:10">
      <c r="D16" s="186" t="s">
        <v>404</v>
      </c>
      <c r="E16" s="186" t="s">
        <v>444</v>
      </c>
      <c r="F16" s="85" t="s">
        <v>445</v>
      </c>
      <c r="G16" s="186" t="s">
        <v>211</v>
      </c>
      <c r="H16" s="186" t="s">
        <v>406</v>
      </c>
      <c r="J16" s="3"/>
    </row>
    <row r="17" spans="2:8">
      <c r="B17" s="54">
        <v>44957</v>
      </c>
      <c r="C17" s="141" t="s">
        <v>271</v>
      </c>
      <c r="D17">
        <v>6.65</v>
      </c>
      <c r="E17" s="60">
        <v>6920</v>
      </c>
      <c r="F17" s="60"/>
      <c r="G17" s="25">
        <v>6920</v>
      </c>
      <c r="H17" s="3">
        <f>E17-G17</f>
        <v>0</v>
      </c>
    </row>
    <row r="18" spans="2:8">
      <c r="C18" s="141" t="s">
        <v>272</v>
      </c>
      <c r="D18">
        <v>3.15</v>
      </c>
      <c r="E18" s="60">
        <f t="shared" ref="E18:E31" si="1">E17+(E17*D17/100)</f>
        <v>7380.18</v>
      </c>
      <c r="F18" s="60">
        <f t="shared" ref="F18:F23" si="2">E18</f>
        <v>7380.18</v>
      </c>
      <c r="G18" s="25"/>
      <c r="H18" s="3">
        <f>F18-G18+H17</f>
        <v>7380.18</v>
      </c>
    </row>
    <row r="19" spans="2:8">
      <c r="C19" s="141" t="s">
        <v>273</v>
      </c>
      <c r="D19">
        <v>2.29</v>
      </c>
      <c r="E19" s="60">
        <f t="shared" si="1"/>
        <v>7612.6556700000001</v>
      </c>
      <c r="F19" s="60">
        <f t="shared" si="2"/>
        <v>7612.6556700000001</v>
      </c>
      <c r="G19" s="25"/>
      <c r="H19" s="3">
        <f t="shared" ref="H19:H50" si="3">F19-G19+H18</f>
        <v>14992.83567</v>
      </c>
    </row>
    <row r="20" spans="2:8">
      <c r="C20" s="141" t="s">
        <v>275</v>
      </c>
      <c r="D20">
        <v>2.39</v>
      </c>
      <c r="E20" s="60">
        <f t="shared" si="1"/>
        <v>7786.9854848430004</v>
      </c>
      <c r="F20" s="60">
        <f t="shared" si="2"/>
        <v>7786.9854848430004</v>
      </c>
      <c r="G20" s="25">
        <v>8425.4599999999991</v>
      </c>
      <c r="H20" s="3">
        <f t="shared" si="3"/>
        <v>14354.361154843002</v>
      </c>
    </row>
    <row r="21" spans="2:8">
      <c r="C21" s="141" t="s">
        <v>274</v>
      </c>
      <c r="D21">
        <v>0.04</v>
      </c>
      <c r="E21" s="60">
        <f t="shared" si="1"/>
        <v>7973.0944379307484</v>
      </c>
      <c r="F21" s="60">
        <f t="shared" si="2"/>
        <v>7973.0944379307484</v>
      </c>
      <c r="G21" s="25">
        <v>28080</v>
      </c>
      <c r="H21" s="3">
        <f t="shared" si="3"/>
        <v>-5752.5444072262508</v>
      </c>
    </row>
    <row r="22" spans="2:8">
      <c r="C22" s="141" t="s">
        <v>276</v>
      </c>
      <c r="D22">
        <v>3.92</v>
      </c>
      <c r="E22" s="60">
        <f t="shared" si="1"/>
        <v>7976.2836757059204</v>
      </c>
      <c r="F22" s="60">
        <f t="shared" si="2"/>
        <v>7976.2836757059204</v>
      </c>
      <c r="G22" s="28"/>
      <c r="H22" s="3">
        <f t="shared" si="3"/>
        <v>2223.7392684796696</v>
      </c>
    </row>
    <row r="23" spans="2:8">
      <c r="C23" s="141" t="s">
        <v>277</v>
      </c>
      <c r="D23">
        <v>9.49</v>
      </c>
      <c r="E23" s="188">
        <f t="shared" si="1"/>
        <v>8288.9539957935922</v>
      </c>
      <c r="F23" s="15">
        <f t="shared" si="2"/>
        <v>8288.9539957935922</v>
      </c>
      <c r="G23" s="189">
        <v>50000</v>
      </c>
      <c r="H23" s="3">
        <f t="shared" si="3"/>
        <v>-39487.306735726735</v>
      </c>
    </row>
    <row r="24" spans="2:8">
      <c r="C24" s="141" t="s">
        <v>278</v>
      </c>
      <c r="D24">
        <v>9.09</v>
      </c>
      <c r="E24" s="60">
        <f t="shared" si="1"/>
        <v>9075.5757299944034</v>
      </c>
      <c r="F24" s="15">
        <f>E23</f>
        <v>8288.9539957935922</v>
      </c>
      <c r="G24" s="28"/>
      <c r="H24" s="3">
        <f t="shared" si="3"/>
        <v>-31198.352739933143</v>
      </c>
    </row>
    <row r="25" spans="2:8">
      <c r="C25" s="141" t="s">
        <v>279</v>
      </c>
      <c r="D25">
        <v>4.75</v>
      </c>
      <c r="E25" s="60">
        <f t="shared" si="1"/>
        <v>9900.5455638508938</v>
      </c>
      <c r="F25" s="15">
        <f>E23</f>
        <v>8288.9539957935922</v>
      </c>
      <c r="G25" s="222"/>
      <c r="H25" s="3">
        <f t="shared" si="3"/>
        <v>-22909.398744139551</v>
      </c>
    </row>
    <row r="26" spans="2:8">
      <c r="C26" s="141" t="s">
        <v>260</v>
      </c>
      <c r="D26">
        <v>3.43</v>
      </c>
      <c r="E26" s="60">
        <f t="shared" si="1"/>
        <v>10370.821478133812</v>
      </c>
      <c r="F26" s="15">
        <f>E23</f>
        <v>8288.9539957935922</v>
      </c>
      <c r="G26" s="28"/>
      <c r="H26" s="3">
        <f t="shared" si="3"/>
        <v>-14620.444748345959</v>
      </c>
    </row>
    <row r="27" spans="2:8">
      <c r="C27" s="141" t="s">
        <v>261</v>
      </c>
      <c r="D27">
        <v>3.28</v>
      </c>
      <c r="E27" s="60">
        <f t="shared" si="1"/>
        <v>10726.540654833801</v>
      </c>
      <c r="F27" s="15">
        <f>E23</f>
        <v>8288.9539957935922</v>
      </c>
      <c r="G27" s="28">
        <v>15887.06</v>
      </c>
      <c r="H27" s="3">
        <f t="shared" si="3"/>
        <v>-22218.550752552364</v>
      </c>
    </row>
    <row r="28" spans="2:8">
      <c r="B28" s="140">
        <v>45291</v>
      </c>
      <c r="C28" s="141" t="s">
        <v>262</v>
      </c>
      <c r="D28">
        <v>2.93</v>
      </c>
      <c r="E28" s="60">
        <f t="shared" si="1"/>
        <v>11078.371188312351</v>
      </c>
      <c r="F28" s="15">
        <f>E23</f>
        <v>8288.9539957935922</v>
      </c>
      <c r="G28" s="28"/>
      <c r="H28" s="3">
        <f t="shared" si="3"/>
        <v>-13929.596756758772</v>
      </c>
    </row>
    <row r="29" spans="2:8">
      <c r="B29" s="140">
        <v>45322</v>
      </c>
      <c r="C29" s="142" t="s">
        <v>407</v>
      </c>
      <c r="D29">
        <v>6.71</v>
      </c>
      <c r="E29" s="60">
        <v>14000</v>
      </c>
      <c r="F29" s="15">
        <f>E23</f>
        <v>8288.9539957935922</v>
      </c>
      <c r="G29" s="28"/>
      <c r="H29" s="3">
        <f t="shared" si="3"/>
        <v>-5640.6427609651801</v>
      </c>
    </row>
    <row r="30" spans="2:8">
      <c r="C30" s="142" t="s">
        <v>272</v>
      </c>
      <c r="D30">
        <v>4.53</v>
      </c>
      <c r="E30" s="60">
        <f t="shared" si="1"/>
        <v>14939.4</v>
      </c>
      <c r="F30" s="60">
        <f t="shared" ref="F30:F36" si="4">E30</f>
        <v>14939.4</v>
      </c>
      <c r="G30" s="28"/>
      <c r="H30" s="3">
        <f t="shared" si="3"/>
        <v>9298.7572390348196</v>
      </c>
    </row>
    <row r="31" spans="2:8">
      <c r="C31" s="142" t="s">
        <v>273</v>
      </c>
      <c r="D31">
        <v>3.16</v>
      </c>
      <c r="E31" s="60">
        <f t="shared" si="1"/>
        <v>15616.15482</v>
      </c>
      <c r="F31" s="60">
        <f t="shared" si="4"/>
        <v>15616.15482</v>
      </c>
      <c r="G31" s="28"/>
      <c r="H31" s="3">
        <f t="shared" si="3"/>
        <v>24914.912059034818</v>
      </c>
    </row>
    <row r="32" spans="2:8">
      <c r="C32" s="144" t="s">
        <v>341</v>
      </c>
      <c r="E32" s="60">
        <v>3795</v>
      </c>
      <c r="F32" s="60">
        <f t="shared" si="4"/>
        <v>3795</v>
      </c>
      <c r="G32" s="28"/>
      <c r="H32" s="3">
        <f t="shared" si="3"/>
        <v>28709.912059034818</v>
      </c>
    </row>
    <row r="33" spans="2:8">
      <c r="C33" s="144" t="s">
        <v>205</v>
      </c>
      <c r="E33" s="60">
        <v>5600</v>
      </c>
      <c r="F33" s="60">
        <f t="shared" si="4"/>
        <v>5600</v>
      </c>
      <c r="G33" s="28"/>
      <c r="H33" s="3">
        <f t="shared" si="3"/>
        <v>34309.912059034818</v>
      </c>
    </row>
    <row r="34" spans="2:8">
      <c r="C34" s="143" t="s">
        <v>402</v>
      </c>
      <c r="E34" s="60">
        <v>278.97000000000003</v>
      </c>
      <c r="F34" s="60">
        <f t="shared" si="4"/>
        <v>278.97000000000003</v>
      </c>
      <c r="G34" s="28"/>
      <c r="H34" s="3">
        <f t="shared" si="3"/>
        <v>34588.882059034819</v>
      </c>
    </row>
    <row r="35" spans="2:8">
      <c r="C35" s="143" t="s">
        <v>403</v>
      </c>
      <c r="E35" s="60">
        <v>10000</v>
      </c>
      <c r="F35" s="60">
        <f t="shared" si="4"/>
        <v>10000</v>
      </c>
      <c r="G35" s="28"/>
      <c r="H35" s="3">
        <f t="shared" si="3"/>
        <v>44588.882059034819</v>
      </c>
    </row>
    <row r="36" spans="2:8">
      <c r="C36" s="142" t="s">
        <v>352</v>
      </c>
      <c r="D36">
        <v>3.18</v>
      </c>
      <c r="E36" s="188">
        <f>E31+(E31*D31/100)</f>
        <v>16109.625312312</v>
      </c>
      <c r="F36" s="15">
        <f t="shared" si="4"/>
        <v>16109.625312312</v>
      </c>
      <c r="G36" s="189">
        <v>85000</v>
      </c>
      <c r="H36" s="3">
        <f t="shared" si="3"/>
        <v>-24301.492628653185</v>
      </c>
    </row>
    <row r="37" spans="2:8">
      <c r="C37" s="190" t="s">
        <v>353</v>
      </c>
      <c r="D37">
        <v>3.37</v>
      </c>
      <c r="E37" s="60">
        <f>E36+(E36*D36/100)</f>
        <v>16621.911397243523</v>
      </c>
      <c r="F37" s="15">
        <f>E36</f>
        <v>16109.625312312</v>
      </c>
      <c r="G37" s="28"/>
      <c r="H37" s="3">
        <f t="shared" si="3"/>
        <v>-8191.8673163411841</v>
      </c>
    </row>
    <row r="38" spans="2:8">
      <c r="C38" s="190" t="s">
        <v>276</v>
      </c>
      <c r="D38" s="143">
        <v>1.64</v>
      </c>
      <c r="E38" s="187">
        <f>E37+(E37*D37/100)</f>
        <v>17182.069811330628</v>
      </c>
      <c r="F38" s="193">
        <f>E37</f>
        <v>16621.911397243523</v>
      </c>
      <c r="G38" s="143"/>
      <c r="H38" s="3">
        <f t="shared" si="3"/>
        <v>8430.0440809023385</v>
      </c>
    </row>
    <row r="39" spans="2:8">
      <c r="C39" s="190" t="s">
        <v>277</v>
      </c>
      <c r="D39" s="143">
        <v>3.23</v>
      </c>
      <c r="E39" s="187">
        <f t="shared" ref="E39:E43" si="5">E38+(E38*D38/100)</f>
        <v>17463.855756236451</v>
      </c>
      <c r="F39" s="187">
        <f>E39</f>
        <v>17463.855756236451</v>
      </c>
      <c r="G39" s="143"/>
      <c r="H39" s="3">
        <f t="shared" si="3"/>
        <v>25893.89983713879</v>
      </c>
    </row>
    <row r="40" spans="2:8">
      <c r="C40" s="190" t="s">
        <v>278</v>
      </c>
      <c r="D40" s="143">
        <v>2.4700000000000002</v>
      </c>
      <c r="E40" s="187">
        <f t="shared" si="5"/>
        <v>18027.938297162887</v>
      </c>
      <c r="F40" s="187">
        <f>E40</f>
        <v>18027.938297162887</v>
      </c>
      <c r="G40" s="143"/>
      <c r="H40" s="3">
        <f t="shared" si="3"/>
        <v>43921.838134301681</v>
      </c>
    </row>
    <row r="41" spans="2:8">
      <c r="C41" s="190" t="s">
        <v>354</v>
      </c>
      <c r="D41" s="143">
        <v>2.97</v>
      </c>
      <c r="E41" s="187">
        <f t="shared" si="5"/>
        <v>18473.228373102811</v>
      </c>
      <c r="F41" s="187">
        <f>E41</f>
        <v>18473.228373102811</v>
      </c>
      <c r="G41" s="143"/>
      <c r="H41" s="3">
        <f t="shared" si="3"/>
        <v>62395.066507404495</v>
      </c>
    </row>
    <row r="42" spans="2:8">
      <c r="C42" s="191" t="s">
        <v>260</v>
      </c>
      <c r="D42" s="143">
        <v>2.88</v>
      </c>
      <c r="E42" s="187">
        <f t="shared" si="5"/>
        <v>19021.883255783963</v>
      </c>
      <c r="F42" s="187">
        <f>E42</f>
        <v>19021.883255783963</v>
      </c>
      <c r="G42" s="192"/>
      <c r="H42" s="3">
        <f t="shared" si="3"/>
        <v>81416.949763188459</v>
      </c>
    </row>
    <row r="43" spans="2:8">
      <c r="C43" s="143" t="s">
        <v>261</v>
      </c>
      <c r="D43" s="143">
        <v>2.2400000000000002</v>
      </c>
      <c r="E43" s="60">
        <f t="shared" si="5"/>
        <v>19569.713493550542</v>
      </c>
      <c r="F43" s="187">
        <f>E43</f>
        <v>19569.713493550542</v>
      </c>
      <c r="H43" s="3">
        <f t="shared" si="3"/>
        <v>100986.663256739</v>
      </c>
    </row>
    <row r="44" spans="2:8">
      <c r="C44" s="143" t="s">
        <v>446</v>
      </c>
      <c r="D44" s="143"/>
      <c r="E44" s="60"/>
      <c r="F44" s="187">
        <v>8000</v>
      </c>
      <c r="H44" s="3">
        <f t="shared" si="3"/>
        <v>108986.663256739</v>
      </c>
    </row>
    <row r="45" spans="2:8">
      <c r="C45" s="143" t="s">
        <v>443</v>
      </c>
      <c r="D45" s="143"/>
      <c r="E45" s="60"/>
      <c r="F45" s="187"/>
      <c r="G45">
        <v>148500</v>
      </c>
      <c r="H45" s="3">
        <f t="shared" si="3"/>
        <v>-39513.336743260996</v>
      </c>
    </row>
    <row r="46" spans="2:8">
      <c r="C46" s="143" t="s">
        <v>262</v>
      </c>
      <c r="D46" s="143">
        <v>1.03</v>
      </c>
      <c r="E46" s="60">
        <f>E43+(E43*D43/100)</f>
        <v>20008.075075806075</v>
      </c>
      <c r="F46" s="187">
        <f>E46</f>
        <v>20008.075075806075</v>
      </c>
      <c r="H46" s="3">
        <f t="shared" si="3"/>
        <v>-19505.261667454921</v>
      </c>
    </row>
    <row r="47" spans="2:8">
      <c r="B47">
        <v>2025</v>
      </c>
      <c r="C47" s="142" t="s">
        <v>408</v>
      </c>
      <c r="D47" s="143">
        <v>5.03</v>
      </c>
      <c r="E47" s="60">
        <v>22104</v>
      </c>
      <c r="F47" s="187">
        <f>E47</f>
        <v>22104</v>
      </c>
      <c r="H47" s="3">
        <f t="shared" si="3"/>
        <v>2598.7383325450792</v>
      </c>
    </row>
    <row r="48" spans="2:8">
      <c r="C48" s="142"/>
      <c r="E48" s="60"/>
      <c r="F48" s="60"/>
      <c r="H48" s="3">
        <f t="shared" si="3"/>
        <v>2598.7383325450792</v>
      </c>
    </row>
    <row r="49" spans="2:9">
      <c r="B49" s="253">
        <v>45691</v>
      </c>
      <c r="C49" s="254" t="s">
        <v>457</v>
      </c>
      <c r="D49" s="254"/>
      <c r="E49" s="255"/>
      <c r="F49" s="255"/>
      <c r="G49" s="254"/>
      <c r="H49" s="256">
        <f t="shared" si="3"/>
        <v>2598.7383325450792</v>
      </c>
      <c r="I49" s="254"/>
    </row>
    <row r="50" spans="2:9">
      <c r="C50" s="142"/>
      <c r="E50" s="60"/>
      <c r="F50" s="187"/>
      <c r="H50" s="3">
        <f t="shared" si="3"/>
        <v>2598.7383325450792</v>
      </c>
    </row>
    <row r="51" spans="2:9">
      <c r="C51" s="143"/>
      <c r="E51" s="60"/>
      <c r="F51" s="60"/>
      <c r="H51" s="29"/>
    </row>
    <row r="52" spans="2:9">
      <c r="C52" s="143"/>
      <c r="E52" s="60"/>
      <c r="F52" s="60"/>
      <c r="H52" s="29"/>
    </row>
    <row r="53" spans="2:9">
      <c r="C53" s="143"/>
      <c r="E53" s="60"/>
      <c r="F53" s="60"/>
      <c r="H53" s="29"/>
    </row>
    <row r="58" spans="2:9">
      <c r="B58" s="92">
        <v>45421</v>
      </c>
      <c r="C58" t="s">
        <v>391</v>
      </c>
    </row>
    <row r="59" spans="2:9">
      <c r="B59" s="92"/>
      <c r="C59" t="s">
        <v>392</v>
      </c>
    </row>
    <row r="60" spans="2:9">
      <c r="B60" s="92"/>
      <c r="C60" t="s">
        <v>393</v>
      </c>
    </row>
    <row r="61" spans="2:9">
      <c r="B61" s="92"/>
      <c r="C61" t="s">
        <v>394</v>
      </c>
    </row>
    <row r="62" spans="2:9">
      <c r="B62" s="92"/>
    </row>
    <row r="63" spans="2:9">
      <c r="B63" s="92"/>
    </row>
    <row r="65" spans="2:8">
      <c r="B65" s="54">
        <v>44957</v>
      </c>
      <c r="C65" s="141" t="s">
        <v>271</v>
      </c>
      <c r="D65">
        <v>6.65</v>
      </c>
      <c r="E65" s="60">
        <v>6920</v>
      </c>
      <c r="F65" s="60"/>
      <c r="G65" s="25">
        <v>6920</v>
      </c>
      <c r="H65" s="3">
        <f>E65-G65</f>
        <v>0</v>
      </c>
    </row>
    <row r="66" spans="2:8">
      <c r="C66" s="141" t="s">
        <v>272</v>
      </c>
      <c r="D66">
        <v>3.15</v>
      </c>
      <c r="E66" s="60">
        <f t="shared" ref="E66:E71" si="6">E65+(E65*D65/100)</f>
        <v>7380.18</v>
      </c>
      <c r="F66" s="60"/>
      <c r="G66" s="25"/>
      <c r="H66" s="3">
        <f t="shared" ref="H66:H90" si="7">E66-G66+H65</f>
        <v>7380.18</v>
      </c>
    </row>
    <row r="67" spans="2:8">
      <c r="C67" s="141" t="s">
        <v>273</v>
      </c>
      <c r="D67">
        <v>2.29</v>
      </c>
      <c r="E67" s="60">
        <f t="shared" si="6"/>
        <v>7612.6556700000001</v>
      </c>
      <c r="F67" s="60"/>
      <c r="G67" s="25"/>
      <c r="H67" s="3">
        <f t="shared" si="7"/>
        <v>14992.83567</v>
      </c>
    </row>
    <row r="68" spans="2:8">
      <c r="C68" s="141" t="s">
        <v>275</v>
      </c>
      <c r="D68">
        <v>2.39</v>
      </c>
      <c r="E68" s="60">
        <f t="shared" si="6"/>
        <v>7786.9854848430004</v>
      </c>
      <c r="F68" s="60"/>
      <c r="G68" s="25">
        <v>8425.4599999999991</v>
      </c>
      <c r="H68" s="3">
        <f t="shared" si="7"/>
        <v>14354.361154843002</v>
      </c>
    </row>
    <row r="69" spans="2:8">
      <c r="C69" s="141" t="s">
        <v>274</v>
      </c>
      <c r="D69">
        <v>0.04</v>
      </c>
      <c r="E69" s="60">
        <f t="shared" si="6"/>
        <v>7973.0944379307484</v>
      </c>
      <c r="F69" s="60"/>
      <c r="G69" s="25">
        <v>28080</v>
      </c>
      <c r="H69" s="3">
        <f t="shared" si="7"/>
        <v>-5752.5444072262508</v>
      </c>
    </row>
    <row r="70" spans="2:8">
      <c r="C70" s="141" t="s">
        <v>276</v>
      </c>
      <c r="D70">
        <v>3.92</v>
      </c>
      <c r="E70" s="60">
        <f t="shared" si="6"/>
        <v>7976.2836757059204</v>
      </c>
      <c r="F70" s="60"/>
      <c r="G70" s="28"/>
      <c r="H70" s="3">
        <f t="shared" si="7"/>
        <v>2223.7392684796696</v>
      </c>
    </row>
    <row r="71" spans="2:8">
      <c r="C71" s="141" t="s">
        <v>277</v>
      </c>
      <c r="D71">
        <v>9.49</v>
      </c>
      <c r="E71" s="60">
        <f t="shared" si="6"/>
        <v>8288.9539957935922</v>
      </c>
      <c r="F71" s="60"/>
      <c r="G71" s="28">
        <v>50000</v>
      </c>
      <c r="H71" s="3">
        <f t="shared" si="7"/>
        <v>-39487.306735726735</v>
      </c>
    </row>
    <row r="72" spans="2:8">
      <c r="C72" s="141" t="s">
        <v>278</v>
      </c>
      <c r="D72">
        <v>9.09</v>
      </c>
      <c r="E72" s="60">
        <f>E71</f>
        <v>8288.9539957935922</v>
      </c>
      <c r="F72" s="60"/>
      <c r="G72" s="28"/>
      <c r="H72" s="3">
        <f t="shared" si="7"/>
        <v>-31198.352739933143</v>
      </c>
    </row>
    <row r="73" spans="2:8">
      <c r="C73" s="141" t="s">
        <v>279</v>
      </c>
      <c r="D73">
        <v>4.75</v>
      </c>
      <c r="E73" s="60">
        <f t="shared" ref="E73:E76" si="8">E72</f>
        <v>8288.9539957935922</v>
      </c>
      <c r="F73" s="60"/>
      <c r="G73" s="28"/>
      <c r="H73" s="3">
        <f t="shared" si="7"/>
        <v>-22909.398744139551</v>
      </c>
    </row>
    <row r="74" spans="2:8">
      <c r="C74" s="141" t="s">
        <v>260</v>
      </c>
      <c r="D74">
        <v>3.43</v>
      </c>
      <c r="E74" s="60">
        <f t="shared" si="8"/>
        <v>8288.9539957935922</v>
      </c>
      <c r="F74" s="60"/>
      <c r="G74" s="28"/>
      <c r="H74" s="3">
        <f t="shared" si="7"/>
        <v>-14620.444748345959</v>
      </c>
    </row>
    <row r="75" spans="2:8">
      <c r="C75" s="141" t="s">
        <v>261</v>
      </c>
      <c r="D75">
        <v>3.28</v>
      </c>
      <c r="E75" s="60">
        <f t="shared" si="8"/>
        <v>8288.9539957935922</v>
      </c>
      <c r="F75" s="60"/>
      <c r="G75" s="28">
        <v>15887.06</v>
      </c>
      <c r="H75" s="3">
        <f t="shared" si="7"/>
        <v>-22218.550752552364</v>
      </c>
    </row>
    <row r="76" spans="2:8">
      <c r="B76" s="140">
        <v>45291</v>
      </c>
      <c r="C76" s="141" t="s">
        <v>262</v>
      </c>
      <c r="D76">
        <v>2.93</v>
      </c>
      <c r="E76" s="60">
        <f t="shared" si="8"/>
        <v>8288.9539957935922</v>
      </c>
      <c r="F76" s="60"/>
      <c r="G76" s="28"/>
      <c r="H76" s="29">
        <f t="shared" si="7"/>
        <v>-13929.596756758772</v>
      </c>
    </row>
    <row r="77" spans="2:8">
      <c r="B77" s="140">
        <v>45322</v>
      </c>
      <c r="C77" s="142" t="s">
        <v>271</v>
      </c>
      <c r="D77">
        <v>6.71</v>
      </c>
      <c r="E77" s="60">
        <v>14000</v>
      </c>
      <c r="F77" s="60"/>
      <c r="G77" s="28"/>
      <c r="H77" s="29">
        <f t="shared" si="7"/>
        <v>70.403243241227756</v>
      </c>
    </row>
    <row r="78" spans="2:8">
      <c r="C78" s="142" t="s">
        <v>272</v>
      </c>
      <c r="D78">
        <v>4.53</v>
      </c>
      <c r="E78" s="60">
        <f t="shared" ref="E78:E79" si="9">E77+(E77*D77/100)</f>
        <v>14939.4</v>
      </c>
      <c r="F78" s="60"/>
      <c r="G78" s="28"/>
      <c r="H78" s="29">
        <f t="shared" si="7"/>
        <v>15009.803243241227</v>
      </c>
    </row>
    <row r="79" spans="2:8">
      <c r="C79" s="142" t="s">
        <v>273</v>
      </c>
      <c r="D79">
        <v>3.16</v>
      </c>
      <c r="E79" s="60">
        <f t="shared" si="9"/>
        <v>15616.15482</v>
      </c>
      <c r="F79" s="60"/>
      <c r="G79" s="28"/>
      <c r="H79" s="29">
        <f t="shared" si="7"/>
        <v>30625.958063241225</v>
      </c>
    </row>
    <row r="80" spans="2:8">
      <c r="C80" s="144" t="s">
        <v>341</v>
      </c>
      <c r="E80" s="60"/>
      <c r="F80" s="60"/>
      <c r="G80" s="28">
        <v>-3795</v>
      </c>
      <c r="H80" s="29">
        <f t="shared" si="7"/>
        <v>34420.958063241225</v>
      </c>
    </row>
    <row r="81" spans="3:8">
      <c r="C81" s="142" t="s">
        <v>352</v>
      </c>
      <c r="D81">
        <v>3.16</v>
      </c>
      <c r="E81" s="60">
        <f>E79+(E79*D79/100)</f>
        <v>16109.625312312</v>
      </c>
      <c r="F81" s="60"/>
      <c r="G81" s="28">
        <v>85000</v>
      </c>
      <c r="H81" s="29">
        <f>E81-G81+H80</f>
        <v>-34469.416624446778</v>
      </c>
    </row>
    <row r="82" spans="3:8">
      <c r="C82" s="144" t="s">
        <v>205</v>
      </c>
      <c r="D82">
        <v>5.54</v>
      </c>
      <c r="E82" s="60"/>
      <c r="F82" s="60"/>
      <c r="G82" s="28">
        <v>-5600</v>
      </c>
      <c r="H82" s="29">
        <f>E82-G82+H81</f>
        <v>-28869.416624446778</v>
      </c>
    </row>
    <row r="83" spans="3:8">
      <c r="C83" s="143" t="s">
        <v>353</v>
      </c>
      <c r="E83" s="60">
        <f>E81+(E81*D82/100)</f>
        <v>17002.098554614084</v>
      </c>
      <c r="F83" s="60"/>
      <c r="G83" s="28"/>
      <c r="H83" s="29">
        <f>E83-G83+H82</f>
        <v>-11867.318069832694</v>
      </c>
    </row>
    <row r="84" spans="3:8">
      <c r="C84" s="143" t="s">
        <v>276</v>
      </c>
      <c r="E84" s="60">
        <f>E83+(E83*D83/100)</f>
        <v>17002.098554614084</v>
      </c>
      <c r="F84" s="60"/>
      <c r="H84" s="29">
        <f t="shared" si="7"/>
        <v>5134.7804847813895</v>
      </c>
    </row>
    <row r="85" spans="3:8">
      <c r="C85" s="143" t="s">
        <v>277</v>
      </c>
      <c r="E85" s="60">
        <f t="shared" ref="E85:E90" si="10">E84+(E84*D84/100)</f>
        <v>17002.098554614084</v>
      </c>
      <c r="F85" s="60"/>
      <c r="H85" s="29">
        <f t="shared" si="7"/>
        <v>22136.879039395473</v>
      </c>
    </row>
    <row r="86" spans="3:8">
      <c r="C86" s="143" t="s">
        <v>278</v>
      </c>
      <c r="E86" s="60">
        <f t="shared" si="10"/>
        <v>17002.098554614084</v>
      </c>
      <c r="F86" s="60"/>
      <c r="H86" s="29">
        <f t="shared" si="7"/>
        <v>39138.977594009557</v>
      </c>
    </row>
    <row r="87" spans="3:8">
      <c r="C87" s="143" t="s">
        <v>354</v>
      </c>
      <c r="E87" s="60">
        <f t="shared" si="10"/>
        <v>17002.098554614084</v>
      </c>
      <c r="F87" s="60"/>
      <c r="H87" s="29">
        <f t="shared" si="7"/>
        <v>56141.076148623644</v>
      </c>
    </row>
    <row r="88" spans="3:8">
      <c r="C88" s="143" t="s">
        <v>260</v>
      </c>
      <c r="E88" s="60">
        <f t="shared" si="10"/>
        <v>17002.098554614084</v>
      </c>
      <c r="F88" s="60"/>
      <c r="H88" s="29">
        <f t="shared" si="7"/>
        <v>73143.174703237732</v>
      </c>
    </row>
    <row r="89" spans="3:8">
      <c r="C89" s="143" t="s">
        <v>261</v>
      </c>
      <c r="E89" s="60">
        <f t="shared" si="10"/>
        <v>17002.098554614084</v>
      </c>
      <c r="F89" s="60"/>
      <c r="H89" s="29">
        <f t="shared" si="7"/>
        <v>90145.273257851819</v>
      </c>
    </row>
    <row r="90" spans="3:8">
      <c r="C90" s="143" t="s">
        <v>262</v>
      </c>
      <c r="E90" s="60">
        <f t="shared" si="10"/>
        <v>17002.098554614084</v>
      </c>
      <c r="F90" s="60"/>
      <c r="H90" s="29">
        <f t="shared" si="7"/>
        <v>107147.37181246591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C3FD-4A16-44DB-81EE-49DCD2069EA7}">
  <sheetPr>
    <tabColor theme="9" tint="0.39997558519241921"/>
  </sheetPr>
  <dimension ref="A3:N62"/>
  <sheetViews>
    <sheetView topLeftCell="A35" zoomScale="175" zoomScaleNormal="175" workbookViewId="0">
      <selection activeCell="C3" sqref="C3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11.42578125" customWidth="1"/>
    <col min="7" max="8" width="11.710937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3" spans="2:10" ht="15">
      <c r="C3" s="293">
        <v>45739</v>
      </c>
    </row>
    <row r="4" spans="2:10">
      <c r="E4" s="186"/>
    </row>
    <row r="5" spans="2:10">
      <c r="B5" s="259"/>
      <c r="C5" s="259"/>
      <c r="D5" s="260" t="s">
        <v>404</v>
      </c>
      <c r="E5" s="260" t="s">
        <v>460</v>
      </c>
      <c r="F5" s="261" t="s">
        <v>445</v>
      </c>
      <c r="G5" s="260" t="s">
        <v>211</v>
      </c>
      <c r="H5" s="260" t="s">
        <v>406</v>
      </c>
    </row>
    <row r="6" spans="2:10">
      <c r="B6" s="259"/>
      <c r="C6" s="259"/>
      <c r="D6" s="259"/>
      <c r="E6" s="262"/>
      <c r="F6" s="262"/>
      <c r="G6" s="262"/>
      <c r="H6" s="262">
        <f>I4+E6-G6</f>
        <v>0</v>
      </c>
    </row>
    <row r="7" spans="2:10">
      <c r="B7" s="263">
        <v>44651</v>
      </c>
      <c r="C7" s="259"/>
      <c r="D7" s="259"/>
      <c r="F7" s="262">
        <v>48000</v>
      </c>
      <c r="G7" s="259">
        <v>28000</v>
      </c>
      <c r="H7" s="262">
        <f>F7-G7+H6</f>
        <v>20000</v>
      </c>
    </row>
    <row r="8" spans="2:10">
      <c r="B8" s="263">
        <v>44681</v>
      </c>
      <c r="C8" s="264" t="s">
        <v>462</v>
      </c>
      <c r="D8" s="259"/>
      <c r="F8" s="262"/>
      <c r="G8" s="259">
        <v>4000</v>
      </c>
      <c r="H8" s="262">
        <f t="shared" ref="H8:H18" si="0">F8-G8+H7</f>
        <v>16000</v>
      </c>
    </row>
    <row r="9" spans="2:10">
      <c r="B9" s="263">
        <v>44711</v>
      </c>
      <c r="C9" s="259" t="s">
        <v>461</v>
      </c>
      <c r="D9" s="259"/>
      <c r="F9" s="262"/>
      <c r="G9" s="259">
        <v>4000</v>
      </c>
      <c r="H9" s="262">
        <f t="shared" si="0"/>
        <v>12000</v>
      </c>
    </row>
    <row r="10" spans="2:10">
      <c r="B10" s="263">
        <v>44742</v>
      </c>
      <c r="C10" s="259"/>
      <c r="D10" s="259"/>
      <c r="F10" s="262"/>
      <c r="G10" s="259"/>
      <c r="H10" s="262">
        <f t="shared" si="0"/>
        <v>12000</v>
      </c>
    </row>
    <row r="11" spans="2:10" ht="13.5" thickBot="1">
      <c r="B11" s="263">
        <v>44772</v>
      </c>
      <c r="C11" s="259"/>
      <c r="D11" s="259"/>
      <c r="F11" s="262"/>
      <c r="G11" s="259"/>
      <c r="H11" s="262">
        <f t="shared" si="0"/>
        <v>12000</v>
      </c>
    </row>
    <row r="12" spans="2:10">
      <c r="B12" s="263">
        <v>44803</v>
      </c>
      <c r="C12" s="326" t="s">
        <v>499</v>
      </c>
      <c r="D12" s="327"/>
      <c r="E12" s="313"/>
      <c r="F12" s="262"/>
      <c r="G12" s="259"/>
      <c r="H12" s="262">
        <f t="shared" si="0"/>
        <v>12000</v>
      </c>
    </row>
    <row r="13" spans="2:10" ht="13.5" thickBot="1">
      <c r="B13" s="263">
        <v>44834</v>
      </c>
      <c r="C13" s="328" t="s">
        <v>500</v>
      </c>
      <c r="D13" s="329"/>
      <c r="E13" s="318"/>
      <c r="F13" s="262"/>
      <c r="G13" s="259"/>
      <c r="H13" s="262">
        <f t="shared" si="0"/>
        <v>12000</v>
      </c>
      <c r="J13" s="3"/>
    </row>
    <row r="14" spans="2:10">
      <c r="B14" s="263">
        <v>44864</v>
      </c>
      <c r="C14" s="259"/>
      <c r="D14" s="259"/>
      <c r="F14" s="262"/>
      <c r="G14" s="259"/>
      <c r="H14" s="262">
        <f t="shared" si="0"/>
        <v>12000</v>
      </c>
      <c r="J14" s="3"/>
    </row>
    <row r="15" spans="2:10">
      <c r="B15" s="263">
        <v>44895</v>
      </c>
      <c r="C15" s="259" t="s">
        <v>502</v>
      </c>
      <c r="D15" s="259"/>
      <c r="F15" s="262">
        <v>-12000</v>
      </c>
      <c r="G15" s="259"/>
      <c r="H15" s="262">
        <f t="shared" si="0"/>
        <v>0</v>
      </c>
      <c r="J15" s="3"/>
    </row>
    <row r="16" spans="2:10" ht="13.5" thickBot="1">
      <c r="B16" s="263"/>
      <c r="C16" s="330" t="s">
        <v>503</v>
      </c>
      <c r="D16" s="259"/>
      <c r="F16" s="262"/>
      <c r="G16" s="259"/>
      <c r="H16" s="262"/>
      <c r="J16" s="3"/>
    </row>
    <row r="17" spans="2:10" ht="13.5" thickBot="1">
      <c r="B17" s="324">
        <v>44925</v>
      </c>
      <c r="C17" s="286" t="s">
        <v>501</v>
      </c>
      <c r="D17" s="281"/>
      <c r="E17" s="288"/>
      <c r="F17" s="289"/>
      <c r="G17" s="281"/>
      <c r="H17" s="325">
        <f>F17-G17+H15</f>
        <v>0</v>
      </c>
      <c r="J17" s="3"/>
    </row>
    <row r="18" spans="2:10">
      <c r="B18" s="263">
        <v>44956</v>
      </c>
      <c r="C18" s="330" t="s">
        <v>489</v>
      </c>
      <c r="D18" s="259">
        <v>6.65</v>
      </c>
      <c r="E18" s="265">
        <v>6920</v>
      </c>
      <c r="F18" s="262">
        <f>E18</f>
        <v>6920</v>
      </c>
      <c r="G18" s="262">
        <v>6920</v>
      </c>
      <c r="H18" s="262">
        <f t="shared" si="0"/>
        <v>0</v>
      </c>
    </row>
    <row r="19" spans="2:10" ht="13.5" thickBot="1">
      <c r="B19" s="276">
        <v>44985</v>
      </c>
      <c r="C19" s="277"/>
      <c r="D19" s="277">
        <v>3.15</v>
      </c>
      <c r="E19" s="265">
        <f t="shared" ref="E19:E33" si="1">E18+(E18*D18/100)</f>
        <v>7380.18</v>
      </c>
      <c r="F19" s="265">
        <f t="shared" ref="F19:F25" si="2">E19</f>
        <v>7380.18</v>
      </c>
      <c r="G19" s="278"/>
      <c r="H19" s="278">
        <f t="shared" ref="H19" si="3">F19-G19+H18</f>
        <v>7380.18</v>
      </c>
    </row>
    <row r="20" spans="2:10" ht="13.5" thickBot="1">
      <c r="B20" s="271">
        <v>45015</v>
      </c>
      <c r="C20" s="272"/>
      <c r="D20" s="272">
        <v>2.29</v>
      </c>
      <c r="E20" s="273">
        <f t="shared" si="1"/>
        <v>7612.6556700000001</v>
      </c>
      <c r="F20" s="273">
        <f t="shared" si="2"/>
        <v>7612.6556700000001</v>
      </c>
      <c r="G20" s="274"/>
      <c r="H20" s="280">
        <f t="shared" ref="H20:H54" si="4">F20-G20+H19</f>
        <v>14992.83567</v>
      </c>
    </row>
    <row r="21" spans="2:10">
      <c r="B21" s="331"/>
      <c r="C21" s="332" t="s">
        <v>504</v>
      </c>
      <c r="D21" s="332"/>
      <c r="E21" s="333"/>
      <c r="F21" s="333"/>
      <c r="G21" s="334"/>
      <c r="H21" s="334"/>
    </row>
    <row r="22" spans="2:10">
      <c r="B22" s="264">
        <v>45046</v>
      </c>
      <c r="C22" s="290" t="s">
        <v>463</v>
      </c>
      <c r="D22" s="259">
        <v>2.39</v>
      </c>
      <c r="E22" s="265">
        <f>E20+(E20*D20/100)</f>
        <v>7786.9854848430004</v>
      </c>
      <c r="F22" s="265">
        <f t="shared" si="2"/>
        <v>7786.9854848430004</v>
      </c>
      <c r="G22" s="270">
        <v>8425.4599999999991</v>
      </c>
      <c r="H22" s="262">
        <f>F22-G22+H20</f>
        <v>14354.361154843002</v>
      </c>
    </row>
    <row r="23" spans="2:10">
      <c r="B23" s="264">
        <v>45076</v>
      </c>
      <c r="C23" s="259" t="s">
        <v>489</v>
      </c>
      <c r="D23" s="259">
        <v>0.04</v>
      </c>
      <c r="E23" s="265">
        <f t="shared" si="1"/>
        <v>7973.0944379307484</v>
      </c>
      <c r="F23" s="265">
        <f t="shared" si="2"/>
        <v>7973.0944379307484</v>
      </c>
      <c r="G23" s="262">
        <v>28080</v>
      </c>
      <c r="H23" s="262">
        <f t="shared" si="4"/>
        <v>-5752.5444072262508</v>
      </c>
    </row>
    <row r="24" spans="2:10">
      <c r="B24" s="264">
        <v>45107</v>
      </c>
      <c r="C24" s="259"/>
      <c r="D24" s="259">
        <v>3.92</v>
      </c>
      <c r="E24" s="265">
        <f t="shared" si="1"/>
        <v>7976.2836757059204</v>
      </c>
      <c r="F24" s="265">
        <f t="shared" si="2"/>
        <v>7976.2836757059204</v>
      </c>
      <c r="G24" s="266"/>
      <c r="H24" s="262">
        <f t="shared" si="4"/>
        <v>2223.7392684796696</v>
      </c>
    </row>
    <row r="25" spans="2:10">
      <c r="B25" s="264">
        <v>45137</v>
      </c>
      <c r="C25" s="259"/>
      <c r="D25" s="259">
        <v>9.49</v>
      </c>
      <c r="E25" s="291">
        <f t="shared" si="1"/>
        <v>8288.9539957935922</v>
      </c>
      <c r="F25" s="291">
        <f t="shared" si="2"/>
        <v>8288.9539957935922</v>
      </c>
      <c r="G25" s="266">
        <v>50000</v>
      </c>
      <c r="H25" s="262">
        <f t="shared" si="4"/>
        <v>-39487.306735726735</v>
      </c>
    </row>
    <row r="26" spans="2:10">
      <c r="B26" s="264">
        <v>45168</v>
      </c>
      <c r="C26" s="259"/>
      <c r="D26" s="259">
        <v>9.09</v>
      </c>
      <c r="E26" s="265">
        <f t="shared" si="1"/>
        <v>9075.5757299944034</v>
      </c>
      <c r="F26" s="291">
        <f>E25</f>
        <v>8288.9539957935922</v>
      </c>
      <c r="G26" s="266"/>
      <c r="H26" s="262">
        <f t="shared" si="4"/>
        <v>-31198.352739933143</v>
      </c>
    </row>
    <row r="27" spans="2:10">
      <c r="B27" s="264">
        <v>45199</v>
      </c>
      <c r="C27" s="259"/>
      <c r="D27" s="259">
        <v>4.75</v>
      </c>
      <c r="E27" s="265">
        <f t="shared" si="1"/>
        <v>9900.5455638508938</v>
      </c>
      <c r="F27" s="291">
        <f>E25</f>
        <v>8288.9539957935922</v>
      </c>
      <c r="G27" s="267"/>
      <c r="H27" s="262">
        <f t="shared" si="4"/>
        <v>-22909.398744139551</v>
      </c>
    </row>
    <row r="28" spans="2:10">
      <c r="B28" s="264">
        <v>45229</v>
      </c>
      <c r="C28" s="259"/>
      <c r="D28" s="259">
        <v>3.43</v>
      </c>
      <c r="E28" s="265">
        <f t="shared" si="1"/>
        <v>10370.821478133812</v>
      </c>
      <c r="F28" s="291">
        <f>E25</f>
        <v>8288.9539957935922</v>
      </c>
      <c r="G28" s="266"/>
      <c r="H28" s="262">
        <f t="shared" si="4"/>
        <v>-14620.444748345959</v>
      </c>
    </row>
    <row r="29" spans="2:10">
      <c r="B29" s="264">
        <v>45260</v>
      </c>
      <c r="C29" s="259"/>
      <c r="D29" s="259">
        <v>3.28</v>
      </c>
      <c r="E29" s="265">
        <f t="shared" si="1"/>
        <v>10726.540654833801</v>
      </c>
      <c r="F29" s="291">
        <f>E25</f>
        <v>8288.9539957935922</v>
      </c>
      <c r="G29" s="266">
        <v>15887.06</v>
      </c>
      <c r="H29" s="262">
        <f t="shared" si="4"/>
        <v>-22218.550752552364</v>
      </c>
    </row>
    <row r="30" spans="2:10">
      <c r="B30" s="264">
        <v>45290</v>
      </c>
      <c r="C30" s="259"/>
      <c r="D30" s="259">
        <v>2.93</v>
      </c>
      <c r="E30" s="265">
        <f t="shared" si="1"/>
        <v>11078.371188312351</v>
      </c>
      <c r="F30" s="291">
        <f>E25</f>
        <v>8288.9539957935922</v>
      </c>
      <c r="G30" s="266"/>
      <c r="H30" s="262">
        <f t="shared" si="4"/>
        <v>-13929.596756758772</v>
      </c>
    </row>
    <row r="31" spans="2:10">
      <c r="B31" s="264">
        <v>45321</v>
      </c>
      <c r="C31" s="259"/>
      <c r="D31" s="259">
        <v>6.71</v>
      </c>
      <c r="E31" s="265">
        <f t="shared" si="1"/>
        <v>11402.967464129903</v>
      </c>
      <c r="F31" s="291">
        <f>E25</f>
        <v>8288.9539957935922</v>
      </c>
      <c r="G31" s="266"/>
      <c r="H31" s="262">
        <f t="shared" si="4"/>
        <v>-5640.6427609651801</v>
      </c>
    </row>
    <row r="32" spans="2:10">
      <c r="B32" s="276">
        <v>45350</v>
      </c>
      <c r="C32" s="277"/>
      <c r="D32" s="277">
        <v>4.53</v>
      </c>
      <c r="E32" s="265">
        <f t="shared" si="1"/>
        <v>12168.106580973019</v>
      </c>
      <c r="F32" s="265">
        <f t="shared" ref="F32:F38" si="5">E32</f>
        <v>12168.106580973019</v>
      </c>
      <c r="G32" s="266"/>
      <c r="H32" s="278">
        <f t="shared" si="4"/>
        <v>6527.4638200078389</v>
      </c>
    </row>
    <row r="33" spans="2:8">
      <c r="B33" s="271">
        <v>45381</v>
      </c>
      <c r="C33" s="272"/>
      <c r="D33" s="272">
        <v>3.16</v>
      </c>
      <c r="E33" s="273">
        <f t="shared" si="1"/>
        <v>12719.321809091096</v>
      </c>
      <c r="F33" s="273">
        <f t="shared" si="5"/>
        <v>12719.321809091096</v>
      </c>
      <c r="G33" s="275"/>
      <c r="H33" s="274">
        <f t="shared" si="4"/>
        <v>19246.785629098937</v>
      </c>
    </row>
    <row r="34" spans="2:8">
      <c r="B34" s="259"/>
      <c r="C34" s="279" t="s">
        <v>341</v>
      </c>
      <c r="D34" s="259"/>
      <c r="E34" s="265">
        <v>3795</v>
      </c>
      <c r="F34" s="265">
        <f t="shared" si="5"/>
        <v>3795</v>
      </c>
      <c r="G34" s="266"/>
      <c r="H34" s="262">
        <f t="shared" si="4"/>
        <v>23041.785629098937</v>
      </c>
    </row>
    <row r="35" spans="2:8">
      <c r="B35" s="259"/>
      <c r="C35" s="279" t="s">
        <v>205</v>
      </c>
      <c r="D35" s="259"/>
      <c r="E35" s="265">
        <v>5600</v>
      </c>
      <c r="F35" s="265">
        <f t="shared" si="5"/>
        <v>5600</v>
      </c>
      <c r="G35" s="266"/>
      <c r="H35" s="262">
        <f t="shared" si="4"/>
        <v>28641.785629098937</v>
      </c>
    </row>
    <row r="36" spans="2:8">
      <c r="B36" s="259"/>
      <c r="C36" s="259" t="s">
        <v>402</v>
      </c>
      <c r="D36" s="259"/>
      <c r="E36" s="265">
        <v>278.97000000000003</v>
      </c>
      <c r="F36" s="265">
        <f t="shared" si="5"/>
        <v>278.97000000000003</v>
      </c>
      <c r="G36" s="266"/>
      <c r="H36" s="262">
        <f t="shared" si="4"/>
        <v>28920.755629098938</v>
      </c>
    </row>
    <row r="37" spans="2:8">
      <c r="B37" s="259"/>
      <c r="C37" s="259" t="s">
        <v>403</v>
      </c>
      <c r="D37" s="259"/>
      <c r="E37" s="265">
        <v>10000</v>
      </c>
      <c r="F37" s="265">
        <f t="shared" si="5"/>
        <v>10000</v>
      </c>
      <c r="G37" s="266"/>
      <c r="H37" s="262">
        <f t="shared" si="4"/>
        <v>38920.755629098938</v>
      </c>
    </row>
    <row r="38" spans="2:8">
      <c r="B38" s="264">
        <v>45762</v>
      </c>
      <c r="C38" s="259" t="s">
        <v>489</v>
      </c>
      <c r="D38" s="259">
        <v>3.18</v>
      </c>
      <c r="E38" s="291">
        <f>E33+(E33*D33/100)</f>
        <v>13121.252378258374</v>
      </c>
      <c r="F38" s="291">
        <f t="shared" si="5"/>
        <v>13121.252378258374</v>
      </c>
      <c r="G38" s="266">
        <v>85000</v>
      </c>
      <c r="H38" s="262">
        <f t="shared" si="4"/>
        <v>-32957.991992642688</v>
      </c>
    </row>
    <row r="39" spans="2:8">
      <c r="B39" s="264">
        <v>45442</v>
      </c>
      <c r="C39" s="277"/>
      <c r="D39" s="259">
        <v>3.37</v>
      </c>
      <c r="E39" s="265">
        <f>E38+(E38*D38/100)</f>
        <v>13538.50820388699</v>
      </c>
      <c r="F39" s="291">
        <f>E38</f>
        <v>13121.252378258374</v>
      </c>
      <c r="G39" s="266"/>
      <c r="H39" s="262">
        <f t="shared" si="4"/>
        <v>-19836.739614384314</v>
      </c>
    </row>
    <row r="40" spans="2:8">
      <c r="B40" s="264">
        <v>45473</v>
      </c>
      <c r="C40" s="277"/>
      <c r="D40" s="259">
        <v>1.64</v>
      </c>
      <c r="E40" s="265">
        <f>E39+(E39*D39/100)</f>
        <v>13994.755930357982</v>
      </c>
      <c r="F40" s="265">
        <f t="shared" ref="F40:F45" si="6">E40</f>
        <v>13994.755930357982</v>
      </c>
      <c r="G40" s="259"/>
      <c r="H40" s="262">
        <f t="shared" si="4"/>
        <v>-5841.9836840263324</v>
      </c>
    </row>
    <row r="41" spans="2:8">
      <c r="B41" s="264">
        <v>45503</v>
      </c>
      <c r="C41" s="277"/>
      <c r="D41" s="259">
        <v>3.23</v>
      </c>
      <c r="E41" s="265">
        <f t="shared" ref="E41:E45" si="7">E40+(E40*D40/100)</f>
        <v>14224.269927615853</v>
      </c>
      <c r="F41" s="265">
        <f t="shared" si="6"/>
        <v>14224.269927615853</v>
      </c>
      <c r="G41" s="259"/>
      <c r="H41" s="262">
        <f t="shared" si="4"/>
        <v>8382.2862435895204</v>
      </c>
    </row>
    <row r="42" spans="2:8">
      <c r="B42" s="264">
        <v>45534</v>
      </c>
      <c r="C42" s="277"/>
      <c r="D42" s="259">
        <v>2.4700000000000002</v>
      </c>
      <c r="E42" s="265">
        <f t="shared" si="7"/>
        <v>14683.713846277846</v>
      </c>
      <c r="F42" s="265">
        <f t="shared" si="6"/>
        <v>14683.713846277846</v>
      </c>
      <c r="G42" s="259"/>
      <c r="H42" s="262">
        <f t="shared" si="4"/>
        <v>23066.000089867368</v>
      </c>
    </row>
    <row r="43" spans="2:8">
      <c r="B43" s="264">
        <v>45565</v>
      </c>
      <c r="C43" s="277"/>
      <c r="D43" s="259">
        <v>2.97</v>
      </c>
      <c r="E43" s="265">
        <f t="shared" si="7"/>
        <v>15046.401578280909</v>
      </c>
      <c r="F43" s="265">
        <f t="shared" si="6"/>
        <v>15046.401578280909</v>
      </c>
      <c r="G43" s="259"/>
      <c r="H43" s="262">
        <f t="shared" si="4"/>
        <v>38112.401668148275</v>
      </c>
    </row>
    <row r="44" spans="2:8">
      <c r="B44" s="264">
        <v>45595</v>
      </c>
      <c r="C44" s="268"/>
      <c r="D44" s="259">
        <v>2.88</v>
      </c>
      <c r="E44" s="265">
        <f t="shared" si="7"/>
        <v>15493.279705155852</v>
      </c>
      <c r="F44" s="265">
        <f t="shared" si="6"/>
        <v>15493.279705155852</v>
      </c>
      <c r="G44" s="268"/>
      <c r="H44" s="262">
        <f t="shared" si="4"/>
        <v>53605.681373304127</v>
      </c>
    </row>
    <row r="45" spans="2:8">
      <c r="B45" s="264">
        <v>45626</v>
      </c>
      <c r="C45" s="277"/>
      <c r="D45" s="259">
        <v>2.2400000000000002</v>
      </c>
      <c r="E45" s="265">
        <f t="shared" si="7"/>
        <v>15939.486160664341</v>
      </c>
      <c r="F45" s="265">
        <f t="shared" si="6"/>
        <v>15939.486160664341</v>
      </c>
      <c r="G45" s="259"/>
      <c r="H45" s="262">
        <f t="shared" si="4"/>
        <v>69545.167533968473</v>
      </c>
    </row>
    <row r="46" spans="2:8">
      <c r="B46" s="259"/>
      <c r="C46" s="298" t="s">
        <v>463</v>
      </c>
      <c r="D46" s="254"/>
      <c r="E46" s="255"/>
      <c r="F46" s="255"/>
      <c r="G46" s="299">
        <v>150000</v>
      </c>
      <c r="H46" s="262">
        <f t="shared" si="4"/>
        <v>-80454.832466031527</v>
      </c>
    </row>
    <row r="47" spans="2:8">
      <c r="B47" s="259"/>
      <c r="C47" s="298" t="s">
        <v>498</v>
      </c>
      <c r="D47" s="254"/>
      <c r="E47" s="255"/>
      <c r="F47" s="255"/>
      <c r="G47" s="299">
        <v>-1500</v>
      </c>
      <c r="H47" s="262">
        <f t="shared" si="4"/>
        <v>-78954.832466031527</v>
      </c>
    </row>
    <row r="48" spans="2:8">
      <c r="B48" s="259"/>
      <c r="C48" s="259" t="s">
        <v>446</v>
      </c>
      <c r="D48" s="259"/>
      <c r="E48" s="265"/>
      <c r="F48" s="265">
        <v>8000</v>
      </c>
      <c r="G48" s="259"/>
      <c r="H48" s="262">
        <f t="shared" si="4"/>
        <v>-70954.832466031527</v>
      </c>
    </row>
    <row r="49" spans="1:14">
      <c r="B49" s="264">
        <v>45656</v>
      </c>
      <c r="C49" s="259"/>
      <c r="D49" s="259">
        <v>1.03</v>
      </c>
      <c r="E49" s="291">
        <f>E45+(E45*D45/100)</f>
        <v>16296.530650663222</v>
      </c>
      <c r="F49" s="291">
        <f>E49</f>
        <v>16296.530650663222</v>
      </c>
      <c r="G49" s="259"/>
      <c r="H49" s="262">
        <f t="shared" si="4"/>
        <v>-54658.301815368308</v>
      </c>
    </row>
    <row r="50" spans="1:14" ht="13.5" thickBot="1">
      <c r="B50" s="264">
        <v>45687</v>
      </c>
      <c r="C50" s="259"/>
      <c r="D50" s="259">
        <v>5.03</v>
      </c>
      <c r="E50" s="265">
        <v>22104</v>
      </c>
      <c r="F50" s="291">
        <f>E49</f>
        <v>16296.530650663222</v>
      </c>
      <c r="G50" s="259"/>
      <c r="H50" s="262">
        <f t="shared" si="4"/>
        <v>-38361.771164705089</v>
      </c>
    </row>
    <row r="51" spans="1:14" ht="13.5" thickBot="1">
      <c r="B51" s="285">
        <v>45716</v>
      </c>
      <c r="C51" s="286"/>
      <c r="D51" s="286">
        <v>5.03</v>
      </c>
      <c r="E51" s="283">
        <f>E50+(E50*D50/100)</f>
        <v>23215.831200000001</v>
      </c>
      <c r="F51" s="292">
        <f>E49</f>
        <v>16296.530650663222</v>
      </c>
      <c r="G51" s="286"/>
      <c r="H51" s="284">
        <f t="shared" si="4"/>
        <v>-22065.240514041867</v>
      </c>
      <c r="I51" s="259"/>
      <c r="J51" s="259"/>
    </row>
    <row r="52" spans="1:14" ht="13.5" thickBot="1">
      <c r="B52" s="287">
        <v>45746</v>
      </c>
      <c r="C52" s="288"/>
      <c r="D52" s="288"/>
      <c r="E52" s="282">
        <f>E51+(E51*D51/100)</f>
        <v>24383.587509360001</v>
      </c>
      <c r="F52" s="265">
        <f t="shared" ref="F52" si="8">E52</f>
        <v>24383.587509360001</v>
      </c>
      <c r="G52" s="281"/>
      <c r="H52" s="289">
        <f t="shared" si="4"/>
        <v>2318.3469953181338</v>
      </c>
      <c r="I52" s="259"/>
      <c r="J52" s="259"/>
    </row>
    <row r="53" spans="1:14">
      <c r="B53" s="269"/>
      <c r="G53" s="259"/>
      <c r="H53" s="262">
        <f t="shared" si="4"/>
        <v>2318.3469953181338</v>
      </c>
      <c r="I53" s="259"/>
      <c r="J53" s="259"/>
    </row>
    <row r="54" spans="1:14">
      <c r="B54" s="259"/>
      <c r="C54" s="259"/>
      <c r="D54" s="259"/>
      <c r="E54" s="265"/>
      <c r="F54" s="265"/>
      <c r="G54" s="259"/>
      <c r="H54" s="262">
        <f t="shared" si="4"/>
        <v>2318.3469953181338</v>
      </c>
      <c r="I54" s="259"/>
      <c r="J54" s="259"/>
    </row>
    <row r="55" spans="1:14" ht="15">
      <c r="B55" s="259"/>
      <c r="C55" s="293"/>
      <c r="D55" s="259"/>
      <c r="E55" s="265"/>
      <c r="F55" s="265"/>
      <c r="G55" s="259"/>
      <c r="H55" s="266"/>
      <c r="I55" s="259"/>
      <c r="J55" s="259"/>
    </row>
    <row r="56" spans="1:14">
      <c r="B56" s="259"/>
      <c r="C56" s="259"/>
      <c r="D56" s="259"/>
      <c r="E56" s="265"/>
      <c r="F56" s="265"/>
      <c r="G56" s="259"/>
      <c r="H56" s="266"/>
      <c r="I56" s="259"/>
      <c r="J56" s="259"/>
    </row>
    <row r="57" spans="1:14">
      <c r="B57" s="259"/>
      <c r="C57" s="259"/>
      <c r="D57" s="259"/>
      <c r="E57" s="265"/>
      <c r="F57" s="265"/>
      <c r="G57" s="259"/>
      <c r="H57" s="266"/>
      <c r="I57" s="259"/>
      <c r="J57" s="259"/>
    </row>
    <row r="58" spans="1:14">
      <c r="A58" s="297"/>
      <c r="B58" s="294" t="s">
        <v>476</v>
      </c>
      <c r="C58" s="254"/>
      <c r="D58" s="254"/>
      <c r="E58" s="295"/>
      <c r="F58" s="294">
        <v>0</v>
      </c>
      <c r="G58" s="294" t="s">
        <v>466</v>
      </c>
      <c r="H58" s="295">
        <v>85000</v>
      </c>
      <c r="J58" s="259"/>
      <c r="K58" s="259"/>
      <c r="L58" s="259"/>
      <c r="M58" s="259"/>
      <c r="N58" s="259"/>
    </row>
    <row r="59" spans="1:14">
      <c r="B59" s="254"/>
      <c r="C59" s="296" t="s">
        <v>477</v>
      </c>
      <c r="D59" s="254"/>
      <c r="E59" s="254"/>
      <c r="F59" s="254"/>
      <c r="G59" s="254"/>
      <c r="H59" s="254"/>
    </row>
    <row r="60" spans="1:14">
      <c r="B60" s="254"/>
      <c r="C60" s="254" t="s">
        <v>478</v>
      </c>
      <c r="D60" s="254"/>
      <c r="E60" s="254"/>
      <c r="F60" s="254"/>
      <c r="G60" s="254"/>
      <c r="H60" s="254"/>
    </row>
    <row r="62" spans="1:14">
      <c r="B62" s="323">
        <v>45611</v>
      </c>
      <c r="C62" s="254" t="s">
        <v>497</v>
      </c>
      <c r="D62" s="254"/>
      <c r="E62" s="254"/>
      <c r="F62" s="254"/>
      <c r="G62" s="254"/>
      <c r="H62" s="322">
        <v>150000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topLeftCell="A3" zoomScale="145" zoomScaleNormal="145" workbookViewId="0">
      <selection activeCell="J18" sqref="J18"/>
    </sheetView>
  </sheetViews>
  <sheetFormatPr defaultRowHeight="12.75"/>
  <cols>
    <col min="1" max="1" width="12.140625" customWidth="1"/>
    <col min="2" max="2" width="36.140625" customWidth="1"/>
    <col min="3" max="3" width="4.85546875" customWidth="1"/>
    <col min="4" max="4" width="8.42578125" bestFit="1" customWidth="1"/>
    <col min="5" max="7" width="12.140625" customWidth="1"/>
    <col min="8" max="8" width="9.140625" customWidth="1"/>
  </cols>
  <sheetData>
    <row r="1" spans="1:7">
      <c r="A1" s="7"/>
      <c r="B1" s="8" t="s">
        <v>216</v>
      </c>
      <c r="C1" s="8"/>
      <c r="D1" s="8"/>
      <c r="E1" s="45"/>
      <c r="F1" s="3"/>
      <c r="G1" s="83" t="s">
        <v>217</v>
      </c>
    </row>
    <row r="2" spans="1:7">
      <c r="A2" s="7"/>
      <c r="B2" s="8"/>
      <c r="C2" s="8"/>
      <c r="D2" s="8"/>
      <c r="E2" s="3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335"/>
      <c r="D4" s="14"/>
      <c r="E4" s="15">
        <f>SUM(E9:E20)</f>
        <v>110513</v>
      </c>
      <c r="F4" s="16">
        <f>SUM(F9:F20)</f>
        <v>0</v>
      </c>
      <c r="G4" s="17">
        <f>G20</f>
        <v>110513</v>
      </c>
    </row>
    <row r="5" spans="1:7">
      <c r="A5" s="7"/>
      <c r="B5" s="14" t="s">
        <v>27</v>
      </c>
      <c r="C5" s="14"/>
      <c r="D5" s="14"/>
      <c r="E5" s="18">
        <f>G40</f>
        <v>0</v>
      </c>
      <c r="F5" s="3"/>
    </row>
    <row r="6" spans="1:7">
      <c r="A6" s="7"/>
      <c r="B6" s="14" t="s">
        <v>5</v>
      </c>
      <c r="C6" s="14"/>
      <c r="E6" s="19">
        <f>G37</f>
        <v>-1200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A8" s="7"/>
      <c r="B8" s="14" t="s">
        <v>29</v>
      </c>
      <c r="C8" s="14"/>
      <c r="F8" s="3"/>
      <c r="G8" s="3"/>
    </row>
    <row r="9" spans="1:7">
      <c r="A9" s="7">
        <v>45564</v>
      </c>
      <c r="B9" s="42" t="s">
        <v>505</v>
      </c>
      <c r="C9" s="336"/>
      <c r="E9" s="24"/>
      <c r="F9" s="25"/>
      <c r="G9" s="3">
        <f>E9-F9</f>
        <v>0</v>
      </c>
    </row>
    <row r="10" spans="1:7">
      <c r="A10" s="54"/>
      <c r="B10" s="91" t="s">
        <v>506</v>
      </c>
      <c r="C10" s="91">
        <v>12</v>
      </c>
      <c r="D10">
        <v>17002</v>
      </c>
      <c r="E10" s="24"/>
      <c r="F10" s="25"/>
      <c r="G10" s="3">
        <f t="shared" ref="G10:G20" si="0">E10-F10+G9</f>
        <v>0</v>
      </c>
    </row>
    <row r="11" spans="1:7">
      <c r="A11" s="54"/>
      <c r="E11" s="24"/>
      <c r="F11" s="25"/>
      <c r="G11" s="3">
        <f t="shared" si="0"/>
        <v>0</v>
      </c>
    </row>
    <row r="12" spans="1:7">
      <c r="A12" s="54"/>
      <c r="B12" t="s">
        <v>507</v>
      </c>
      <c r="E12" s="24"/>
      <c r="F12" s="25"/>
      <c r="G12" s="3">
        <f t="shared" si="0"/>
        <v>0</v>
      </c>
    </row>
    <row r="13" spans="1:7">
      <c r="A13" s="92"/>
      <c r="B13" t="s">
        <v>508</v>
      </c>
      <c r="E13" s="24"/>
      <c r="F13" s="25"/>
      <c r="G13" s="3">
        <f t="shared" si="0"/>
        <v>0</v>
      </c>
    </row>
    <row r="14" spans="1:7">
      <c r="A14" s="26"/>
      <c r="C14" t="s">
        <v>510</v>
      </c>
      <c r="E14" s="27"/>
      <c r="F14" s="28"/>
      <c r="G14" s="3">
        <f t="shared" si="0"/>
        <v>0</v>
      </c>
    </row>
    <row r="15" spans="1:7">
      <c r="A15" s="26"/>
      <c r="B15" t="s">
        <v>511</v>
      </c>
      <c r="C15">
        <v>3.5</v>
      </c>
      <c r="D15">
        <v>17002</v>
      </c>
      <c r="E15" s="24">
        <f>D15*C15</f>
        <v>59507</v>
      </c>
      <c r="F15" s="28"/>
      <c r="G15" s="3">
        <f t="shared" si="0"/>
        <v>59507</v>
      </c>
    </row>
    <row r="16" spans="1:7">
      <c r="A16" s="26"/>
      <c r="B16" t="s">
        <v>509</v>
      </c>
      <c r="C16">
        <v>3</v>
      </c>
      <c r="D16">
        <v>17002</v>
      </c>
      <c r="E16" s="24">
        <f>D16*C16</f>
        <v>51006</v>
      </c>
      <c r="F16" s="28"/>
      <c r="G16" s="3">
        <f t="shared" si="0"/>
        <v>110513</v>
      </c>
    </row>
    <row r="17" spans="1:8">
      <c r="A17" s="26"/>
      <c r="E17" s="27"/>
      <c r="F17" s="28"/>
      <c r="G17" s="3">
        <f t="shared" si="0"/>
        <v>110513</v>
      </c>
    </row>
    <row r="18" spans="1:8" ht="15">
      <c r="A18" s="26"/>
      <c r="B18" s="293">
        <v>45739</v>
      </c>
      <c r="E18" s="27"/>
      <c r="F18" s="28"/>
      <c r="G18" s="3">
        <f t="shared" si="0"/>
        <v>110513</v>
      </c>
    </row>
    <row r="19" spans="1:8">
      <c r="A19" s="26"/>
      <c r="E19" s="27"/>
      <c r="F19" s="28"/>
      <c r="G19" s="3">
        <f t="shared" si="0"/>
        <v>110513</v>
      </c>
    </row>
    <row r="20" spans="1:8">
      <c r="A20" s="26"/>
      <c r="E20" s="27"/>
      <c r="F20" s="28"/>
      <c r="G20" s="29">
        <f t="shared" si="0"/>
        <v>110513</v>
      </c>
    </row>
    <row r="21" spans="1:8">
      <c r="A21" s="26"/>
      <c r="E21" s="30"/>
      <c r="F21" s="31"/>
      <c r="G21" s="31"/>
    </row>
    <row r="22" spans="1:8">
      <c r="A22" s="26"/>
      <c r="E22" s="30"/>
      <c r="F22" s="31"/>
      <c r="G22" s="31"/>
    </row>
    <row r="23" spans="1:8">
      <c r="A23" s="32" t="s">
        <v>30</v>
      </c>
      <c r="B23" s="21" t="s">
        <v>31</v>
      </c>
      <c r="C23" s="21"/>
      <c r="D23" s="21" t="s">
        <v>32</v>
      </c>
      <c r="E23" s="33" t="s">
        <v>33</v>
      </c>
      <c r="F23" s="34"/>
      <c r="G23" s="34" t="s">
        <v>267</v>
      </c>
    </row>
    <row r="24" spans="1:8">
      <c r="A24" s="26"/>
      <c r="B24" t="s">
        <v>34</v>
      </c>
      <c r="E24" s="30"/>
      <c r="F24" s="31"/>
      <c r="G24" s="31">
        <v>-1200</v>
      </c>
    </row>
    <row r="25" spans="1:8">
      <c r="A25" s="26"/>
      <c r="B25" t="s">
        <v>86</v>
      </c>
      <c r="D25">
        <v>40</v>
      </c>
      <c r="E25" s="31">
        <v>483.72</v>
      </c>
      <c r="F25" s="31">
        <v>483.72</v>
      </c>
      <c r="G25" s="31">
        <f t="shared" ref="G25:G36" si="1">E25-F25+G24</f>
        <v>-1200</v>
      </c>
      <c r="H25" s="3"/>
    </row>
    <row r="26" spans="1:8">
      <c r="A26" s="26"/>
      <c r="B26" t="s">
        <v>35</v>
      </c>
      <c r="E26" s="31">
        <v>439.85</v>
      </c>
      <c r="F26" s="31">
        <v>439.85</v>
      </c>
      <c r="G26" s="31">
        <f t="shared" si="1"/>
        <v>-1200</v>
      </c>
      <c r="H26" s="3"/>
    </row>
    <row r="27" spans="1:8">
      <c r="A27" s="26"/>
      <c r="B27" t="s">
        <v>36</v>
      </c>
      <c r="E27" s="31"/>
      <c r="F27" s="31"/>
      <c r="G27" s="31">
        <f t="shared" si="1"/>
        <v>-1200</v>
      </c>
      <c r="H27" s="3"/>
    </row>
    <row r="28" spans="1:8">
      <c r="A28" s="26"/>
      <c r="B28" t="s">
        <v>37</v>
      </c>
      <c r="E28" s="31"/>
      <c r="F28" s="31"/>
      <c r="G28" s="31">
        <f t="shared" si="1"/>
        <v>-1200</v>
      </c>
      <c r="H28" s="3"/>
    </row>
    <row r="29" spans="1:8">
      <c r="A29" s="26"/>
      <c r="B29" t="s">
        <v>38</v>
      </c>
      <c r="E29" s="31"/>
      <c r="F29" s="31"/>
      <c r="G29" s="31">
        <f t="shared" si="1"/>
        <v>-1200</v>
      </c>
      <c r="H29" s="3"/>
    </row>
    <row r="30" spans="1:8">
      <c r="A30" s="26"/>
      <c r="B30" t="s">
        <v>87</v>
      </c>
      <c r="E30" s="31"/>
      <c r="F30" s="31"/>
      <c r="G30" s="31">
        <f t="shared" si="1"/>
        <v>-1200</v>
      </c>
      <c r="H30" s="3"/>
    </row>
    <row r="31" spans="1:8">
      <c r="A31" s="26"/>
      <c r="B31" t="s">
        <v>88</v>
      </c>
      <c r="E31" s="31"/>
      <c r="F31" s="31"/>
      <c r="G31" s="31">
        <f t="shared" si="1"/>
        <v>-1200</v>
      </c>
      <c r="H31" s="3"/>
    </row>
    <row r="32" spans="1:8">
      <c r="A32" s="26"/>
      <c r="B32" t="s">
        <v>89</v>
      </c>
      <c r="E32" s="31"/>
      <c r="F32" s="31"/>
      <c r="G32" s="31">
        <f t="shared" si="1"/>
        <v>-1200</v>
      </c>
      <c r="H32" s="3"/>
    </row>
    <row r="33" spans="1:8">
      <c r="A33" s="26"/>
      <c r="B33" t="s">
        <v>90</v>
      </c>
      <c r="E33" s="30"/>
      <c r="F33" s="31"/>
      <c r="G33" s="31">
        <f t="shared" si="1"/>
        <v>-1200</v>
      </c>
      <c r="H33" s="3"/>
    </row>
    <row r="34" spans="1:8">
      <c r="A34" s="26"/>
      <c r="B34" t="s">
        <v>39</v>
      </c>
      <c r="E34" s="30"/>
      <c r="F34" s="31"/>
      <c r="G34" s="31">
        <f t="shared" si="1"/>
        <v>-1200</v>
      </c>
      <c r="H34" s="3"/>
    </row>
    <row r="35" spans="1:8">
      <c r="A35" s="26"/>
      <c r="B35" t="s">
        <v>40</v>
      </c>
      <c r="E35" s="30"/>
      <c r="F35" s="31"/>
      <c r="G35" s="31">
        <f t="shared" si="1"/>
        <v>-1200</v>
      </c>
      <c r="H35" s="3"/>
    </row>
    <row r="36" spans="1:8">
      <c r="A36" s="32"/>
      <c r="B36" s="21" t="s">
        <v>41</v>
      </c>
      <c r="C36" s="21"/>
      <c r="D36" s="21"/>
      <c r="E36" s="33"/>
      <c r="F36" s="34"/>
      <c r="G36" s="34">
        <f t="shared" si="1"/>
        <v>-1200</v>
      </c>
    </row>
    <row r="37" spans="1:8">
      <c r="A37" s="35">
        <v>45291</v>
      </c>
      <c r="B37" s="36" t="s">
        <v>34</v>
      </c>
      <c r="C37" s="36"/>
      <c r="D37" s="36">
        <f>SUM(D25:D36)</f>
        <v>40</v>
      </c>
      <c r="E37" s="37"/>
      <c r="F37" s="38"/>
      <c r="G37" s="39">
        <f>E37-F37+G36</f>
        <v>-1200</v>
      </c>
    </row>
    <row r="38" spans="1:8">
      <c r="A38" s="26"/>
      <c r="E38" s="30"/>
      <c r="F38" s="30"/>
      <c r="G38" s="30"/>
    </row>
    <row r="39" spans="1:8">
      <c r="A39" s="7"/>
      <c r="E39" s="3"/>
      <c r="F39" s="3"/>
      <c r="G39" s="3"/>
    </row>
    <row r="40" spans="1:8">
      <c r="A40" s="88" t="s">
        <v>250</v>
      </c>
      <c r="B40" s="40" t="s">
        <v>165</v>
      </c>
      <c r="C40" s="40"/>
      <c r="D40" s="40"/>
      <c r="E40" s="41"/>
      <c r="F40" s="42"/>
      <c r="G40" s="43">
        <f>SUM(F41:F55)</f>
        <v>0</v>
      </c>
    </row>
    <row r="41" spans="1:8">
      <c r="A41" s="7"/>
      <c r="B41" s="8"/>
      <c r="C41" s="8"/>
      <c r="D41" s="8"/>
    </row>
    <row r="42" spans="1:8">
      <c r="A42" s="7"/>
      <c r="B42" t="s">
        <v>218</v>
      </c>
      <c r="E42" s="3"/>
      <c r="F42" s="3"/>
      <c r="G42" s="3"/>
    </row>
    <row r="43" spans="1:8">
      <c r="A43" s="7"/>
      <c r="B43" t="s">
        <v>92</v>
      </c>
      <c r="D43" s="3"/>
      <c r="E43" s="3"/>
      <c r="F43" s="3"/>
      <c r="G43" s="3"/>
    </row>
    <row r="44" spans="1:8">
      <c r="A44" s="7"/>
      <c r="B44" s="42" t="s">
        <v>219</v>
      </c>
      <c r="C44" s="42"/>
      <c r="D44" s="42"/>
      <c r="E44" s="42">
        <v>96000</v>
      </c>
      <c r="F44" s="3"/>
      <c r="G44" s="44"/>
    </row>
    <row r="45" spans="1:8">
      <c r="A45" s="84">
        <v>45237</v>
      </c>
      <c r="B45" s="1" t="s">
        <v>220</v>
      </c>
      <c r="C45" s="1"/>
      <c r="F45" s="3"/>
      <c r="G45" s="3"/>
    </row>
    <row r="46" spans="1:8">
      <c r="B46" s="1" t="s">
        <v>221</v>
      </c>
      <c r="C46" s="1"/>
      <c r="F46" s="3"/>
      <c r="G46" s="3"/>
    </row>
    <row r="47" spans="1:8">
      <c r="B47" s="1" t="s">
        <v>222</v>
      </c>
      <c r="C47" s="1"/>
      <c r="F47" s="3"/>
      <c r="G47" s="3"/>
    </row>
    <row r="48" spans="1:8">
      <c r="B48" s="1" t="s">
        <v>223</v>
      </c>
      <c r="C48" s="1"/>
      <c r="F48" s="3"/>
      <c r="G48" s="3"/>
    </row>
    <row r="49" spans="1:7">
      <c r="B49" s="1" t="s">
        <v>224</v>
      </c>
      <c r="C49" s="1"/>
      <c r="F49" s="3"/>
      <c r="G49" s="3"/>
    </row>
    <row r="50" spans="1:7">
      <c r="B50" s="1" t="s">
        <v>225</v>
      </c>
      <c r="C50" s="1"/>
      <c r="F50" s="3"/>
      <c r="G50" s="3"/>
    </row>
    <row r="51" spans="1:7">
      <c r="B51" s="1" t="s">
        <v>226</v>
      </c>
      <c r="C51" s="1"/>
      <c r="F51" s="3"/>
      <c r="G51" s="3"/>
    </row>
    <row r="52" spans="1:7">
      <c r="B52" s="1" t="s">
        <v>227</v>
      </c>
      <c r="C52" s="1"/>
      <c r="F52" s="3"/>
      <c r="G52" s="3"/>
    </row>
    <row r="56" spans="1:7">
      <c r="B56" t="s">
        <v>228</v>
      </c>
      <c r="D56" s="3"/>
      <c r="E56" s="3"/>
      <c r="F56" s="3"/>
    </row>
    <row r="57" spans="1:7">
      <c r="B57" t="s">
        <v>229</v>
      </c>
      <c r="D57" s="3"/>
      <c r="E57" s="3"/>
      <c r="F57" s="3">
        <f t="shared" ref="F57:F71" si="2">F56+D57-E57</f>
        <v>0</v>
      </c>
    </row>
    <row r="58" spans="1:7">
      <c r="A58" s="54"/>
      <c r="D58" s="3"/>
      <c r="F58" s="3">
        <f t="shared" si="2"/>
        <v>0</v>
      </c>
    </row>
    <row r="59" spans="1:7">
      <c r="A59" s="54">
        <v>44956</v>
      </c>
      <c r="B59" t="s">
        <v>230</v>
      </c>
      <c r="D59" s="3">
        <v>1000</v>
      </c>
      <c r="F59" s="3">
        <f t="shared" si="2"/>
        <v>1000</v>
      </c>
    </row>
    <row r="60" spans="1:7">
      <c r="A60" s="54">
        <v>44985</v>
      </c>
      <c r="B60" t="s">
        <v>231</v>
      </c>
      <c r="D60" s="3">
        <v>1000</v>
      </c>
      <c r="F60" s="3">
        <f t="shared" si="2"/>
        <v>2000</v>
      </c>
    </row>
    <row r="61" spans="1:7">
      <c r="A61" s="54">
        <v>45015</v>
      </c>
      <c r="B61" t="s">
        <v>232</v>
      </c>
      <c r="D61" s="3">
        <v>1000</v>
      </c>
      <c r="E61" s="3"/>
      <c r="F61" s="3">
        <f t="shared" si="2"/>
        <v>3000</v>
      </c>
    </row>
    <row r="62" spans="1:7">
      <c r="A62" s="54">
        <v>45046</v>
      </c>
      <c r="B62" t="s">
        <v>233</v>
      </c>
      <c r="D62" s="3">
        <v>1000</v>
      </c>
      <c r="E62" s="3"/>
      <c r="F62" s="3">
        <f t="shared" si="2"/>
        <v>4000</v>
      </c>
    </row>
    <row r="63" spans="1:7">
      <c r="A63" s="54"/>
      <c r="F63" s="3">
        <f t="shared" si="2"/>
        <v>4000</v>
      </c>
    </row>
    <row r="64" spans="1:7">
      <c r="A64" s="54"/>
      <c r="B64" s="1" t="s">
        <v>234</v>
      </c>
      <c r="C64" s="1"/>
      <c r="D64" s="3">
        <v>400</v>
      </c>
      <c r="F64" s="3">
        <f t="shared" si="2"/>
        <v>4400</v>
      </c>
    </row>
    <row r="65" spans="1:6">
      <c r="A65" s="54"/>
      <c r="B65" t="s">
        <v>235</v>
      </c>
      <c r="D65" s="3"/>
      <c r="E65" s="3"/>
      <c r="F65" s="3">
        <f t="shared" si="2"/>
        <v>4400</v>
      </c>
    </row>
    <row r="66" spans="1:6">
      <c r="A66" s="54"/>
      <c r="B66" t="s">
        <v>236</v>
      </c>
      <c r="D66" s="3"/>
      <c r="E66" s="3"/>
      <c r="F66" s="3">
        <f t="shared" si="2"/>
        <v>4400</v>
      </c>
    </row>
    <row r="67" spans="1:6">
      <c r="A67" s="54"/>
      <c r="D67" s="3"/>
      <c r="F67" s="3">
        <f t="shared" si="2"/>
        <v>4400</v>
      </c>
    </row>
    <row r="68" spans="1:6">
      <c r="A68" s="54">
        <v>44998</v>
      </c>
      <c r="B68" t="s">
        <v>237</v>
      </c>
      <c r="D68" s="3"/>
      <c r="E68">
        <v>2400</v>
      </c>
      <c r="F68" s="3">
        <f t="shared" si="2"/>
        <v>2000</v>
      </c>
    </row>
    <row r="69" spans="1:6">
      <c r="A69" s="54">
        <v>44998</v>
      </c>
      <c r="B69" t="s">
        <v>237</v>
      </c>
      <c r="E69">
        <v>2400</v>
      </c>
      <c r="F69" s="3">
        <f t="shared" si="2"/>
        <v>-400</v>
      </c>
    </row>
    <row r="70" spans="1:6">
      <c r="B70" s="1" t="s">
        <v>238</v>
      </c>
      <c r="C70" s="1"/>
      <c r="E70">
        <v>-342.4</v>
      </c>
      <c r="F70" s="3">
        <f t="shared" si="2"/>
        <v>-57.600000000000023</v>
      </c>
    </row>
    <row r="71" spans="1:6">
      <c r="B71" s="1" t="s">
        <v>239</v>
      </c>
      <c r="C71" s="1"/>
      <c r="E71">
        <v>-57.6</v>
      </c>
      <c r="F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topLeftCell="A3" zoomScale="175" zoomScaleNormal="175" workbookViewId="0">
      <selection activeCell="F23" sqref="F23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14">
        <v>2023</v>
      </c>
      <c r="B2" s="1" t="s">
        <v>269</v>
      </c>
      <c r="D2" s="3" t="s">
        <v>240</v>
      </c>
      <c r="F2" s="51">
        <f>SUM(F6:F55)</f>
        <v>3999.1</v>
      </c>
      <c r="G2" s="51">
        <f>F2</f>
        <v>3999.1</v>
      </c>
    </row>
    <row r="4" spans="1:7">
      <c r="A4" s="85" t="s">
        <v>23</v>
      </c>
      <c r="B4" s="85" t="s">
        <v>24</v>
      </c>
      <c r="C4" s="86" t="s">
        <v>25</v>
      </c>
      <c r="D4" s="86" t="s">
        <v>3</v>
      </c>
      <c r="E4" s="86" t="s">
        <v>26</v>
      </c>
      <c r="F4" s="86" t="s">
        <v>27</v>
      </c>
      <c r="G4" s="86" t="s">
        <v>26</v>
      </c>
    </row>
    <row r="5" spans="1:7">
      <c r="F5" s="83"/>
      <c r="G5" s="51"/>
    </row>
    <row r="6" spans="1:7">
      <c r="A6" s="54">
        <v>45321</v>
      </c>
      <c r="B6" t="s">
        <v>300</v>
      </c>
      <c r="C6"/>
      <c r="D6"/>
      <c r="F6" s="3">
        <v>169.14</v>
      </c>
      <c r="G6" s="3">
        <f t="shared" ref="G6:G22" si="0">G5+E6-F6</f>
        <v>-169.14</v>
      </c>
    </row>
    <row r="7" spans="1:7">
      <c r="A7" s="54">
        <v>45350</v>
      </c>
      <c r="B7" t="s">
        <v>311</v>
      </c>
      <c r="C7"/>
      <c r="D7"/>
      <c r="F7" s="3">
        <v>67.09</v>
      </c>
      <c r="G7" s="3">
        <f t="shared" si="0"/>
        <v>-236.23</v>
      </c>
    </row>
    <row r="8" spans="1:7">
      <c r="A8" s="54">
        <v>45381</v>
      </c>
      <c r="B8" t="s">
        <v>301</v>
      </c>
      <c r="C8"/>
      <c r="D8"/>
      <c r="F8" s="3">
        <v>225.66</v>
      </c>
      <c r="G8" s="3">
        <f t="shared" si="0"/>
        <v>-461.89</v>
      </c>
    </row>
    <row r="9" spans="1:7">
      <c r="A9" s="54">
        <v>45412</v>
      </c>
      <c r="B9" t="s">
        <v>302</v>
      </c>
      <c r="C9"/>
      <c r="D9"/>
      <c r="F9" s="3">
        <v>286.72000000000003</v>
      </c>
      <c r="G9" s="3">
        <f t="shared" si="0"/>
        <v>-748.61</v>
      </c>
    </row>
    <row r="10" spans="1:7">
      <c r="A10" s="54">
        <v>45442</v>
      </c>
      <c r="B10" t="s">
        <v>303</v>
      </c>
      <c r="C10"/>
      <c r="D10"/>
      <c r="F10" s="3">
        <v>100</v>
      </c>
      <c r="G10" s="3">
        <f t="shared" si="0"/>
        <v>-848.61</v>
      </c>
    </row>
    <row r="11" spans="1:7">
      <c r="A11" s="87">
        <v>45426</v>
      </c>
      <c r="B11" s="1" t="s">
        <v>241</v>
      </c>
      <c r="C11"/>
      <c r="D11"/>
      <c r="F11" s="3">
        <v>1415</v>
      </c>
      <c r="G11" s="3">
        <f t="shared" si="0"/>
        <v>-2263.61</v>
      </c>
    </row>
    <row r="12" spans="1:7">
      <c r="A12" s="87">
        <v>45426</v>
      </c>
      <c r="B12" s="1" t="s">
        <v>242</v>
      </c>
      <c r="C12"/>
      <c r="D12"/>
      <c r="F12" s="3">
        <v>141.5</v>
      </c>
      <c r="G12" s="3">
        <f t="shared" si="0"/>
        <v>-2405.11</v>
      </c>
    </row>
    <row r="13" spans="1:7">
      <c r="A13" s="54">
        <v>45473</v>
      </c>
      <c r="B13" t="s">
        <v>304</v>
      </c>
      <c r="C13"/>
      <c r="D13"/>
      <c r="F13" s="3">
        <v>37.49</v>
      </c>
      <c r="G13" s="3">
        <f t="shared" si="0"/>
        <v>-2442.6</v>
      </c>
    </row>
    <row r="14" spans="1:7">
      <c r="A14" s="54">
        <v>45503</v>
      </c>
      <c r="B14" t="s">
        <v>305</v>
      </c>
      <c r="C14"/>
      <c r="D14"/>
      <c r="G14" s="3">
        <f t="shared" si="0"/>
        <v>-2442.6</v>
      </c>
    </row>
    <row r="15" spans="1:7">
      <c r="A15" s="54">
        <v>45534</v>
      </c>
      <c r="B15" t="s">
        <v>306</v>
      </c>
      <c r="C15"/>
      <c r="D15"/>
      <c r="G15" s="3">
        <f t="shared" si="0"/>
        <v>-2442.6</v>
      </c>
    </row>
    <row r="16" spans="1:7">
      <c r="A16" s="54">
        <v>45565</v>
      </c>
      <c r="B16" t="s">
        <v>307</v>
      </c>
      <c r="C16"/>
      <c r="D16"/>
      <c r="G16" s="3">
        <f t="shared" si="0"/>
        <v>-2442.6</v>
      </c>
    </row>
    <row r="17" spans="1:7">
      <c r="A17" s="54">
        <v>45595</v>
      </c>
      <c r="B17" t="s">
        <v>308</v>
      </c>
      <c r="C17"/>
      <c r="D17"/>
      <c r="G17" s="3">
        <f t="shared" si="0"/>
        <v>-2442.6</v>
      </c>
    </row>
    <row r="18" spans="1:7">
      <c r="A18" s="87">
        <v>45579</v>
      </c>
      <c r="B18" s="1" t="s">
        <v>243</v>
      </c>
      <c r="C18"/>
      <c r="D18"/>
      <c r="F18" s="3">
        <v>1415</v>
      </c>
      <c r="G18" s="3">
        <f t="shared" si="0"/>
        <v>-3857.6</v>
      </c>
    </row>
    <row r="19" spans="1:7">
      <c r="A19" s="87">
        <v>45579</v>
      </c>
      <c r="B19" s="1" t="s">
        <v>244</v>
      </c>
      <c r="C19"/>
      <c r="D19"/>
      <c r="F19" s="3">
        <v>141.5</v>
      </c>
      <c r="G19" s="3">
        <f t="shared" si="0"/>
        <v>-3999.1</v>
      </c>
    </row>
    <row r="20" spans="1:7">
      <c r="A20" s="54">
        <v>45626</v>
      </c>
      <c r="B20" t="s">
        <v>309</v>
      </c>
      <c r="C20"/>
      <c r="D20"/>
      <c r="G20" s="3">
        <f t="shared" si="0"/>
        <v>-3999.1</v>
      </c>
    </row>
    <row r="21" spans="1:7">
      <c r="A21" s="54">
        <v>45656</v>
      </c>
      <c r="B21" t="s">
        <v>310</v>
      </c>
      <c r="C21"/>
      <c r="G21" s="3">
        <f t="shared" si="0"/>
        <v>-3999.1</v>
      </c>
    </row>
    <row r="22" spans="1:7">
      <c r="B22" t="s">
        <v>135</v>
      </c>
      <c r="C22"/>
      <c r="D22"/>
      <c r="E22"/>
      <c r="F22">
        <v>0</v>
      </c>
      <c r="G22" s="3">
        <f t="shared" si="0"/>
        <v>-3999.1</v>
      </c>
    </row>
    <row r="23" spans="1:7">
      <c r="C23"/>
      <c r="D23"/>
      <c r="E23"/>
      <c r="F23"/>
    </row>
    <row r="24" spans="1:7">
      <c r="D24"/>
    </row>
    <row r="25" spans="1:7">
      <c r="A25" s="54"/>
    </row>
    <row r="26" spans="1:7">
      <c r="A26" s="54"/>
      <c r="B26" s="3"/>
      <c r="D26"/>
    </row>
    <row r="27" spans="1:7">
      <c r="A27" s="54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54"/>
      <c r="E34" s="1"/>
    </row>
    <row r="35" spans="1:7">
      <c r="A35" s="54"/>
      <c r="E35" s="1"/>
    </row>
    <row r="36" spans="1:7">
      <c r="E36" s="1"/>
    </row>
    <row r="37" spans="1:7">
      <c r="A37" s="54"/>
      <c r="E37" s="1"/>
    </row>
    <row r="47" spans="1:7">
      <c r="G47" s="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B4BF-5428-4CFE-9CCD-7224C312B45E}">
  <dimension ref="A2:J76"/>
  <sheetViews>
    <sheetView tabSelected="1" topLeftCell="A9" zoomScale="175" zoomScaleNormal="175" workbookViewId="0">
      <selection activeCell="E7" sqref="E7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style="337" customWidth="1"/>
    <col min="7" max="7" width="12.5703125" customWidth="1"/>
    <col min="8" max="8" width="12.7109375" bestFit="1" customWidth="1"/>
    <col min="9" max="9" width="15.140625" customWidth="1"/>
  </cols>
  <sheetData>
    <row r="2" spans="1:9">
      <c r="B2" s="93" t="s">
        <v>450</v>
      </c>
    </row>
    <row r="3" spans="1:9">
      <c r="C3" s="5" t="s">
        <v>327</v>
      </c>
      <c r="D3" s="1" t="s">
        <v>328</v>
      </c>
      <c r="E3" s="5" t="s">
        <v>329</v>
      </c>
      <c r="F3" s="338"/>
      <c r="H3" s="5" t="s">
        <v>4</v>
      </c>
    </row>
    <row r="4" spans="1:9">
      <c r="C4" s="119" t="s">
        <v>3</v>
      </c>
      <c r="D4" s="1" t="s">
        <v>26</v>
      </c>
      <c r="E4" s="5" t="s">
        <v>3</v>
      </c>
      <c r="F4" s="338"/>
      <c r="H4" s="5" t="s">
        <v>26</v>
      </c>
    </row>
    <row r="5" spans="1:9" ht="14.25">
      <c r="D5" s="242">
        <v>138749.76000000001</v>
      </c>
      <c r="E5" s="102"/>
      <c r="F5" s="339"/>
      <c r="G5" s="120" t="s">
        <v>453</v>
      </c>
      <c r="H5" s="121">
        <f>D5</f>
        <v>138749.76000000001</v>
      </c>
      <c r="I5" t="s">
        <v>483</v>
      </c>
    </row>
    <row r="6" spans="1:9" ht="14.25">
      <c r="D6" s="242"/>
      <c r="E6" s="102"/>
      <c r="F6" s="339"/>
      <c r="G6" s="347"/>
      <c r="H6" s="121"/>
    </row>
    <row r="7" spans="1:9" ht="14.25">
      <c r="D7" s="95" t="s">
        <v>512</v>
      </c>
      <c r="G7" s="2" t="s">
        <v>449</v>
      </c>
      <c r="H7" s="122">
        <f>H26*-1</f>
        <v>139111.94400000002</v>
      </c>
    </row>
    <row r="8" spans="1:9" ht="14.25">
      <c r="D8" s="95"/>
      <c r="H8" s="122">
        <f>H7+H5</f>
        <v>277861.70400000003</v>
      </c>
    </row>
    <row r="9" spans="1:9">
      <c r="A9" s="123">
        <v>45661</v>
      </c>
      <c r="C9" s="94"/>
      <c r="D9" s="90">
        <f>H8-C9</f>
        <v>277861.70400000003</v>
      </c>
      <c r="E9" s="124"/>
      <c r="F9" s="340"/>
      <c r="G9" s="125"/>
      <c r="H9" s="126">
        <f t="shared" ref="H9:H20" si="0">H8-E9</f>
        <v>277861.70400000003</v>
      </c>
    </row>
    <row r="10" spans="1:9">
      <c r="A10" s="123">
        <v>45689</v>
      </c>
      <c r="C10" s="94"/>
      <c r="D10" s="90">
        <f t="shared" ref="D10:D20" si="1">D9-C10</f>
        <v>277861.70400000003</v>
      </c>
      <c r="E10" s="124"/>
      <c r="F10" s="340"/>
      <c r="G10" s="125"/>
      <c r="H10" s="90">
        <f t="shared" si="0"/>
        <v>277861.70400000003</v>
      </c>
    </row>
    <row r="11" spans="1:9">
      <c r="A11" s="123">
        <v>45717</v>
      </c>
      <c r="C11" s="94"/>
      <c r="D11" s="90">
        <f t="shared" si="1"/>
        <v>277861.70400000003</v>
      </c>
      <c r="E11" s="124"/>
      <c r="F11" s="340"/>
      <c r="G11" s="125"/>
      <c r="H11" s="90">
        <f t="shared" si="0"/>
        <v>277861.70400000003</v>
      </c>
    </row>
    <row r="12" spans="1:9">
      <c r="A12" s="123">
        <v>45755</v>
      </c>
      <c r="B12" t="s">
        <v>517</v>
      </c>
      <c r="C12" s="94"/>
      <c r="D12" s="90">
        <f t="shared" si="1"/>
        <v>277861.70400000003</v>
      </c>
      <c r="E12" s="124">
        <v>20000</v>
      </c>
      <c r="F12" s="340"/>
      <c r="G12" s="125"/>
      <c r="H12" s="90">
        <f t="shared" si="0"/>
        <v>257861.70400000003</v>
      </c>
    </row>
    <row r="13" spans="1:9">
      <c r="A13" s="123">
        <v>45786</v>
      </c>
      <c r="B13" t="s">
        <v>517</v>
      </c>
      <c r="C13" s="94"/>
      <c r="D13" s="90">
        <f t="shared" si="1"/>
        <v>277861.70400000003</v>
      </c>
      <c r="E13" s="124">
        <v>20000</v>
      </c>
      <c r="F13" s="340"/>
      <c r="G13" s="125"/>
      <c r="H13" s="90">
        <f t="shared" si="0"/>
        <v>237861.70400000003</v>
      </c>
    </row>
    <row r="14" spans="1:9">
      <c r="A14" s="123">
        <v>45818</v>
      </c>
      <c r="B14" t="s">
        <v>517</v>
      </c>
      <c r="C14" s="94"/>
      <c r="D14" s="90">
        <f t="shared" si="1"/>
        <v>277861.70400000003</v>
      </c>
      <c r="E14" s="124">
        <v>20000</v>
      </c>
      <c r="G14" s="125"/>
      <c r="H14" s="90">
        <f t="shared" si="0"/>
        <v>217861.70400000003</v>
      </c>
    </row>
    <row r="15" spans="1:9">
      <c r="A15" s="123">
        <v>45846</v>
      </c>
      <c r="B15" t="s">
        <v>517</v>
      </c>
      <c r="C15" s="94"/>
      <c r="D15" s="90">
        <f t="shared" si="1"/>
        <v>277861.70400000003</v>
      </c>
      <c r="E15" s="124">
        <v>20000</v>
      </c>
      <c r="G15" s="125"/>
      <c r="H15" s="90">
        <f t="shared" si="0"/>
        <v>197861.70400000003</v>
      </c>
    </row>
    <row r="16" spans="1:9">
      <c r="A16" s="123">
        <v>45855</v>
      </c>
      <c r="B16" t="s">
        <v>517</v>
      </c>
      <c r="C16" s="94"/>
      <c r="D16" s="90">
        <f t="shared" si="1"/>
        <v>277861.70400000003</v>
      </c>
      <c r="E16" s="124">
        <v>30000</v>
      </c>
      <c r="H16" s="90">
        <f t="shared" si="0"/>
        <v>167861.70400000003</v>
      </c>
    </row>
    <row r="17" spans="1:10">
      <c r="A17" s="123">
        <v>45901</v>
      </c>
      <c r="B17" t="s">
        <v>517</v>
      </c>
      <c r="C17" s="94"/>
      <c r="D17" s="90">
        <f t="shared" si="1"/>
        <v>277861.70400000003</v>
      </c>
      <c r="E17" s="124">
        <v>20000</v>
      </c>
      <c r="H17" s="90">
        <f t="shared" si="0"/>
        <v>147861.70400000003</v>
      </c>
    </row>
    <row r="18" spans="1:10">
      <c r="A18" s="123">
        <v>45944</v>
      </c>
      <c r="B18" t="s">
        <v>517</v>
      </c>
      <c r="C18" s="94"/>
      <c r="D18" s="90">
        <f t="shared" si="1"/>
        <v>277861.70400000003</v>
      </c>
      <c r="E18" s="124">
        <v>20000</v>
      </c>
      <c r="H18" s="90">
        <f t="shared" si="0"/>
        <v>127861.70400000003</v>
      </c>
    </row>
    <row r="19" spans="1:10">
      <c r="A19" s="123">
        <v>45966</v>
      </c>
      <c r="B19" t="s">
        <v>517</v>
      </c>
      <c r="C19" s="94"/>
      <c r="D19" s="90">
        <f t="shared" si="1"/>
        <v>277861.70400000003</v>
      </c>
      <c r="E19" s="124">
        <v>20000</v>
      </c>
      <c r="H19" s="90">
        <f t="shared" si="0"/>
        <v>107861.70400000003</v>
      </c>
    </row>
    <row r="20" spans="1:10">
      <c r="A20" s="123">
        <v>45992</v>
      </c>
      <c r="B20" t="s">
        <v>517</v>
      </c>
      <c r="C20" s="94"/>
      <c r="D20" s="90">
        <f t="shared" si="1"/>
        <v>277861.70400000003</v>
      </c>
      <c r="E20" s="124">
        <v>20000</v>
      </c>
      <c r="H20" s="90">
        <f t="shared" si="0"/>
        <v>87861.704000000027</v>
      </c>
    </row>
    <row r="21" spans="1:10">
      <c r="A21" s="123"/>
      <c r="C21" s="94"/>
      <c r="D21" s="90"/>
      <c r="E21" s="124"/>
      <c r="H21" s="90"/>
    </row>
    <row r="22" spans="1:10">
      <c r="A22" s="123"/>
      <c r="C22" s="94"/>
      <c r="D22" s="90"/>
      <c r="E22" s="124"/>
      <c r="H22" s="90"/>
    </row>
    <row r="23" spans="1:10">
      <c r="C23" s="94"/>
      <c r="D23" s="90"/>
      <c r="G23" s="90"/>
      <c r="H23" s="95"/>
    </row>
    <row r="24" spans="1:10" ht="15.75">
      <c r="B24" s="96" t="s">
        <v>284</v>
      </c>
      <c r="D24" s="251">
        <v>0.76461599999999996</v>
      </c>
      <c r="E24" s="251">
        <f>1-D24</f>
        <v>0.23538400000000004</v>
      </c>
      <c r="H24" s="95"/>
    </row>
    <row r="25" spans="1:10">
      <c r="A25" s="116" t="s">
        <v>23</v>
      </c>
      <c r="B25" s="116" t="s">
        <v>24</v>
      </c>
      <c r="C25" s="127" t="s">
        <v>285</v>
      </c>
      <c r="D25" s="128" t="s">
        <v>286</v>
      </c>
      <c r="E25" s="127" t="s">
        <v>287</v>
      </c>
      <c r="F25" s="341" t="s">
        <v>288</v>
      </c>
      <c r="G25" s="127" t="s">
        <v>289</v>
      </c>
      <c r="H25" s="130" t="s">
        <v>245</v>
      </c>
      <c r="I25" t="s">
        <v>484</v>
      </c>
      <c r="J25" t="s">
        <v>513</v>
      </c>
    </row>
    <row r="26" spans="1:10">
      <c r="A26" s="116"/>
      <c r="B26" s="117" t="s">
        <v>292</v>
      </c>
      <c r="C26" s="118">
        <f>SUBTOTAL(109,C27:C41)</f>
        <v>591000</v>
      </c>
      <c r="D26" s="118">
        <f>SUBTOTAL(109,D27:D41)</f>
        <v>591000</v>
      </c>
      <c r="E26" s="118">
        <f>SUM(E27:E41)</f>
        <v>0</v>
      </c>
      <c r="F26" s="342"/>
      <c r="G26" s="118">
        <f>SUBTOTAL(109,$G$27:$G$41)</f>
        <v>-139111.94400000002</v>
      </c>
      <c r="H26" s="118">
        <f>H27</f>
        <v>-139111.94400000002</v>
      </c>
      <c r="J26" s="98"/>
    </row>
    <row r="27" spans="1:10">
      <c r="A27" s="99">
        <v>46021</v>
      </c>
      <c r="B27" t="s">
        <v>290</v>
      </c>
      <c r="D27" s="100">
        <f t="shared" ref="D27:D40" si="2">IF(F27=1,$C27,0)</f>
        <v>0</v>
      </c>
      <c r="E27" s="101">
        <f t="shared" ref="E27:E41" si="3">IF(F27=0,C27*$E$24*-1,0)</f>
        <v>0</v>
      </c>
      <c r="F27" s="343">
        <v>0</v>
      </c>
      <c r="G27" s="100">
        <f t="shared" ref="G27:G40" si="4">IF(F27=1,C27*$E$24*-1,0)</f>
        <v>0</v>
      </c>
      <c r="H27" s="95">
        <f t="shared" ref="H27:H40" si="5">H28+G27</f>
        <v>-139111.94400000002</v>
      </c>
      <c r="J27" s="98"/>
    </row>
    <row r="28" spans="1:10">
      <c r="A28" s="227">
        <v>45992</v>
      </c>
      <c r="B28" s="228" t="s">
        <v>521</v>
      </c>
      <c r="C28" s="233">
        <v>301000</v>
      </c>
      <c r="D28" s="100">
        <f t="shared" si="2"/>
        <v>301000</v>
      </c>
      <c r="E28" s="101">
        <f t="shared" si="3"/>
        <v>0</v>
      </c>
      <c r="F28" s="343">
        <v>1</v>
      </c>
      <c r="G28" s="100">
        <f t="shared" si="4"/>
        <v>-70850.584000000017</v>
      </c>
      <c r="H28" s="95">
        <f t="shared" si="5"/>
        <v>-139111.94400000002</v>
      </c>
    </row>
    <row r="29" spans="1:10">
      <c r="A29" s="229"/>
      <c r="B29" s="230"/>
      <c r="C29" s="234"/>
      <c r="D29" s="100">
        <f t="shared" si="2"/>
        <v>0</v>
      </c>
      <c r="E29" s="101">
        <f t="shared" si="3"/>
        <v>0</v>
      </c>
      <c r="F29" s="343">
        <v>0</v>
      </c>
      <c r="G29" s="100">
        <f t="shared" si="4"/>
        <v>0</v>
      </c>
      <c r="H29" s="95">
        <f t="shared" si="5"/>
        <v>-68261.360000000015</v>
      </c>
    </row>
    <row r="30" spans="1:10">
      <c r="A30" s="229"/>
      <c r="B30" s="230"/>
      <c r="C30" s="234"/>
      <c r="D30" s="100">
        <f t="shared" si="2"/>
        <v>0</v>
      </c>
      <c r="E30" s="101">
        <f t="shared" si="3"/>
        <v>0</v>
      </c>
      <c r="F30" s="343">
        <v>0</v>
      </c>
      <c r="G30" s="100">
        <f t="shared" si="4"/>
        <v>0</v>
      </c>
      <c r="H30" s="95">
        <f t="shared" si="5"/>
        <v>-68261.360000000015</v>
      </c>
    </row>
    <row r="31" spans="1:10">
      <c r="A31" s="227"/>
      <c r="B31" s="231"/>
      <c r="C31" s="233"/>
      <c r="D31" s="100">
        <f t="shared" si="2"/>
        <v>0</v>
      </c>
      <c r="E31" s="101">
        <f t="shared" si="3"/>
        <v>0</v>
      </c>
      <c r="F31" s="343">
        <v>0</v>
      </c>
      <c r="G31" s="100">
        <f t="shared" si="4"/>
        <v>0</v>
      </c>
      <c r="H31" s="95">
        <f t="shared" si="5"/>
        <v>-68261.360000000015</v>
      </c>
    </row>
    <row r="32" spans="1:10">
      <c r="A32" s="227"/>
      <c r="B32" s="232"/>
      <c r="C32" s="235"/>
      <c r="D32" s="100">
        <f t="shared" si="2"/>
        <v>0</v>
      </c>
      <c r="E32" s="101">
        <f t="shared" si="3"/>
        <v>0</v>
      </c>
      <c r="F32" s="343">
        <v>0</v>
      </c>
      <c r="G32" s="100">
        <f t="shared" si="4"/>
        <v>0</v>
      </c>
      <c r="H32" s="95">
        <f t="shared" si="5"/>
        <v>-68261.360000000015</v>
      </c>
    </row>
    <row r="33" spans="1:10">
      <c r="A33" s="227"/>
      <c r="B33" s="228"/>
      <c r="C33" s="233"/>
      <c r="D33" s="100">
        <f t="shared" si="2"/>
        <v>0</v>
      </c>
      <c r="E33" s="101">
        <f t="shared" si="3"/>
        <v>0</v>
      </c>
      <c r="F33" s="343">
        <v>0</v>
      </c>
      <c r="G33" s="100">
        <f t="shared" si="4"/>
        <v>0</v>
      </c>
      <c r="H33" s="95">
        <f t="shared" si="5"/>
        <v>-68261.360000000015</v>
      </c>
    </row>
    <row r="34" spans="1:10">
      <c r="A34" s="227"/>
      <c r="B34" s="228"/>
      <c r="C34" s="233"/>
      <c r="D34" s="100">
        <f t="shared" si="2"/>
        <v>0</v>
      </c>
      <c r="E34" s="101">
        <f t="shared" si="3"/>
        <v>0</v>
      </c>
      <c r="F34" s="343">
        <v>0</v>
      </c>
      <c r="G34" s="100">
        <f t="shared" si="4"/>
        <v>0</v>
      </c>
      <c r="H34" s="95">
        <f t="shared" si="5"/>
        <v>-68261.360000000015</v>
      </c>
    </row>
    <row r="35" spans="1:10">
      <c r="A35" s="227"/>
      <c r="B35" s="228"/>
      <c r="C35" s="233"/>
      <c r="D35" s="100">
        <f t="shared" si="2"/>
        <v>0</v>
      </c>
      <c r="E35" s="101">
        <f t="shared" si="3"/>
        <v>0</v>
      </c>
      <c r="F35" s="343">
        <v>0</v>
      </c>
      <c r="G35" s="100">
        <f t="shared" si="4"/>
        <v>0</v>
      </c>
      <c r="H35" s="95">
        <f t="shared" si="5"/>
        <v>-68261.360000000015</v>
      </c>
    </row>
    <row r="36" spans="1:10">
      <c r="A36" s="229"/>
      <c r="B36" s="231"/>
      <c r="C36" s="234"/>
      <c r="D36" s="100">
        <f t="shared" si="2"/>
        <v>0</v>
      </c>
      <c r="E36" s="101">
        <f t="shared" si="3"/>
        <v>0</v>
      </c>
      <c r="F36" s="343">
        <v>0</v>
      </c>
      <c r="G36" s="100">
        <f t="shared" si="4"/>
        <v>0</v>
      </c>
      <c r="H36" s="95">
        <f t="shared" si="5"/>
        <v>-68261.360000000015</v>
      </c>
    </row>
    <row r="37" spans="1:10">
      <c r="A37" s="225"/>
      <c r="B37" s="226"/>
      <c r="C37" s="236"/>
      <c r="D37" s="100">
        <f t="shared" si="2"/>
        <v>0</v>
      </c>
      <c r="E37" s="101">
        <f t="shared" si="3"/>
        <v>0</v>
      </c>
      <c r="F37" s="343">
        <v>0</v>
      </c>
      <c r="G37" s="100">
        <f t="shared" si="4"/>
        <v>0</v>
      </c>
      <c r="H37" s="95">
        <f t="shared" si="5"/>
        <v>-68261.360000000015</v>
      </c>
    </row>
    <row r="38" spans="1:10">
      <c r="A38" s="229"/>
      <c r="B38" s="231"/>
      <c r="C38" s="237"/>
      <c r="D38" s="100">
        <f t="shared" si="2"/>
        <v>0</v>
      </c>
      <c r="E38" s="101">
        <f t="shared" si="3"/>
        <v>0</v>
      </c>
      <c r="F38" s="343">
        <v>0</v>
      </c>
      <c r="G38" s="100">
        <f t="shared" si="4"/>
        <v>0</v>
      </c>
      <c r="H38" s="95">
        <f t="shared" si="5"/>
        <v>-68261.360000000015</v>
      </c>
    </row>
    <row r="39" spans="1:10">
      <c r="A39" s="229"/>
      <c r="B39" s="230"/>
      <c r="C39" s="234"/>
      <c r="D39" s="100">
        <f t="shared" si="2"/>
        <v>0</v>
      </c>
      <c r="E39" s="101">
        <f t="shared" si="3"/>
        <v>0</v>
      </c>
      <c r="F39" s="343">
        <v>0</v>
      </c>
      <c r="G39" s="100">
        <f t="shared" si="4"/>
        <v>0</v>
      </c>
      <c r="H39" s="95">
        <f t="shared" si="5"/>
        <v>-68261.360000000015</v>
      </c>
    </row>
    <row r="40" spans="1:10">
      <c r="A40" s="227"/>
      <c r="B40" s="230"/>
      <c r="C40" s="233"/>
      <c r="D40" s="100">
        <f t="shared" si="2"/>
        <v>0</v>
      </c>
      <c r="E40" s="101">
        <f t="shared" si="3"/>
        <v>0</v>
      </c>
      <c r="F40" s="343">
        <v>1</v>
      </c>
      <c r="G40" s="100">
        <f t="shared" si="4"/>
        <v>0</v>
      </c>
      <c r="H40" s="95">
        <f t="shared" si="5"/>
        <v>-68261.360000000015</v>
      </c>
      <c r="J40">
        <v>5</v>
      </c>
    </row>
    <row r="41" spans="1:10">
      <c r="A41" s="174">
        <v>45660</v>
      </c>
      <c r="B41" s="175" t="s">
        <v>451</v>
      </c>
      <c r="C41" s="176">
        <v>290000</v>
      </c>
      <c r="D41" s="100">
        <f>IF(F41=1,$C41,0)</f>
        <v>290000</v>
      </c>
      <c r="E41" s="101">
        <f t="shared" si="3"/>
        <v>0</v>
      </c>
      <c r="F41" s="344">
        <v>1</v>
      </c>
      <c r="G41" s="100">
        <f>IF(F41=1,C41*$E$24*-1,0)</f>
        <v>-68261.360000000015</v>
      </c>
      <c r="H41" s="95">
        <f>G41</f>
        <v>-68261.360000000015</v>
      </c>
      <c r="J41">
        <v>4</v>
      </c>
    </row>
    <row r="42" spans="1:10">
      <c r="J42" t="s">
        <v>514</v>
      </c>
    </row>
    <row r="43" spans="1:10">
      <c r="C43" s="95"/>
      <c r="D43" s="95"/>
      <c r="E43" s="95"/>
      <c r="G43" s="95"/>
      <c r="H43" s="95"/>
    </row>
    <row r="44" spans="1:10">
      <c r="C44" s="100" t="s">
        <v>249</v>
      </c>
      <c r="D44" s="95" t="s">
        <v>293</v>
      </c>
      <c r="E44" s="95" t="s">
        <v>294</v>
      </c>
      <c r="G44" s="106"/>
      <c r="H44" s="106"/>
      <c r="I44" s="107"/>
    </row>
    <row r="45" spans="1:10" ht="15.75">
      <c r="B45" t="s">
        <v>247</v>
      </c>
      <c r="C45" s="108">
        <v>1</v>
      </c>
      <c r="D45" s="252">
        <f>D24</f>
        <v>0.76461599999999996</v>
      </c>
      <c r="E45" s="252">
        <f>1-D45</f>
        <v>0.23538400000000004</v>
      </c>
      <c r="H45" s="95"/>
    </row>
    <row r="46" spans="1:10">
      <c r="B46" t="s">
        <v>295</v>
      </c>
      <c r="C46" s="109">
        <f>$D$26*C45</f>
        <v>591000</v>
      </c>
      <c r="D46" s="110">
        <f>$D$26*D45</f>
        <v>451888.05599999998</v>
      </c>
      <c r="E46" s="110">
        <f>$D$26*E45</f>
        <v>139111.94400000002</v>
      </c>
      <c r="G46" s="345"/>
      <c r="H46" s="346"/>
    </row>
    <row r="47" spans="1:10">
      <c r="B47" t="s">
        <v>248</v>
      </c>
      <c r="C47" s="100">
        <f>D47+E47</f>
        <v>591000</v>
      </c>
      <c r="D47" s="95">
        <f>C46-E47</f>
        <v>451888.05599999998</v>
      </c>
      <c r="E47" s="95">
        <f>$H$26*-1</f>
        <v>139111.94400000002</v>
      </c>
      <c r="G47" s="337"/>
      <c r="H47" s="95"/>
      <c r="J47" s="95"/>
    </row>
    <row r="48" spans="1:10">
      <c r="B48" t="s">
        <v>296</v>
      </c>
      <c r="C48" s="100">
        <f>C46-C47</f>
        <v>0</v>
      </c>
      <c r="D48" s="95">
        <f>D46-D47</f>
        <v>0</v>
      </c>
      <c r="E48" s="95">
        <f>E46-E47</f>
        <v>0</v>
      </c>
      <c r="G48" s="95"/>
      <c r="H48" s="95"/>
      <c r="J48" s="95"/>
    </row>
    <row r="49" spans="2:10" ht="13.5" thickBot="1">
      <c r="C49" s="112"/>
      <c r="D49" s="112"/>
      <c r="E49" s="112"/>
      <c r="J49" s="95"/>
    </row>
    <row r="50" spans="2:10">
      <c r="J50" s="95"/>
    </row>
    <row r="51" spans="2:10">
      <c r="C51" s="5" t="s">
        <v>297</v>
      </c>
      <c r="D51" s="5" t="s">
        <v>298</v>
      </c>
      <c r="E51" s="5" t="s">
        <v>299</v>
      </c>
      <c r="G51" s="337"/>
      <c r="H51" s="95"/>
      <c r="J51" s="95"/>
    </row>
    <row r="52" spans="2:10">
      <c r="C52" s="95"/>
      <c r="D52" s="113"/>
      <c r="E52" s="95"/>
      <c r="G52" s="345" t="s">
        <v>516</v>
      </c>
      <c r="H52" s="346"/>
      <c r="J52" s="95"/>
    </row>
    <row r="53" spans="2:10">
      <c r="B53" s="95" t="s">
        <v>246</v>
      </c>
      <c r="C53" s="95">
        <f>D47</f>
        <v>451888.05599999998</v>
      </c>
      <c r="D53" s="46">
        <v>2.5000000000000001E-2</v>
      </c>
      <c r="E53" s="95">
        <f>C53*D53</f>
        <v>11297.2014</v>
      </c>
      <c r="G53" s="337"/>
      <c r="H53" s="95"/>
    </row>
    <row r="54" spans="2:10">
      <c r="E54" s="95"/>
      <c r="G54" s="95"/>
      <c r="H54" s="95"/>
    </row>
    <row r="56" spans="2:10">
      <c r="D56">
        <v>12</v>
      </c>
      <c r="E56" s="348">
        <f>D24</f>
        <v>0.76461599999999996</v>
      </c>
      <c r="G56" s="349">
        <f>1-E56</f>
        <v>0.23538400000000004</v>
      </c>
    </row>
    <row r="57" spans="2:10">
      <c r="C57">
        <v>219</v>
      </c>
      <c r="D57" s="337">
        <f>C57/D56</f>
        <v>18.25</v>
      </c>
      <c r="E57" s="351">
        <f>D57*E56</f>
        <v>13.954241999999999</v>
      </c>
      <c r="G57" s="351">
        <f>D57*G56</f>
        <v>4.2957580000000011</v>
      </c>
    </row>
    <row r="58" spans="2:10">
      <c r="C58">
        <v>290</v>
      </c>
      <c r="D58" s="337">
        <f>C58/D56</f>
        <v>24.166666666666668</v>
      </c>
      <c r="E58" s="351">
        <f>D58*E56</f>
        <v>18.47822</v>
      </c>
      <c r="G58" s="351">
        <f>D58*G56</f>
        <v>5.6884466666666675</v>
      </c>
    </row>
    <row r="59" spans="2:10">
      <c r="D59" s="350">
        <f>SUM(D57:D58)</f>
        <v>42.416666666666671</v>
      </c>
      <c r="E59" s="352">
        <f>SUM(E57:E58)</f>
        <v>32.432462000000001</v>
      </c>
      <c r="G59" s="353">
        <f>SUM(G57:G58)</f>
        <v>9.9842046666666686</v>
      </c>
    </row>
    <row r="60" spans="2:10">
      <c r="G60" s="337"/>
    </row>
    <row r="61" spans="2:10">
      <c r="B61" s="139">
        <v>45627</v>
      </c>
      <c r="E61">
        <v>13.95</v>
      </c>
      <c r="F61" s="338">
        <f>E61</f>
        <v>13.95</v>
      </c>
      <c r="G61" s="337">
        <v>4.3</v>
      </c>
      <c r="H61" s="338">
        <f>G61</f>
        <v>4.3</v>
      </c>
    </row>
    <row r="62" spans="2:10">
      <c r="B62" s="139">
        <v>45658</v>
      </c>
      <c r="E62">
        <v>32.43</v>
      </c>
      <c r="F62" s="338">
        <f>F61+E62</f>
        <v>46.379999999999995</v>
      </c>
      <c r="G62" s="337">
        <f>G59</f>
        <v>9.9842046666666686</v>
      </c>
      <c r="H62" s="338">
        <f>H61+G62</f>
        <v>14.284204666666668</v>
      </c>
    </row>
    <row r="63" spans="2:10">
      <c r="B63" s="139">
        <v>45689</v>
      </c>
      <c r="E63">
        <v>32.43</v>
      </c>
      <c r="F63" s="338">
        <f t="shared" ref="F63:H65" si="6">F62+E63</f>
        <v>78.81</v>
      </c>
      <c r="G63" s="337">
        <f>G62</f>
        <v>9.9842046666666686</v>
      </c>
      <c r="H63" s="338">
        <f t="shared" si="6"/>
        <v>24.268409333333338</v>
      </c>
    </row>
    <row r="64" spans="2:10">
      <c r="B64" s="139">
        <v>45717</v>
      </c>
      <c r="E64">
        <v>32.43</v>
      </c>
      <c r="F64" s="338">
        <f t="shared" si="6"/>
        <v>111.24000000000001</v>
      </c>
      <c r="G64" s="337">
        <f>G63</f>
        <v>9.9842046666666686</v>
      </c>
      <c r="H64" s="338">
        <f t="shared" si="6"/>
        <v>34.252614000000008</v>
      </c>
    </row>
    <row r="65" spans="2:8">
      <c r="B65" s="139">
        <v>45748</v>
      </c>
      <c r="E65">
        <v>32.43</v>
      </c>
      <c r="F65" s="338">
        <f t="shared" si="6"/>
        <v>143.67000000000002</v>
      </c>
      <c r="G65" s="337">
        <f>G64</f>
        <v>9.9842046666666686</v>
      </c>
      <c r="H65" s="338">
        <f t="shared" si="6"/>
        <v>44.236818666666679</v>
      </c>
    </row>
    <row r="66" spans="2:8">
      <c r="B66" s="139">
        <v>45778</v>
      </c>
      <c r="F66" s="338"/>
      <c r="H66" s="1"/>
    </row>
    <row r="67" spans="2:8">
      <c r="B67" s="139">
        <v>45809</v>
      </c>
      <c r="F67" s="338"/>
      <c r="H67" s="1"/>
    </row>
    <row r="68" spans="2:8">
      <c r="B68" s="139">
        <v>45839</v>
      </c>
      <c r="F68" s="338"/>
      <c r="H68" s="1"/>
    </row>
    <row r="69" spans="2:8">
      <c r="B69" s="139">
        <v>45870</v>
      </c>
      <c r="F69" s="338"/>
      <c r="H69" s="1"/>
    </row>
    <row r="70" spans="2:8">
      <c r="B70" s="139">
        <v>45901</v>
      </c>
      <c r="F70" s="338"/>
      <c r="H70" s="1"/>
    </row>
    <row r="71" spans="2:8">
      <c r="B71" s="139">
        <v>45931</v>
      </c>
      <c r="F71" s="338"/>
      <c r="H71" s="1"/>
    </row>
    <row r="72" spans="2:8">
      <c r="B72" s="139">
        <v>45962</v>
      </c>
      <c r="F72" s="338"/>
      <c r="H72" s="1"/>
    </row>
    <row r="73" spans="2:8">
      <c r="B73" s="139">
        <v>45992</v>
      </c>
      <c r="F73" s="338"/>
      <c r="H73" s="1"/>
    </row>
    <row r="74" spans="2:8">
      <c r="B74" s="139"/>
    </row>
    <row r="75" spans="2:8">
      <c r="B75" s="139"/>
    </row>
    <row r="76" spans="2:8">
      <c r="B76" s="139"/>
    </row>
  </sheetData>
  <phoneticPr fontId="4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3"/>
  <sheetViews>
    <sheetView zoomScale="160" zoomScaleNormal="160" workbookViewId="0">
      <selection activeCell="H21" sqref="H21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334</v>
      </c>
    </row>
    <row r="3" spans="1:8">
      <c r="C3" s="5" t="s">
        <v>327</v>
      </c>
      <c r="D3" s="1" t="s">
        <v>328</v>
      </c>
      <c r="E3" s="5" t="s">
        <v>329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03">
        <v>121030.76</v>
      </c>
      <c r="E5" s="102"/>
      <c r="F5" s="102"/>
      <c r="G5" s="120" t="s">
        <v>330</v>
      </c>
      <c r="H5" s="121">
        <f>D5</f>
        <v>121030.76</v>
      </c>
    </row>
    <row r="6" spans="1:8" ht="14.25">
      <c r="D6" s="95"/>
      <c r="G6" s="2" t="s">
        <v>331</v>
      </c>
      <c r="H6" s="122">
        <f>H25*-1</f>
        <v>187718.95184560007</v>
      </c>
    </row>
    <row r="7" spans="1:8" ht="14.25">
      <c r="D7" s="95"/>
      <c r="H7" s="122">
        <f>H6+H5</f>
        <v>308749.71184560005</v>
      </c>
    </row>
    <row r="8" spans="1:8">
      <c r="A8" s="123">
        <v>45295</v>
      </c>
      <c r="C8" s="94">
        <v>10000</v>
      </c>
      <c r="D8" s="90">
        <f>H7-C8</f>
        <v>298749.71184560005</v>
      </c>
      <c r="E8" s="124">
        <v>10000</v>
      </c>
      <c r="F8" s="125"/>
      <c r="G8" s="125" t="s">
        <v>332</v>
      </c>
      <c r="H8" s="126">
        <f t="shared" ref="H8:H19" si="0">H7-E8</f>
        <v>298749.71184560005</v>
      </c>
    </row>
    <row r="9" spans="1:8">
      <c r="A9" s="123">
        <v>45323</v>
      </c>
      <c r="C9" s="94">
        <v>10000</v>
      </c>
      <c r="D9" s="90">
        <f t="shared" ref="D9:D19" si="1">D8-C9</f>
        <v>288749.71184560005</v>
      </c>
      <c r="E9" s="124">
        <v>10000</v>
      </c>
      <c r="F9" s="125"/>
      <c r="G9" s="125" t="s">
        <v>332</v>
      </c>
      <c r="H9" s="90">
        <f t="shared" si="0"/>
        <v>288749.71184560005</v>
      </c>
    </row>
    <row r="10" spans="1:8">
      <c r="A10" s="123">
        <v>45352</v>
      </c>
      <c r="C10" s="94">
        <v>10000</v>
      </c>
      <c r="D10" s="90">
        <f t="shared" si="1"/>
        <v>278749.71184560005</v>
      </c>
      <c r="E10" s="124">
        <v>10000</v>
      </c>
      <c r="F10" s="125"/>
      <c r="G10" s="125" t="s">
        <v>332</v>
      </c>
      <c r="H10" s="90">
        <f t="shared" si="0"/>
        <v>278749.71184560005</v>
      </c>
    </row>
    <row r="11" spans="1:8">
      <c r="A11" s="123">
        <v>45383</v>
      </c>
      <c r="C11" s="94">
        <v>10000</v>
      </c>
      <c r="D11" s="90">
        <f t="shared" si="1"/>
        <v>268749.71184560005</v>
      </c>
      <c r="E11" s="124">
        <v>10000</v>
      </c>
      <c r="F11" s="125"/>
      <c r="G11" s="125" t="s">
        <v>332</v>
      </c>
      <c r="H11" s="90">
        <f t="shared" si="0"/>
        <v>268749.71184560005</v>
      </c>
    </row>
    <row r="12" spans="1:8">
      <c r="A12" s="123">
        <v>45413</v>
      </c>
      <c r="C12" s="94">
        <v>10000</v>
      </c>
      <c r="D12" s="90">
        <f t="shared" si="1"/>
        <v>258749.71184560005</v>
      </c>
      <c r="E12" s="124">
        <v>10000</v>
      </c>
      <c r="F12" s="125"/>
      <c r="G12" s="125" t="s">
        <v>332</v>
      </c>
      <c r="H12" s="90">
        <f t="shared" si="0"/>
        <v>258749.71184560005</v>
      </c>
    </row>
    <row r="13" spans="1:8">
      <c r="A13" s="123">
        <v>45444</v>
      </c>
      <c r="C13" s="94">
        <v>10000</v>
      </c>
      <c r="D13" s="90">
        <f t="shared" si="1"/>
        <v>248749.71184560005</v>
      </c>
      <c r="E13" s="124">
        <v>10000</v>
      </c>
      <c r="G13" s="125" t="s">
        <v>332</v>
      </c>
      <c r="H13" s="90">
        <f t="shared" si="0"/>
        <v>248749.71184560005</v>
      </c>
    </row>
    <row r="14" spans="1:8">
      <c r="A14" s="123">
        <v>45474</v>
      </c>
      <c r="C14" s="94">
        <v>10000</v>
      </c>
      <c r="D14" s="90">
        <f t="shared" si="1"/>
        <v>238749.71184560005</v>
      </c>
      <c r="E14" s="124">
        <v>10000</v>
      </c>
      <c r="G14" s="125" t="s">
        <v>332</v>
      </c>
      <c r="H14" s="90">
        <f t="shared" si="0"/>
        <v>238749.71184560005</v>
      </c>
    </row>
    <row r="15" spans="1:8">
      <c r="A15" s="123">
        <v>45505</v>
      </c>
      <c r="C15" s="94">
        <v>10000</v>
      </c>
      <c r="D15" s="90">
        <f t="shared" si="1"/>
        <v>228749.71184560005</v>
      </c>
      <c r="F15" t="s">
        <v>442</v>
      </c>
      <c r="H15" s="90">
        <f t="shared" si="0"/>
        <v>238749.71184560005</v>
      </c>
    </row>
    <row r="16" spans="1:8">
      <c r="A16" s="123">
        <v>45536</v>
      </c>
      <c r="C16" s="94">
        <v>10000</v>
      </c>
      <c r="D16" s="90">
        <f t="shared" si="1"/>
        <v>218749.71184560005</v>
      </c>
      <c r="F16" t="s">
        <v>442</v>
      </c>
      <c r="H16" s="90">
        <f t="shared" si="0"/>
        <v>238749.71184560005</v>
      </c>
    </row>
    <row r="17" spans="1:10">
      <c r="A17" s="123">
        <v>45566</v>
      </c>
      <c r="C17" s="94">
        <v>10000</v>
      </c>
      <c r="D17" s="90">
        <f t="shared" si="1"/>
        <v>208749.71184560005</v>
      </c>
      <c r="F17" t="s">
        <v>442</v>
      </c>
      <c r="H17" s="90">
        <f t="shared" si="0"/>
        <v>238749.71184560005</v>
      </c>
    </row>
    <row r="18" spans="1:10" ht="13.5" thickBot="1">
      <c r="A18" s="123">
        <v>45623</v>
      </c>
      <c r="B18" t="s">
        <v>251</v>
      </c>
      <c r="C18" s="94">
        <v>10000</v>
      </c>
      <c r="D18" s="90">
        <f t="shared" si="1"/>
        <v>198749.71184560005</v>
      </c>
      <c r="E18" s="124">
        <v>40000</v>
      </c>
      <c r="H18" s="90">
        <f t="shared" si="0"/>
        <v>198749.71184560005</v>
      </c>
    </row>
    <row r="19" spans="1:10" ht="13.5" thickBot="1">
      <c r="A19" s="123">
        <v>45627</v>
      </c>
      <c r="B19" t="s">
        <v>253</v>
      </c>
      <c r="C19" s="94">
        <v>11030.76</v>
      </c>
      <c r="D19" s="90">
        <f t="shared" si="1"/>
        <v>187718.95184560004</v>
      </c>
      <c r="E19" s="124">
        <v>60000</v>
      </c>
      <c r="G19" s="250" t="s">
        <v>454</v>
      </c>
      <c r="H19" s="241">
        <f t="shared" si="0"/>
        <v>138749.71184560005</v>
      </c>
    </row>
    <row r="20" spans="1:10" ht="13.5" thickBot="1">
      <c r="A20" s="123"/>
      <c r="C20" s="238"/>
      <c r="D20" s="239" t="s">
        <v>452</v>
      </c>
      <c r="E20" s="240">
        <f>SUM(E8:E19)</f>
        <v>170000</v>
      </c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284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285</v>
      </c>
      <c r="D24" s="128" t="s">
        <v>286</v>
      </c>
      <c r="E24" s="127" t="s">
        <v>287</v>
      </c>
      <c r="F24" s="129" t="s">
        <v>288</v>
      </c>
      <c r="G24" s="127" t="s">
        <v>289</v>
      </c>
      <c r="H24" s="130" t="s">
        <v>245</v>
      </c>
      <c r="I24" t="s">
        <v>484</v>
      </c>
    </row>
    <row r="25" spans="1:10">
      <c r="A25" s="116"/>
      <c r="B25" s="117" t="s">
        <v>292</v>
      </c>
      <c r="C25" s="118">
        <f>SUBTOTAL(109,C26:C40)</f>
        <v>804500.9</v>
      </c>
      <c r="D25" s="118">
        <f>SUBTOTAL(109,D26:D40)</f>
        <v>797500.9</v>
      </c>
      <c r="E25" s="118">
        <f>SUM(E26:E40)</f>
        <v>-1647.6880000000003</v>
      </c>
      <c r="F25" s="117"/>
      <c r="G25" s="118">
        <f>SUBTOTAL(109,$G$26:$G$40)</f>
        <v>-187718.95184560007</v>
      </c>
      <c r="H25" s="118">
        <f>H26</f>
        <v>-187718.95184560007</v>
      </c>
      <c r="J25" s="98"/>
    </row>
    <row r="26" spans="1:10">
      <c r="A26" s="99">
        <v>45656</v>
      </c>
      <c r="B26" t="s">
        <v>290</v>
      </c>
      <c r="C26">
        <v>-3999.1</v>
      </c>
      <c r="D26" s="100">
        <f>IF(F26=1,$C26,0)</f>
        <v>-3999.1</v>
      </c>
      <c r="E26" s="101">
        <f t="shared" ref="E26:E40" si="2">IF(F26=0,C26*$E$23*-1,0)</f>
        <v>0</v>
      </c>
      <c r="F26" s="97">
        <v>1</v>
      </c>
      <c r="G26" s="100">
        <f t="shared" ref="G26:G40" si="3">IF(F26=1,C26*$E$23*-1,0)</f>
        <v>941.32415440000011</v>
      </c>
      <c r="H26" s="95">
        <f t="shared" ref="H26:H39" si="4">H27+G26</f>
        <v>-187718.95184560007</v>
      </c>
      <c r="J26" s="98"/>
    </row>
    <row r="27" spans="1:10">
      <c r="A27" s="131"/>
      <c r="B27" s="132"/>
      <c r="C27" s="133"/>
      <c r="D27" s="100">
        <f t="shared" ref="D27:D40" si="5">IF(F27=1,$C27,0)</f>
        <v>0</v>
      </c>
      <c r="E27" s="101">
        <f t="shared" si="2"/>
        <v>0</v>
      </c>
      <c r="F27" s="97">
        <v>0</v>
      </c>
      <c r="G27" s="100">
        <f t="shared" si="3"/>
        <v>0</v>
      </c>
      <c r="H27" s="95">
        <f t="shared" si="4"/>
        <v>-188660.27600000007</v>
      </c>
    </row>
    <row r="28" spans="1:10">
      <c r="A28" s="134"/>
      <c r="B28" s="135"/>
      <c r="C28" s="136"/>
      <c r="D28" s="100">
        <f t="shared" si="5"/>
        <v>0</v>
      </c>
      <c r="E28" s="101">
        <f t="shared" si="2"/>
        <v>0</v>
      </c>
      <c r="F28" s="97">
        <v>0</v>
      </c>
      <c r="G28" s="100">
        <f t="shared" si="3"/>
        <v>0</v>
      </c>
      <c r="H28" s="95">
        <f t="shared" si="4"/>
        <v>-188660.27600000007</v>
      </c>
    </row>
    <row r="29" spans="1:10">
      <c r="A29" s="134">
        <v>45631</v>
      </c>
      <c r="B29" s="243" t="s">
        <v>448</v>
      </c>
      <c r="C29" s="244">
        <v>219000</v>
      </c>
      <c r="D29" s="249">
        <f t="shared" si="5"/>
        <v>219000</v>
      </c>
      <c r="E29" s="101">
        <f t="shared" si="2"/>
        <v>0</v>
      </c>
      <c r="F29" s="97">
        <v>1</v>
      </c>
      <c r="G29" s="100">
        <f t="shared" si="3"/>
        <v>-51549.096000000005</v>
      </c>
      <c r="H29" s="95">
        <f t="shared" si="4"/>
        <v>-188660.27600000007</v>
      </c>
      <c r="I29" t="s">
        <v>515</v>
      </c>
    </row>
    <row r="30" spans="1:10">
      <c r="A30" s="131">
        <v>45607</v>
      </c>
      <c r="B30" s="177" t="s">
        <v>447</v>
      </c>
      <c r="C30" s="133">
        <v>148500</v>
      </c>
      <c r="D30" s="100">
        <f t="shared" si="5"/>
        <v>148500</v>
      </c>
      <c r="E30" s="101">
        <f t="shared" si="2"/>
        <v>0</v>
      </c>
      <c r="F30" s="97">
        <v>1</v>
      </c>
      <c r="G30" s="100">
        <f t="shared" si="3"/>
        <v>-34954.524000000005</v>
      </c>
      <c r="H30" s="95">
        <f t="shared" si="4"/>
        <v>-137111.18000000005</v>
      </c>
    </row>
    <row r="31" spans="1:10">
      <c r="A31" s="131">
        <v>45405</v>
      </c>
      <c r="B31" s="245" t="s">
        <v>345</v>
      </c>
      <c r="C31" s="246">
        <v>33000</v>
      </c>
      <c r="D31" s="249">
        <f t="shared" si="5"/>
        <v>33000</v>
      </c>
      <c r="E31" s="101">
        <f t="shared" si="2"/>
        <v>0</v>
      </c>
      <c r="F31" s="97">
        <v>1</v>
      </c>
      <c r="G31" s="100">
        <f t="shared" si="3"/>
        <v>-7767.6720000000014</v>
      </c>
      <c r="H31" s="95">
        <f t="shared" si="4"/>
        <v>-102156.65600000003</v>
      </c>
    </row>
    <row r="32" spans="1:10">
      <c r="A32" s="131">
        <v>45405</v>
      </c>
      <c r="B32" s="132" t="s">
        <v>397</v>
      </c>
      <c r="C32" s="133">
        <v>170000</v>
      </c>
      <c r="D32" s="100">
        <f t="shared" si="5"/>
        <v>170000</v>
      </c>
      <c r="E32" s="101">
        <f t="shared" si="2"/>
        <v>0</v>
      </c>
      <c r="F32" s="97">
        <v>1</v>
      </c>
      <c r="G32" s="100">
        <f t="shared" si="3"/>
        <v>-40015.280000000006</v>
      </c>
      <c r="H32" s="95">
        <f t="shared" si="4"/>
        <v>-94388.984000000026</v>
      </c>
    </row>
    <row r="33" spans="1:10">
      <c r="A33" s="131">
        <v>45405</v>
      </c>
      <c r="B33" s="132" t="s">
        <v>396</v>
      </c>
      <c r="C33" s="133">
        <v>-25000</v>
      </c>
      <c r="D33" s="100">
        <f t="shared" si="5"/>
        <v>-25000</v>
      </c>
      <c r="E33" s="101">
        <f t="shared" si="2"/>
        <v>0</v>
      </c>
      <c r="F33" s="97">
        <v>1</v>
      </c>
      <c r="G33" s="100">
        <f t="shared" si="3"/>
        <v>5884.6000000000013</v>
      </c>
      <c r="H33" s="95">
        <f t="shared" si="4"/>
        <v>-54373.704000000012</v>
      </c>
    </row>
    <row r="34" spans="1:10">
      <c r="A34" s="131">
        <v>45397</v>
      </c>
      <c r="B34" s="132" t="s">
        <v>395</v>
      </c>
      <c r="C34" s="133">
        <v>1000</v>
      </c>
      <c r="D34" s="100">
        <f t="shared" si="5"/>
        <v>1000</v>
      </c>
      <c r="E34" s="101">
        <f t="shared" ref="E34" si="6">IF(F34=0,C34*$E$23*-1,0)</f>
        <v>0</v>
      </c>
      <c r="F34" s="97">
        <v>1</v>
      </c>
      <c r="G34" s="100">
        <f t="shared" ref="G34" si="7">IF(F34=1,C34*$E$23*-1,0)</f>
        <v>-235.38400000000004</v>
      </c>
      <c r="H34" s="95">
        <f t="shared" si="4"/>
        <v>-60258.304000000011</v>
      </c>
    </row>
    <row r="35" spans="1:10">
      <c r="A35" s="134">
        <v>45397</v>
      </c>
      <c r="B35" s="247" t="s">
        <v>344</v>
      </c>
      <c r="C35" s="244">
        <v>85000</v>
      </c>
      <c r="D35" s="249">
        <f t="shared" si="5"/>
        <v>85000</v>
      </c>
      <c r="E35" s="101">
        <f t="shared" si="2"/>
        <v>0</v>
      </c>
      <c r="F35" s="97">
        <v>1</v>
      </c>
      <c r="G35" s="100">
        <f t="shared" si="3"/>
        <v>-20007.640000000003</v>
      </c>
      <c r="H35" s="95">
        <f t="shared" si="4"/>
        <v>-60022.920000000013</v>
      </c>
    </row>
    <row r="36" spans="1:10">
      <c r="A36" s="99">
        <v>45321</v>
      </c>
      <c r="B36" s="104" t="s">
        <v>291</v>
      </c>
      <c r="C36" s="173">
        <v>7000</v>
      </c>
      <c r="D36" s="100">
        <f t="shared" si="5"/>
        <v>0</v>
      </c>
      <c r="E36" s="101">
        <f t="shared" si="2"/>
        <v>-1647.6880000000003</v>
      </c>
      <c r="F36" s="97">
        <v>0</v>
      </c>
      <c r="G36" s="100">
        <f t="shared" si="3"/>
        <v>0</v>
      </c>
      <c r="H36" s="95">
        <f t="shared" si="4"/>
        <v>-40015.280000000006</v>
      </c>
    </row>
    <row r="37" spans="1:10">
      <c r="A37" s="134"/>
      <c r="B37" s="247" t="s">
        <v>398</v>
      </c>
      <c r="C37" s="248">
        <v>24000</v>
      </c>
      <c r="D37" s="249">
        <f t="shared" si="5"/>
        <v>24000</v>
      </c>
      <c r="E37" s="101">
        <f t="shared" si="2"/>
        <v>0</v>
      </c>
      <c r="F37" s="97">
        <v>1</v>
      </c>
      <c r="G37" s="100">
        <f t="shared" si="3"/>
        <v>-5649.2160000000013</v>
      </c>
      <c r="H37" s="95">
        <f t="shared" si="4"/>
        <v>-40015.280000000006</v>
      </c>
    </row>
    <row r="38" spans="1:10">
      <c r="A38" s="134">
        <v>45296</v>
      </c>
      <c r="B38" s="135" t="s">
        <v>333</v>
      </c>
      <c r="C38" s="136">
        <v>26000</v>
      </c>
      <c r="D38" s="100">
        <f t="shared" si="5"/>
        <v>26000</v>
      </c>
      <c r="E38" s="101">
        <f t="shared" si="2"/>
        <v>0</v>
      </c>
      <c r="F38" s="97">
        <v>1</v>
      </c>
      <c r="G38" s="100">
        <f t="shared" si="3"/>
        <v>-6119.9840000000013</v>
      </c>
      <c r="H38" s="95">
        <f t="shared" si="4"/>
        <v>-34366.064000000006</v>
      </c>
    </row>
    <row r="39" spans="1:10">
      <c r="A39" s="131">
        <v>45295</v>
      </c>
      <c r="B39" s="135" t="s">
        <v>333</v>
      </c>
      <c r="C39" s="133">
        <v>120000</v>
      </c>
      <c r="D39" s="100">
        <f t="shared" si="5"/>
        <v>120000</v>
      </c>
      <c r="E39" s="101">
        <f t="shared" si="2"/>
        <v>0</v>
      </c>
      <c r="F39" s="97">
        <v>1</v>
      </c>
      <c r="G39" s="100">
        <f t="shared" si="3"/>
        <v>-28246.080000000005</v>
      </c>
      <c r="H39" s="95">
        <f t="shared" si="4"/>
        <v>-28246.080000000005</v>
      </c>
    </row>
    <row r="40" spans="1:10">
      <c r="A40" s="174">
        <v>45292</v>
      </c>
      <c r="B40" s="175" t="s">
        <v>251</v>
      </c>
      <c r="C40" s="176"/>
      <c r="D40" s="100">
        <f t="shared" si="5"/>
        <v>0</v>
      </c>
      <c r="E40" s="101">
        <f t="shared" si="2"/>
        <v>0</v>
      </c>
      <c r="F40" s="105">
        <v>0</v>
      </c>
      <c r="G40" s="100">
        <f t="shared" si="3"/>
        <v>0</v>
      </c>
      <c r="H40" s="95">
        <f>G40</f>
        <v>0</v>
      </c>
    </row>
    <row r="42" spans="1:10">
      <c r="C42" s="95"/>
      <c r="D42" s="95"/>
      <c r="E42" s="95"/>
      <c r="G42" s="95"/>
      <c r="H42" s="95"/>
    </row>
    <row r="43" spans="1:10">
      <c r="C43" s="100" t="s">
        <v>249</v>
      </c>
      <c r="D43" s="95" t="s">
        <v>293</v>
      </c>
      <c r="E43" s="95" t="s">
        <v>294</v>
      </c>
      <c r="G43" s="106"/>
      <c r="H43" s="106"/>
      <c r="I43" s="107"/>
    </row>
    <row r="44" spans="1:10" ht="15.75">
      <c r="B44" t="s">
        <v>247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295</v>
      </c>
      <c r="C45" s="109">
        <f>$D$25*C44</f>
        <v>797500.9</v>
      </c>
      <c r="D45" s="110">
        <f>$D$25*D44</f>
        <v>609781.94815439999</v>
      </c>
      <c r="E45" s="110">
        <f>$D$25*E44</f>
        <v>187718.95184560004</v>
      </c>
      <c r="H45" s="95"/>
    </row>
    <row r="46" spans="1:10">
      <c r="B46" t="s">
        <v>248</v>
      </c>
      <c r="C46" s="100">
        <f>D46+E46</f>
        <v>797500.9</v>
      </c>
      <c r="D46" s="95">
        <f>C45-E46</f>
        <v>609781.94815439999</v>
      </c>
      <c r="E46" s="95">
        <f>$H$25*-1</f>
        <v>187718.95184560007</v>
      </c>
      <c r="G46" s="111"/>
      <c r="H46" s="95"/>
      <c r="J46" s="95"/>
    </row>
    <row r="47" spans="1:10">
      <c r="B47" t="s">
        <v>296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297</v>
      </c>
      <c r="D50" s="5" t="s">
        <v>298</v>
      </c>
      <c r="E50" s="5" t="s">
        <v>299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246</v>
      </c>
      <c r="C52" s="95">
        <f>D46</f>
        <v>609781.94815439999</v>
      </c>
      <c r="D52" s="46">
        <v>2.5000000000000001E-2</v>
      </c>
      <c r="E52" s="95">
        <f>C52*D52</f>
        <v>15244.54870386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TPLM</vt:lpstr>
      <vt:lpstr>SnyA105-25</vt:lpstr>
      <vt:lpstr>SnyB202-25</vt:lpstr>
      <vt:lpstr>SnyC301-25</vt:lpstr>
      <vt:lpstr>SnyCD-HSP-2025</vt:lpstr>
      <vt:lpstr>SnyE503-25</vt:lpstr>
      <vt:lpstr>SnyE502-22</vt:lpstr>
      <vt:lpstr>SnyF601-22</vt:lpstr>
      <vt:lpstr>snyF-HSP</vt:lpstr>
      <vt:lpstr>snyF-HSP (2025)</vt:lpstr>
      <vt:lpstr>SnyG702-22</vt:lpstr>
      <vt:lpstr>SnH_yazıhane</vt:lpstr>
      <vt:lpstr>NAZAN_25</vt:lpstr>
      <vt:lpstr>NAZAN_24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2025-12-21T04:54:10Z</dcterms:modified>
</cp:coreProperties>
</file>