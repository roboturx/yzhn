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_2026\26-yzhn\past\2025\2007-2024_ Hesap-Toplamlar\010_ 2016-23 BANKA\"/>
    </mc:Choice>
  </mc:AlternateContent>
  <xr:revisionPtr revIDLastSave="0" documentId="13_ncr:1_{A69A95C7-F5EC-412D-B093-B7D63B770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19927853_20240123_HesapÖze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8" i="1" l="1"/>
  <c r="G376" i="1"/>
  <c r="G300" i="1"/>
  <c r="G287" i="1"/>
  <c r="G286" i="1"/>
  <c r="G150" i="1"/>
  <c r="G127" i="1"/>
  <c r="G126" i="1"/>
  <c r="G125" i="1"/>
  <c r="G117" i="1"/>
  <c r="G116" i="1"/>
  <c r="G115" i="1"/>
  <c r="F113" i="1"/>
  <c r="G108" i="1"/>
  <c r="G105" i="1"/>
  <c r="G87" i="1"/>
  <c r="G52" i="1"/>
  <c r="G29" i="1"/>
  <c r="G27" i="1"/>
  <c r="G26" i="1"/>
  <c r="G25" i="1"/>
  <c r="F23" i="1"/>
  <c r="F30" i="1"/>
  <c r="F35" i="1"/>
  <c r="F50" i="1"/>
  <c r="F58" i="1"/>
  <c r="F68" i="1"/>
  <c r="F82" i="1"/>
  <c r="F76" i="1"/>
  <c r="F91" i="1"/>
  <c r="F102" i="1"/>
  <c r="F103" i="1"/>
  <c r="F123" i="1"/>
  <c r="F130" i="1"/>
  <c r="F143" i="1"/>
  <c r="F151" i="1"/>
  <c r="F163" i="1"/>
  <c r="F178" i="1"/>
  <c r="F195" i="1"/>
  <c r="F204" i="1"/>
  <c r="F209" i="1"/>
  <c r="F223" i="1"/>
  <c r="F230" i="1"/>
  <c r="F233" i="1"/>
  <c r="F243" i="1"/>
  <c r="F248" i="1"/>
  <c r="F276" i="1"/>
  <c r="F288" i="1"/>
  <c r="F290" i="1"/>
  <c r="F311" i="1"/>
  <c r="F321" i="1"/>
  <c r="F329" i="1"/>
  <c r="F342" i="1"/>
  <c r="F354" i="1"/>
  <c r="F363" i="1"/>
  <c r="F370" i="1"/>
  <c r="F380" i="1"/>
  <c r="F383" i="1"/>
  <c r="F388" i="1"/>
  <c r="F397" i="1"/>
  <c r="F404" i="1"/>
  <c r="F414" i="1"/>
  <c r="F419" i="1"/>
  <c r="F424" i="1"/>
  <c r="F443" i="1"/>
  <c r="F448" i="1"/>
  <c r="F453" i="1"/>
  <c r="F457" i="1"/>
  <c r="F465" i="1"/>
  <c r="F467" i="1"/>
  <c r="F494" i="1"/>
  <c r="F498" i="1"/>
  <c r="F502" i="1"/>
  <c r="F507" i="1"/>
  <c r="F515" i="1"/>
  <c r="F524" i="1"/>
  <c r="F529" i="1"/>
  <c r="F532" i="1"/>
  <c r="E533" i="1"/>
  <c r="F541" i="1"/>
  <c r="F546" i="1"/>
  <c r="E548" i="1"/>
  <c r="F554" i="1"/>
  <c r="E560" i="1"/>
  <c r="E559" i="1"/>
  <c r="F557" i="1"/>
  <c r="F567" i="1"/>
  <c r="F577" i="1"/>
  <c r="F584" i="1"/>
  <c r="F586" i="1"/>
  <c r="E600" i="1"/>
  <c r="F601" i="1"/>
  <c r="F615" i="1"/>
  <c r="F632" i="1"/>
  <c r="F625" i="1"/>
  <c r="F633" i="1"/>
  <c r="F634" i="1"/>
  <c r="F649" i="1"/>
  <c r="F658" i="1"/>
  <c r="F660" i="1"/>
  <c r="F666" i="1"/>
  <c r="F681" i="1"/>
  <c r="F688" i="1"/>
  <c r="F691" i="1"/>
  <c r="D701" i="1"/>
  <c r="E24" i="1"/>
  <c r="E31" i="1"/>
  <c r="E32" i="1"/>
  <c r="E33" i="1"/>
  <c r="E34" i="1"/>
  <c r="E42" i="1"/>
  <c r="E46" i="1"/>
  <c r="E48" i="1"/>
  <c r="E51" i="1"/>
  <c r="E53" i="1"/>
  <c r="E60" i="1"/>
  <c r="E66" i="1"/>
  <c r="E70" i="1"/>
  <c r="E72" i="1"/>
  <c r="E73" i="1"/>
  <c r="E74" i="1"/>
  <c r="E78" i="1"/>
  <c r="E84" i="1"/>
  <c r="E86" i="1"/>
  <c r="E88" i="1"/>
  <c r="E89" i="1"/>
  <c r="E92" i="1"/>
  <c r="E93" i="1"/>
  <c r="E96" i="1"/>
  <c r="E98" i="1"/>
  <c r="E99" i="1"/>
  <c r="E106" i="1"/>
  <c r="E107" i="1"/>
  <c r="E114" i="1"/>
  <c r="E119" i="1"/>
  <c r="E124" i="1"/>
  <c r="E132" i="1"/>
  <c r="E133" i="1"/>
  <c r="E134" i="1"/>
  <c r="E135" i="1"/>
  <c r="E136" i="1"/>
  <c r="E137" i="1"/>
  <c r="E142" i="1"/>
  <c r="E144" i="1"/>
  <c r="E145" i="1"/>
  <c r="E147" i="1"/>
  <c r="E148" i="1"/>
  <c r="E152" i="1"/>
  <c r="E153" i="1"/>
  <c r="E154" i="1"/>
  <c r="E155" i="1"/>
  <c r="E158" i="1"/>
  <c r="E161" i="1"/>
  <c r="E164" i="1"/>
  <c r="E165" i="1"/>
  <c r="E166" i="1"/>
  <c r="E167" i="1"/>
  <c r="E168" i="1"/>
  <c r="E170" i="1"/>
  <c r="E171" i="1"/>
  <c r="E180" i="1"/>
  <c r="E187" i="1"/>
  <c r="E188" i="1"/>
  <c r="E189" i="1"/>
  <c r="E190" i="1"/>
  <c r="E191" i="1"/>
  <c r="E193" i="1"/>
  <c r="E196" i="1"/>
  <c r="E197" i="1"/>
  <c r="E198" i="1"/>
  <c r="E199" i="1"/>
  <c r="E200" i="1"/>
  <c r="E202" i="1"/>
  <c r="E205" i="1"/>
  <c r="E206" i="1"/>
  <c r="E207" i="1"/>
  <c r="E210" i="1"/>
  <c r="E211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34" i="1"/>
  <c r="E235" i="1"/>
  <c r="E236" i="1"/>
  <c r="E237" i="1"/>
  <c r="E239" i="1"/>
  <c r="E240" i="1"/>
  <c r="E242" i="1"/>
  <c r="E246" i="1"/>
  <c r="E247" i="1"/>
  <c r="E250" i="1"/>
  <c r="E251" i="1"/>
  <c r="E252" i="1"/>
  <c r="E253" i="1"/>
  <c r="E254" i="1"/>
  <c r="E255" i="1"/>
  <c r="E256" i="1"/>
  <c r="E257" i="1"/>
  <c r="E258" i="1"/>
  <c r="E259" i="1"/>
  <c r="E261" i="1"/>
  <c r="E263" i="1"/>
  <c r="E264" i="1"/>
  <c r="E267" i="1"/>
  <c r="E268" i="1"/>
  <c r="E269" i="1"/>
  <c r="E270" i="1"/>
  <c r="E277" i="1"/>
  <c r="E278" i="1"/>
  <c r="E279" i="1"/>
  <c r="E280" i="1"/>
  <c r="E281" i="1"/>
  <c r="E289" i="1"/>
  <c r="E291" i="1"/>
  <c r="E292" i="1"/>
  <c r="E293" i="1"/>
  <c r="E295" i="1"/>
  <c r="E296" i="1"/>
  <c r="E297" i="1"/>
  <c r="E298" i="1"/>
  <c r="E301" i="1"/>
  <c r="E302" i="1"/>
  <c r="E303" i="1"/>
  <c r="E304" i="1"/>
  <c r="E305" i="1"/>
  <c r="E306" i="1"/>
  <c r="E307" i="1"/>
  <c r="E310" i="1"/>
  <c r="E312" i="1"/>
  <c r="E313" i="1"/>
  <c r="E314" i="1"/>
  <c r="E316" i="1"/>
  <c r="E317" i="1"/>
  <c r="E318" i="1"/>
  <c r="E320" i="1"/>
  <c r="E323" i="1"/>
  <c r="E324" i="1"/>
  <c r="E327" i="1"/>
  <c r="E332" i="1"/>
  <c r="E333" i="1"/>
  <c r="E337" i="1"/>
  <c r="E347" i="1"/>
  <c r="E355" i="1"/>
  <c r="E356" i="1"/>
  <c r="E358" i="1"/>
  <c r="E364" i="1"/>
  <c r="E369" i="1"/>
  <c r="E368" i="1"/>
  <c r="E371" i="1"/>
  <c r="E372" i="1"/>
  <c r="E377" i="1"/>
  <c r="E378" i="1"/>
  <c r="E381" i="1"/>
  <c r="E384" i="1"/>
  <c r="E386" i="1"/>
  <c r="E389" i="1"/>
  <c r="E390" i="1"/>
  <c r="E391" i="1"/>
  <c r="E398" i="1"/>
  <c r="E399" i="1"/>
  <c r="E400" i="1"/>
  <c r="E401" i="1"/>
  <c r="E405" i="1"/>
  <c r="E407" i="1"/>
  <c r="E408" i="1"/>
  <c r="E409" i="1"/>
  <c r="E412" i="1"/>
  <c r="E413" i="1"/>
  <c r="E415" i="1"/>
  <c r="E416" i="1"/>
  <c r="E417" i="1"/>
  <c r="E420" i="1"/>
  <c r="E421" i="1"/>
  <c r="E422" i="1"/>
  <c r="E423" i="1"/>
  <c r="E426" i="1"/>
  <c r="E427" i="1"/>
  <c r="E428" i="1"/>
  <c r="E429" i="1"/>
  <c r="E432" i="1"/>
  <c r="E434" i="1"/>
  <c r="E435" i="1"/>
  <c r="E436" i="1"/>
  <c r="E437" i="1"/>
  <c r="E438" i="1"/>
  <c r="E439" i="1"/>
  <c r="E440" i="1"/>
  <c r="E441" i="1"/>
  <c r="E444" i="1"/>
  <c r="E445" i="1"/>
  <c r="E446" i="1"/>
  <c r="E449" i="1"/>
  <c r="E450" i="1"/>
  <c r="E451" i="1"/>
  <c r="E454" i="1"/>
  <c r="E455" i="1"/>
  <c r="E458" i="1"/>
  <c r="E459" i="1"/>
  <c r="E460" i="1"/>
  <c r="E461" i="1"/>
  <c r="E462" i="1"/>
  <c r="E463" i="1"/>
  <c r="E466" i="1"/>
  <c r="E468" i="1"/>
  <c r="E469" i="1"/>
  <c r="E470" i="1"/>
  <c r="E471" i="1"/>
  <c r="E472" i="1"/>
  <c r="E473" i="1"/>
  <c r="E476" i="1"/>
  <c r="E479" i="1"/>
  <c r="E481" i="1"/>
  <c r="E482" i="1"/>
  <c r="E483" i="1"/>
  <c r="E484" i="1"/>
  <c r="E486" i="1"/>
  <c r="E487" i="1"/>
  <c r="E488" i="1"/>
  <c r="E493" i="1"/>
  <c r="E495" i="1"/>
  <c r="E496" i="1"/>
  <c r="E497" i="1"/>
  <c r="E499" i="1"/>
  <c r="E500" i="1"/>
  <c r="E501" i="1"/>
  <c r="E504" i="1"/>
  <c r="E505" i="1"/>
  <c r="E508" i="1"/>
  <c r="E509" i="1"/>
  <c r="E511" i="1"/>
  <c r="E512" i="1"/>
  <c r="E513" i="1"/>
  <c r="E516" i="1"/>
  <c r="E519" i="1"/>
  <c r="E520" i="1"/>
  <c r="E521" i="1"/>
  <c r="E523" i="1"/>
  <c r="E525" i="1"/>
  <c r="E526" i="1"/>
  <c r="E528" i="1"/>
  <c r="E530" i="1"/>
  <c r="E534" i="1"/>
  <c r="E535" i="1"/>
  <c r="E538" i="1"/>
  <c r="E539" i="1"/>
  <c r="E542" i="1"/>
  <c r="E543" i="1"/>
  <c r="E547" i="1"/>
  <c r="E549" i="1"/>
  <c r="E550" i="1"/>
  <c r="E556" i="1"/>
  <c r="E558" i="1"/>
  <c r="E566" i="1"/>
  <c r="E564" i="1"/>
  <c r="E563" i="1"/>
  <c r="E570" i="1"/>
  <c r="E569" i="1"/>
  <c r="E568" i="1"/>
  <c r="E575" i="1"/>
  <c r="E574" i="1"/>
  <c r="E573" i="1"/>
  <c r="E572" i="1"/>
  <c r="E583" i="1"/>
  <c r="E581" i="1"/>
  <c r="E580" i="1"/>
  <c r="E579" i="1"/>
  <c r="E578" i="1"/>
  <c r="E599" i="1"/>
  <c r="E598" i="1"/>
  <c r="E596" i="1"/>
  <c r="E595" i="1"/>
  <c r="E594" i="1"/>
  <c r="E592" i="1"/>
  <c r="E591" i="1"/>
  <c r="E589" i="1"/>
  <c r="E585" i="1"/>
  <c r="E588" i="1"/>
  <c r="E587" i="1"/>
  <c r="E613" i="1"/>
  <c r="E612" i="1"/>
  <c r="E611" i="1"/>
  <c r="E610" i="1"/>
  <c r="E609" i="1"/>
  <c r="E608" i="1"/>
  <c r="E606" i="1"/>
  <c r="E605" i="1"/>
  <c r="E604" i="1"/>
  <c r="E602" i="1"/>
  <c r="E624" i="1"/>
  <c r="E622" i="1"/>
  <c r="E621" i="1"/>
  <c r="E620" i="1"/>
  <c r="E619" i="1"/>
  <c r="E618" i="1"/>
  <c r="E617" i="1"/>
  <c r="E616" i="1"/>
  <c r="E629" i="1"/>
  <c r="E628" i="1"/>
  <c r="E627" i="1"/>
  <c r="E626" i="1"/>
  <c r="E648" i="1"/>
  <c r="E647" i="1"/>
  <c r="E646" i="1"/>
  <c r="E644" i="1"/>
  <c r="E643" i="1"/>
  <c r="E642" i="1"/>
  <c r="E641" i="1"/>
  <c r="E640" i="1"/>
  <c r="E639" i="1"/>
  <c r="E638" i="1"/>
  <c r="E637" i="1"/>
  <c r="E636" i="1"/>
  <c r="E650" i="1"/>
  <c r="E651" i="1"/>
  <c r="E652" i="1"/>
  <c r="E653" i="1"/>
  <c r="E654" i="1"/>
  <c r="E655" i="1"/>
  <c r="E657" i="1"/>
  <c r="E659" i="1"/>
  <c r="E661" i="1"/>
  <c r="E662" i="1"/>
  <c r="E663" i="1"/>
  <c r="E664" i="1"/>
  <c r="E667" i="1"/>
  <c r="E668" i="1"/>
  <c r="E669" i="1"/>
  <c r="E670" i="1"/>
  <c r="E671" i="1"/>
  <c r="E672" i="1"/>
  <c r="E673" i="1"/>
  <c r="E674" i="1"/>
  <c r="E676" i="1"/>
  <c r="E682" i="1"/>
  <c r="E683" i="1"/>
  <c r="E684" i="1"/>
  <c r="E685" i="1"/>
  <c r="E687" i="1"/>
  <c r="E689" i="1"/>
  <c r="E690" i="1"/>
  <c r="E691" i="1"/>
  <c r="E692" i="1"/>
  <c r="E693" i="1"/>
  <c r="E694" i="1"/>
  <c r="E697" i="1"/>
  <c r="E698" i="1"/>
  <c r="E699" i="1"/>
  <c r="G701" i="1" l="1"/>
  <c r="F701" i="1"/>
  <c r="F704" i="1" s="1"/>
  <c r="E701" i="1"/>
  <c r="E704" i="1" s="1"/>
  <c r="F705" i="1" l="1"/>
</calcChain>
</file>

<file path=xl/sharedStrings.xml><?xml version="1.0" encoding="utf-8"?>
<sst xmlns="http://schemas.openxmlformats.org/spreadsheetml/2006/main" count="4233" uniqueCount="2255">
  <si>
    <t>Büyük Mükellefler V. D. Başkanlığı</t>
  </si>
  <si>
    <t>481 005 8590</t>
  </si>
  <si>
    <t>HESAP ÖZETİ</t>
  </si>
  <si>
    <t/>
  </si>
  <si>
    <t>Sayın ALİ UMUT BALCI</t>
  </si>
  <si>
    <t>Müşteri numarası:</t>
  </si>
  <si>
    <t>TCKN/YKN/VKN:</t>
  </si>
  <si>
    <t>IBAN:</t>
  </si>
  <si>
    <t>Ürün-Döviz Tipi:</t>
  </si>
  <si>
    <t>Mevcut Bakiye:</t>
  </si>
  <si>
    <t>Net Bakiye:</t>
  </si>
  <si>
    <t>İşlem Yeri:</t>
  </si>
  <si>
    <t>Belge Düzenleme Tarihi:</t>
  </si>
  <si>
    <t>Sorgulama Kriterleri:</t>
  </si>
  <si>
    <t>319927853</t>
  </si>
  <si>
    <t>3631660****</t>
  </si>
  <si>
    <t>TR31 0006 4000 0015 8001 2686 16</t>
  </si>
  <si>
    <t>Vadesiz Hesap</t>
  </si>
  <si>
    <t>79,32 TL</t>
  </si>
  <si>
    <t>İşCep</t>
  </si>
  <si>
    <t>23.01.2024 - 14:16:29</t>
  </si>
  <si>
    <t>Tarih Aralığı: 01.01.2022 00:00-01.01.2024 23:59</t>
  </si>
  <si>
    <t>Tarih/Saat</t>
  </si>
  <si>
    <t>Valör</t>
  </si>
  <si>
    <t>Kanal/Şube</t>
  </si>
  <si>
    <t>İşlem Tutarı*</t>
  </si>
  <si>
    <t>Bakiye</t>
  </si>
  <si>
    <t>Ek Hesap
Bakiyesi</t>
  </si>
  <si>
    <t>İşlem</t>
  </si>
  <si>
    <t>İşlem Tipi</t>
  </si>
  <si>
    <t>Açıklama</t>
  </si>
  <si>
    <t>Referans</t>
  </si>
  <si>
    <t>01/01/2024-03:35:49</t>
  </si>
  <si>
    <t>02/01/2024</t>
  </si>
  <si>
    <t>Sistem</t>
  </si>
  <si>
    <t>FA</t>
  </si>
  <si>
    <t>FAST</t>
  </si>
  <si>
    <t>SİDE GÜLCÜ*0010*SİDE GÜLCÜ*2234401087*FAST</t>
  </si>
  <si>
    <t>15800126861620240101033549489</t>
  </si>
  <si>
    <t>28/12/2023-14:38:29</t>
  </si>
  <si>
    <t>28/12/2023</t>
  </si>
  <si>
    <t>0S</t>
  </si>
  <si>
    <t>Havale</t>
  </si>
  <si>
    <t>SÜLEYMAN BERBER tarafından aktarılan*SÜLEYMAN BERBER*H2312436981096</t>
  </si>
  <si>
    <t>15800126861620231228143829922</t>
  </si>
  <si>
    <t>28/12/2023-10:53:49</t>
  </si>
  <si>
    <t>hppynwyr*HACI MURAT BALCI*H2312435700999</t>
  </si>
  <si>
    <t>15800126861620231228105349031</t>
  </si>
  <si>
    <t>15/12/2023-14:04:37</t>
  </si>
  <si>
    <t>15/12/2023</t>
  </si>
  <si>
    <t>PERVİN ÖZLEM BALCI*0010*oğlum*2166240282*FAST</t>
  </si>
  <si>
    <t>15800126861620231215140437617</t>
  </si>
  <si>
    <t>11/12/2023-08:39:27</t>
  </si>
  <si>
    <t>11/12/2023</t>
  </si>
  <si>
    <t>UMUT BOYRAZ*0010*elektrik faturası ödemesi*2147520527*FAST</t>
  </si>
  <si>
    <t>15800126861620231211083927762</t>
  </si>
  <si>
    <t>06/12/2023-11:59:50</t>
  </si>
  <si>
    <t>06/12/2023</t>
  </si>
  <si>
    <t>CİHAN ÇAM*0111*kira odenegi*1220889704*FAST</t>
  </si>
  <si>
    <t>15800126861620231206115950628</t>
  </si>
  <si>
    <t>01/12/2023-15:03:12</t>
  </si>
  <si>
    <t>01/12/2023</t>
  </si>
  <si>
    <t>Şube:5801</t>
  </si>
  <si>
    <t>2024 YILI İŞYERİ KİRA 128.000 ÜZERİ TEFE-TÜFE FARKININ ÜZERİNDE YT*ALİ DEMİREL*H2312325674979</t>
  </si>
  <si>
    <t>15800126861620231201150312067</t>
  </si>
  <si>
    <t>27/11/2023-09:10:40</t>
  </si>
  <si>
    <t>27/11/2023</t>
  </si>
  <si>
    <t>METİN ÇELİK*0134*kira bedeli *251998215699*FAST</t>
  </si>
  <si>
    <t>15800126861620231127091040437</t>
  </si>
  <si>
    <t>27/11/2023-07:23:23</t>
  </si>
  <si>
    <t>hdgçm*HACI MURAT BALCI*H2311306295435</t>
  </si>
  <si>
    <t>15800126861620231127072323394</t>
  </si>
  <si>
    <t>25/11/2023-21:52:50</t>
  </si>
  <si>
    <t>PERVİN ÖZLEM BALCI*0010*oğlum*2088175358*FAST</t>
  </si>
  <si>
    <t>15800126861620231125215250923</t>
  </si>
  <si>
    <t>17/11/2023-18:10:21</t>
  </si>
  <si>
    <t>17/11/2023</t>
  </si>
  <si>
    <t>PERVİN ÖZLEM BALCI*0010*PERVİN ÖZLEM BALCI oğlum*2057925330*FAST</t>
  </si>
  <si>
    <t>15800126861620231117181021871</t>
  </si>
  <si>
    <t>17/11/2023-18:01:13</t>
  </si>
  <si>
    <t>PERVİN ÖZLEM BALCI tarafından aktarılan*PERVİN ÖZLEM BALCI*H2311274240016</t>
  </si>
  <si>
    <t>15800126861620231117180113231</t>
  </si>
  <si>
    <t>15/11/2023-08:54:33</t>
  </si>
  <si>
    <t>15/11/2023</t>
  </si>
  <si>
    <t>PERVİN ÖZLEM BALCI tarafından aktarılan*PERVİN ÖZLEM BALCI*H2311261164129</t>
  </si>
  <si>
    <t>15800126861620231115085433676</t>
  </si>
  <si>
    <t>14/11/2023-08:13:48</t>
  </si>
  <si>
    <t>14/11/2023</t>
  </si>
  <si>
    <t>5000dvdby2*HACI MURAT BALCI*H2311255794590</t>
  </si>
  <si>
    <t>15800126861620231114081348473</t>
  </si>
  <si>
    <t>11/11/2023-19:27:19</t>
  </si>
  <si>
    <t>13/11/2023</t>
  </si>
  <si>
    <t>POS</t>
  </si>
  <si>
    <t>DU</t>
  </si>
  <si>
    <t>KISMETSE DONER GAZIMAGUSA 1261</t>
  </si>
  <si>
    <t>15800126861620231111192719733</t>
  </si>
  <si>
    <t>11/11/2023-18:14:04</t>
  </si>
  <si>
    <t>ALSEM TICARET LTD GAZIMAGUSA 1261</t>
  </si>
  <si>
    <t>15800126861620231111181404716</t>
  </si>
  <si>
    <t>11/11/2023-18:13:35</t>
  </si>
  <si>
    <t>ALSEM TICARET LTD KIBRIS 1261</t>
  </si>
  <si>
    <t>15800126861620231111181335255</t>
  </si>
  <si>
    <t>11/11/2023-17:09:19</t>
  </si>
  <si>
    <t>AZAT DEMIRTAS EKMEK FIR GAZIMAGUSA 1261</t>
  </si>
  <si>
    <t>15800126861620231111170919889</t>
  </si>
  <si>
    <t>11/11/2023-17:06:15</t>
  </si>
  <si>
    <t>15800126861620231111170615480</t>
  </si>
  <si>
    <t>11/11/2023-17:05:37</t>
  </si>
  <si>
    <t>15800126861620231111170537425</t>
  </si>
  <si>
    <t>08/11/2023-19:02:46</t>
  </si>
  <si>
    <t>08/11/2023</t>
  </si>
  <si>
    <t>PERVİN ÖZLEM BALCI tarafından aktarılan*PERVİN ÖZLEM BALCI*H2311232100144</t>
  </si>
  <si>
    <t>15800126861620231108190246743</t>
  </si>
  <si>
    <t>30/10/2023-23:37:45</t>
  </si>
  <si>
    <t>30/10/2023</t>
  </si>
  <si>
    <t>MUSTAFA ALTAY TEMİZ tarafından aktarılan*MUSTAFA ALTAY TEMİZ*H2310194990176</t>
  </si>
  <si>
    <t>15800126861620231030233745610</t>
  </si>
  <si>
    <t>27/10/2023-08:59:13</t>
  </si>
  <si>
    <t>27/10/2023</t>
  </si>
  <si>
    <t>i9 13900k*HACI MURAT BALCI*H2310183488874</t>
  </si>
  <si>
    <t>15800126861620231027085913254</t>
  </si>
  <si>
    <t>19/10/2023-13:04:44</t>
  </si>
  <si>
    <t>19/10/2023</t>
  </si>
  <si>
    <t>PERVİN ÖZLEM BALCI tarafından aktarılan*PERVİN ÖZLEM BALCI*H2310155032285</t>
  </si>
  <si>
    <t>15800126861620231019130444436</t>
  </si>
  <si>
    <t>04/10/2023-00:21:49</t>
  </si>
  <si>
    <t>05/10/2023</t>
  </si>
  <si>
    <t>Bankamatik</t>
  </si>
  <si>
    <t>BQ</t>
  </si>
  <si>
    <t>Diğer</t>
  </si>
  <si>
    <t>KAREKODLA PARA YATIRMA - ATM NO:04484</t>
  </si>
  <si>
    <t>15800126861620231004002149404</t>
  </si>
  <si>
    <t>03/10/2023-19:01:23</t>
  </si>
  <si>
    <t>03/10/2023</t>
  </si>
  <si>
    <t>PERVİN ÖZLEM BALCI*0010*oğlum*1880819387*FAST</t>
  </si>
  <si>
    <t>15800126861620231003190123240</t>
  </si>
  <si>
    <t>27/09/2023-12:00:18</t>
  </si>
  <si>
    <t>27/09/2023</t>
  </si>
  <si>
    <t>i9.13900k*HACI MURAT BALCI*H2309067649175</t>
  </si>
  <si>
    <t>15800126861620230927120018824</t>
  </si>
  <si>
    <t>26/09/2023-18:18:43</t>
  </si>
  <si>
    <t>26/09/2023</t>
  </si>
  <si>
    <t>PERVİN ÖZLEM BALCI*0010*PERVİN ÖZLEM BALCI oğlum*1855044648*FAST</t>
  </si>
  <si>
    <t>15800126861620230926181843660</t>
  </si>
  <si>
    <t>26/09/2023-13:55:24</t>
  </si>
  <si>
    <t>SAMED TURGUT*0067**1201472682*FAST</t>
  </si>
  <si>
    <t>15800126861620230926135524096</t>
  </si>
  <si>
    <t>15/09/2023-06:48:35</t>
  </si>
  <si>
    <t>15/09/2023</t>
  </si>
  <si>
    <t>PERVİN ÖZLEM BALCI*0010*oğlum*1810473842*FAST</t>
  </si>
  <si>
    <t>15800126861620230915064835794</t>
  </si>
  <si>
    <t>07/09/2023-00:27:11</t>
  </si>
  <si>
    <t>07/09/2023</t>
  </si>
  <si>
    <t>MELİKE AYDEMİR*0010*melike çıktı ücreti*1781788501*FAST</t>
  </si>
  <si>
    <t>15800126861620230907002711964</t>
  </si>
  <si>
    <t>06/09/2023-15:04:05</t>
  </si>
  <si>
    <t>06/09/2023</t>
  </si>
  <si>
    <t>ZEYNEP ÇİÇEK tarafından aktarılan*ZEYNEP ÇİÇEK*H2309989884080</t>
  </si>
  <si>
    <t>15800126861620230906150405082</t>
  </si>
  <si>
    <t>05/09/2023-12:54:57</t>
  </si>
  <si>
    <t>05/09/2023</t>
  </si>
  <si>
    <t>ÖZÇELEBİ OTO TRADING LİMİTED tarafından aktarılan*ÖZÇELEBİ OTO TRADING LİMİTED*H2309983986908</t>
  </si>
  <si>
    <t>15800126861620230905125457667</t>
  </si>
  <si>
    <t>01/09/2023-20:40:15</t>
  </si>
  <si>
    <t>04/09/2023</t>
  </si>
  <si>
    <t>KAREKODLA PARA YATIRMA - ATM NO:01419</t>
  </si>
  <si>
    <t>15800126861620230901204015434</t>
  </si>
  <si>
    <t>01/09/2023-10:57:13</t>
  </si>
  <si>
    <t>01/09/2023</t>
  </si>
  <si>
    <t>yeni yıl*HACI MURAT BALCI*H2309968917874</t>
  </si>
  <si>
    <t>15800126861620230901105713605</t>
  </si>
  <si>
    <t>27/08/2023-01:46:21</t>
  </si>
  <si>
    <t>28/08/2023</t>
  </si>
  <si>
    <t>PERVİN ÖZLEM BALCI*0010*oğlum*1742934856*FAST</t>
  </si>
  <si>
    <t>15800126861620230827014621693</t>
  </si>
  <si>
    <t>27/08/2023-00:48:22</t>
  </si>
  <si>
    <t>BAYBARS ÜREGEN*0010*BAYBARS ÜREGEN*1742737945*FAST</t>
  </si>
  <si>
    <t>15800126861620230827004822488</t>
  </si>
  <si>
    <t>26/08/2023-16:17:31</t>
  </si>
  <si>
    <t>ÇİLEM EREM tarafından aktarılan*ÇİLEM EREM*H2308950314627</t>
  </si>
  <si>
    <t>15800126861620230826161731848</t>
  </si>
  <si>
    <t>22/08/2023-11:07:20</t>
  </si>
  <si>
    <t>22/08/2023</t>
  </si>
  <si>
    <t>YUNUS ÇAĞATAY ŞENER*0010*borç*1726582674*FAST</t>
  </si>
  <si>
    <t>15800126861620230822110720846</t>
  </si>
  <si>
    <t>17/08/2023-21:35:34</t>
  </si>
  <si>
    <t>17/08/2023</t>
  </si>
  <si>
    <t>AHMET EMRE DÜRER*0010*Ürünler*1712366330*FAST</t>
  </si>
  <si>
    <t>15800126861620230817213534222</t>
  </si>
  <si>
    <t>17/08/2023-21:29:31</t>
  </si>
  <si>
    <t>BAYBARS ÜREGEN*0010*BAYBARS ÜREGEN*1712364518*FAST</t>
  </si>
  <si>
    <t>15800126861620230817212931562</t>
  </si>
  <si>
    <t>15/08/2023-05:02:18</t>
  </si>
  <si>
    <t>15/08/2023</t>
  </si>
  <si>
    <t>PERVİN ÖZLEM BALCI*0010*oğlum*1698866723*FAST</t>
  </si>
  <si>
    <t>15800126861620230815050218222</t>
  </si>
  <si>
    <t>08/08/2023-20:24:20</t>
  </si>
  <si>
    <t>09/08/2023</t>
  </si>
  <si>
    <t>KAREKODLA PARA YATIRMA - ATM NO:12275</t>
  </si>
  <si>
    <t>15800126861620230808202420203</t>
  </si>
  <si>
    <t>01/08/2023-09:39:01</t>
  </si>
  <si>
    <t>01/08/2023</t>
  </si>
  <si>
    <t>yzgldgçtsnyksn*HACI MURAT BALCI*H2308855821306</t>
  </si>
  <si>
    <t>15800126861620230801093901254</t>
  </si>
  <si>
    <t>23/07/2023-12:07:57</t>
  </si>
  <si>
    <t>24/07/2023</t>
  </si>
  <si>
    <t>PERVİN ÖZLEM BALCI*0010*PERVİN ÖZLEM BALCI oğlum*1622746327*FAST</t>
  </si>
  <si>
    <t>15800126861620230723120757847</t>
  </si>
  <si>
    <t>18/07/2023-12:02:29</t>
  </si>
  <si>
    <t>18/07/2023</t>
  </si>
  <si>
    <t>OKAN KIRDAĞ*0010*OKAN KIRDAĞ KIRDAĞ LTD*1605687639*FAST</t>
  </si>
  <si>
    <t>15800126861620230718120229589</t>
  </si>
  <si>
    <t>16/07/2023-20:45:29</t>
  </si>
  <si>
    <t>17/07/2023</t>
  </si>
  <si>
    <t>PERVİN ÖZLEM BALCI*0010*oğlum*1599410795*FAST</t>
  </si>
  <si>
    <t>15800126861620230716204529788</t>
  </si>
  <si>
    <t>15/07/2023-16:06:35</t>
  </si>
  <si>
    <t>PERVİN ÖZLEM BALCI*0010*oğlum*1595992365*FAST</t>
  </si>
  <si>
    <t>15800126861620230715160635616</t>
  </si>
  <si>
    <t>06/07/2023-20:42:33</t>
  </si>
  <si>
    <t>06/07/2023</t>
  </si>
  <si>
    <t>PERVİN ÖZLEM BALCI*0010*oğlum*1567499872*FAST</t>
  </si>
  <si>
    <t>15800126861620230706204233507</t>
  </si>
  <si>
    <t>05/07/2023-18:46:47</t>
  </si>
  <si>
    <t>05/07/2023</t>
  </si>
  <si>
    <t>SİSTA LOVE*YASEMİN BALCI*H2307763335095</t>
  </si>
  <si>
    <t>15800126861620230705184647120</t>
  </si>
  <si>
    <t>05/07/2023-06:21:58</t>
  </si>
  <si>
    <t>hergünbayram*HACI MURAT BALCI*H2307759793145</t>
  </si>
  <si>
    <t>15800126861620230705062158819</t>
  </si>
  <si>
    <t>26/06/2023-20:16:37</t>
  </si>
  <si>
    <t>26/06/2023</t>
  </si>
  <si>
    <t>PERVİN ÖZLEM BALCI*0010*oğlum*1539206665*FAST</t>
  </si>
  <si>
    <t>15800126861620230626201637779</t>
  </si>
  <si>
    <t>26/06/2023-19:07:38</t>
  </si>
  <si>
    <t>27/06/2023</t>
  </si>
  <si>
    <t>15800126861620230626190738559</t>
  </si>
  <si>
    <t>26/06/2023-19:05:26</t>
  </si>
  <si>
    <t>15800126861620230626190526671</t>
  </si>
  <si>
    <t>25/06/2023-11:49:48</t>
  </si>
  <si>
    <t>CAFER SEÇGEL*0010*ceren hanimin verdigi cizim parasi*1533333171*FAST</t>
  </si>
  <si>
    <t>15800126861620230625114948558</t>
  </si>
  <si>
    <t>23/06/2023-05:25:30</t>
  </si>
  <si>
    <t>23/06/2023</t>
  </si>
  <si>
    <t>iyibyrmlr*HACI MURAT BALCI*H2306725544809</t>
  </si>
  <si>
    <t>15800126861620230623052530617</t>
  </si>
  <si>
    <t>21/06/2023-22:20:46</t>
  </si>
  <si>
    <t>21/06/2023</t>
  </si>
  <si>
    <t>Dilara Hotlu*0111**847634686*FAST</t>
  </si>
  <si>
    <t>15800126861620230621222046463</t>
  </si>
  <si>
    <t>15/06/2023-02:28:39</t>
  </si>
  <si>
    <t>15/06/2023</t>
  </si>
  <si>
    <t>PERVİN ÖZLEM BALCI*0010*oğlum*1496014254*FAST</t>
  </si>
  <si>
    <t>15800126861620230615022839134</t>
  </si>
  <si>
    <t>13/06/2023-13:48:55</t>
  </si>
  <si>
    <t>13/06/2023</t>
  </si>
  <si>
    <t>SILA AKGÜN tarafından aktarılan*SILA AKGÜN*H2306679045161</t>
  </si>
  <si>
    <t>15800126861620230613134855070</t>
  </si>
  <si>
    <t>11/06/2023-21:01:26</t>
  </si>
  <si>
    <t>12/06/2023</t>
  </si>
  <si>
    <t>PERVİN ÖZLEM BALCI tarafından aktarılan*PERVİN ÖZLEM BALCI*H2306673575170</t>
  </si>
  <si>
    <t>15800126861620230611210126165</t>
  </si>
  <si>
    <t>11/06/2023-19:37:24</t>
  </si>
  <si>
    <t>UMUT BOYRAZ*0010*elektrik faturası ödemesi*1485195168*FAST</t>
  </si>
  <si>
    <t>15800126861620230611193724598</t>
  </si>
  <si>
    <t>07/06/2023-12:54:50</t>
  </si>
  <si>
    <t>07/06/2023</t>
  </si>
  <si>
    <t>PERVİN ÖZLEM BALCI*0010*oğlum*1472102388*FAST</t>
  </si>
  <si>
    <t>15800126861620230607125450920</t>
  </si>
  <si>
    <t>07/06/2023-12:52:36</t>
  </si>
  <si>
    <t>PERVİN ÖZLEM BALCI tarafından aktarılan*PERVİN ÖZLEM BALCI*H2306660681632</t>
  </si>
  <si>
    <t>15800126861620230607125236883</t>
  </si>
  <si>
    <t>29/05/2023-20:35:14</t>
  </si>
  <si>
    <t>29/05/2023</t>
  </si>
  <si>
    <t>mumu*HACI MURAT BALCI*H2305629661967</t>
  </si>
  <si>
    <t>15800126861620230529203514995</t>
  </si>
  <si>
    <t>29/05/2023-13:00:00</t>
  </si>
  <si>
    <t>PERVİN ÖZLEM BALCI*0010*oğlum*1442788909*FAST</t>
  </si>
  <si>
    <t>15800126861620230529130000652</t>
  </si>
  <si>
    <t>25/05/2023-17:30:27</t>
  </si>
  <si>
    <t>25/05/2023</t>
  </si>
  <si>
    <t>PERVİN ÖZLEM BALCI*0010*oğlum*1433281777*FAST</t>
  </si>
  <si>
    <t>15800126861620230525173027380</t>
  </si>
  <si>
    <t>23/05/2023-04:37:50</t>
  </si>
  <si>
    <t>23/05/2023</t>
  </si>
  <si>
    <t>REHA İŞYARAN*0010**1425260422*FAST</t>
  </si>
  <si>
    <t>15800126861620230523043750799</t>
  </si>
  <si>
    <t>19/05/2023-03:07:23</t>
  </si>
  <si>
    <t>22/05/2023</t>
  </si>
  <si>
    <t>REHA İŞYARAN*0010**1414460633*FAST</t>
  </si>
  <si>
    <t>15800126861620230519030723115</t>
  </si>
  <si>
    <t>16/05/2023-17:22:32</t>
  </si>
  <si>
    <t>16/05/2023</t>
  </si>
  <si>
    <t>PERVİN ÖZLEM BALCI*0010*oğlum*1406774247*FAST</t>
  </si>
  <si>
    <t>15800126861620230516172232401</t>
  </si>
  <si>
    <t>15/05/2023-08:46:03</t>
  </si>
  <si>
    <t>15/05/2023</t>
  </si>
  <si>
    <t>UMUT BOYRAZ*0010*borç*1399286866*FAST</t>
  </si>
  <si>
    <t>15800126861620230515084603054</t>
  </si>
  <si>
    <t>07/05/2023-19:11:04</t>
  </si>
  <si>
    <t>08/05/2023</t>
  </si>
  <si>
    <t>PERVİN ÖZLEM BALCI*0010*PERVİN ÖZLEM BALCI oğlum*1377168990*FAST</t>
  </si>
  <si>
    <t>15800126861620230507191104054</t>
  </si>
  <si>
    <t>03/05/2023-15:30:00</t>
  </si>
  <si>
    <t>03/05/2023</t>
  </si>
  <si>
    <t>PERVİN ÖZLEM BALCI*0010*oğlum*1364300538*FAST</t>
  </si>
  <si>
    <t>15800126861620230503153000480</t>
  </si>
  <si>
    <t>25/04/2023-16:48:42</t>
  </si>
  <si>
    <t>25/04/2023</t>
  </si>
  <si>
    <t>SERHAN BULUT*0067*.*896945765*FAST</t>
  </si>
  <si>
    <t>15800126861620230425164842169</t>
  </si>
  <si>
    <t>25/04/2023-16:37:14</t>
  </si>
  <si>
    <t>bayram*HACI MURAT BALCI*H2304520701850</t>
  </si>
  <si>
    <t>15800126861620230425163714484</t>
  </si>
  <si>
    <t>25/04/2023-16:36:21</t>
  </si>
  <si>
    <t>gvrnmntfather be right*HACI MURAT BALCI*H2304520698717</t>
  </si>
  <si>
    <t>15800126861620230425163621614</t>
  </si>
  <si>
    <t>21/04/2023-21:34:03</t>
  </si>
  <si>
    <t>24/04/2023</t>
  </si>
  <si>
    <t>ALSEM TİCARET LTD.*0012*899-10260508 dan TR310006400000158001268616 a transfer*246912374*FAST</t>
  </si>
  <si>
    <t>15800126861620230421213403463</t>
  </si>
  <si>
    <t>19/04/2023-15:22:22</t>
  </si>
  <si>
    <t>19/04/2023</t>
  </si>
  <si>
    <t>E9</t>
  </si>
  <si>
    <t>EFT</t>
  </si>
  <si>
    <t>UMUT BOYRAZ*0010*ZİRAAT MOBİL EFT MERDAL KİPEL 2022 -2023 KİRA ÖDEMESİ*0250452</t>
  </si>
  <si>
    <t>15800126861620230419152222589</t>
  </si>
  <si>
    <t>17/04/2023-21:16:24</t>
  </si>
  <si>
    <t>17/04/2023</t>
  </si>
  <si>
    <t>PERVİN ÖZLEM BALCI tarafından aktarılan*PERVİN ÖZLEM BALCI*H2304497557976</t>
  </si>
  <si>
    <t>15800126861620230417211624227</t>
  </si>
  <si>
    <t>15/04/2023-10:13:41</t>
  </si>
  <si>
    <t>PERVİN ÖZLEM BALCI*0010*oğlum*1307474142*FAST</t>
  </si>
  <si>
    <t>15800126861620230415101341953</t>
  </si>
  <si>
    <t>12/04/2023-12:04:54</t>
  </si>
  <si>
    <t>12/04/2023</t>
  </si>
  <si>
    <t>EMRULLAH ÖZER*0015*merdal kipel dosyasi tahsilat*459095387*FAST</t>
  </si>
  <si>
    <t>15800126861620230412120454332</t>
  </si>
  <si>
    <t>09/04/2023-17:47:05</t>
  </si>
  <si>
    <t>10/04/2023</t>
  </si>
  <si>
    <t>PERVİN ÖZLEM BALCI*0010*oğlum*1288697200*FAST</t>
  </si>
  <si>
    <t>15800126861620230409174705756</t>
  </si>
  <si>
    <t>02/04/2023-21:09:45</t>
  </si>
  <si>
    <t>03/04/2023</t>
  </si>
  <si>
    <t>ECEM AYDIN tarafından aktarılan*ECEM AYDIN*H2304435655929</t>
  </si>
  <si>
    <t>15800126861620230402210945146</t>
  </si>
  <si>
    <t>01/04/2023-05:32:36</t>
  </si>
  <si>
    <t>REHA İŞYARAN*0010*yede gorkma*1262800260*FAST</t>
  </si>
  <si>
    <t>15800126861620230401053236392</t>
  </si>
  <si>
    <t>27/03/2023-09:59:27</t>
  </si>
  <si>
    <t>27/03/2023</t>
  </si>
  <si>
    <t>1621 + 1129*HACI MURAT BALCI*H2303416116465</t>
  </si>
  <si>
    <t>15800126861620230327095927145</t>
  </si>
  <si>
    <t>15/03/2023-08:42:34</t>
  </si>
  <si>
    <t>15/03/2023</t>
  </si>
  <si>
    <t>PERVİN ÖZLEM BALCI*0010*oğlum*1215068479*FAST</t>
  </si>
  <si>
    <t>15800126861620230315084234346</t>
  </si>
  <si>
    <t>13/03/2023-16:09:17</t>
  </si>
  <si>
    <t>13/03/2023</t>
  </si>
  <si>
    <t>METİN ÇELİK*0134*2023 kira bedeli*158245089779*FAST</t>
  </si>
  <si>
    <t>15800126861620230313160917155</t>
  </si>
  <si>
    <t>13/03/2023-16:08:15</t>
  </si>
  <si>
    <t>UMUT BOYRAZ*0010*elektrik faturası ödemesi*1210129902*FAST</t>
  </si>
  <si>
    <t>15800126861620230313160815278</t>
  </si>
  <si>
    <t>13/03/2023-16:04:37</t>
  </si>
  <si>
    <t>DURAN NEŞE*0046*2023 kira bedeli*9327999*FAST</t>
  </si>
  <si>
    <t>15800126861620230313160437152</t>
  </si>
  <si>
    <t>12/03/2023-12:53:28</t>
  </si>
  <si>
    <t>REHA İŞYARAN*0010*yede korkma*1207149591*FAST</t>
  </si>
  <si>
    <t>15800126861620230312125328631</t>
  </si>
  <si>
    <t>10/03/2023-17:50:14</t>
  </si>
  <si>
    <t>10/03/2023</t>
  </si>
  <si>
    <t>PERVİN ÖZLEM BALCI tarafından aktarılan*PERVİN ÖZLEM BALCI*H2303365816180</t>
  </si>
  <si>
    <t>15800126861620230310175014558</t>
  </si>
  <si>
    <t>03/03/2023-00:52:14</t>
  </si>
  <si>
    <t>06/03/2023</t>
  </si>
  <si>
    <t>15800126861620230303005214926</t>
  </si>
  <si>
    <t>01/03/2023-11:45:58</t>
  </si>
  <si>
    <t>01/03/2023</t>
  </si>
  <si>
    <t>REHA İŞYARAN*0010*am cukk*1175677723*FAST</t>
  </si>
  <si>
    <t>15800126861620230301114558496</t>
  </si>
  <si>
    <t>24/02/2023-19:10:46</t>
  </si>
  <si>
    <t>24/02/2023</t>
  </si>
  <si>
    <t>HACI MURAT BALCI tarafından aktarılan*HACI MURAT BALCI*H2302321781846</t>
  </si>
  <si>
    <t>15800126861620230224191046643</t>
  </si>
  <si>
    <t>13/02/2023-12:27:14</t>
  </si>
  <si>
    <t>13/02/2023</t>
  </si>
  <si>
    <t>PERVİN ÖZLEM BALCI*0010*oğlum*1132600609*FAST</t>
  </si>
  <si>
    <t>15800126861620230213122714510</t>
  </si>
  <si>
    <t>03/02/2023-19:13:21</t>
  </si>
  <si>
    <t>03/02/2023</t>
  </si>
  <si>
    <t>MERDAL KİPEL*0010*kira*1108100976*FAST</t>
  </si>
  <si>
    <t>15800126861620230203191321891</t>
  </si>
  <si>
    <t>03/02/2023-19:11:22</t>
  </si>
  <si>
    <t>MERDAL KİPEL*0010*2022 ve 2023 yillik kira bedeli*1108100640*FAST</t>
  </si>
  <si>
    <t>15800126861620230203191122477</t>
  </si>
  <si>
    <t>03/02/2023-16:04:33</t>
  </si>
  <si>
    <t>MERDAL KİPEL*0010*eletrik faturasi*1107668592*FAST</t>
  </si>
  <si>
    <t>15800126861620230203160433569</t>
  </si>
  <si>
    <t>31/01/2023-17:10:44</t>
  </si>
  <si>
    <t>31/01/2023</t>
  </si>
  <si>
    <t>Furkan Bayazıt*0111*Theknyyy uuu dayııı*600794978*FAST</t>
  </si>
  <si>
    <t>15800126861620230131171044766</t>
  </si>
  <si>
    <t>29/01/2023-13:06:51</t>
  </si>
  <si>
    <t>30/01/2023</t>
  </si>
  <si>
    <t>babaaaa*HACI MURAT BALCI*H2301240372427</t>
  </si>
  <si>
    <t>15800126861620230129130651235</t>
  </si>
  <si>
    <t>27/01/2023-21:18:55</t>
  </si>
  <si>
    <t>27/01/2023</t>
  </si>
  <si>
    <t>REHA İŞYARAN*0010*yede korkma*1091379235*FAST</t>
  </si>
  <si>
    <t>15800126861620230127211855414</t>
  </si>
  <si>
    <t>24/01/2023-17:53:01</t>
  </si>
  <si>
    <t>24/01/2023</t>
  </si>
  <si>
    <t>PERVİN ÖZLEM BALCI tarafından aktarılan*PERVİN ÖZLEM BALCI*H2301226507225</t>
  </si>
  <si>
    <t>15800126861620230124175301874</t>
  </si>
  <si>
    <t>19/01/2023-13:27:50</t>
  </si>
  <si>
    <t>19/01/2023</t>
  </si>
  <si>
    <t>PERVİN ÖZLEM BALCI tarafından aktarılan*PERVİN ÖZLEM BALCI*H2301211577758</t>
  </si>
  <si>
    <t>15800126861620230119132750315</t>
  </si>
  <si>
    <t>18/01/2023-09:22:20</t>
  </si>
  <si>
    <t>18/01/2023</t>
  </si>
  <si>
    <t>PERVİN ÖZLEM BALCI tarafından aktarılan*PERVİN ÖZLEM BALCI*H2301207941964</t>
  </si>
  <si>
    <t>15800126861620230118092220290</t>
  </si>
  <si>
    <t>15/01/2023-06:37:18</t>
  </si>
  <si>
    <t>16/01/2023</t>
  </si>
  <si>
    <t>PERVİN ÖZLEM BALCI*0010*oğlum*1057293716*FAST</t>
  </si>
  <si>
    <t>15800126861620230115063718467</t>
  </si>
  <si>
    <t>10/01/2023-19:41:10</t>
  </si>
  <si>
    <t>10/01/2023</t>
  </si>
  <si>
    <t>PERVİN ÖZLEM BALCI*0010*oğlum*1046968029*FAST</t>
  </si>
  <si>
    <t>15800126861620230110194110535</t>
  </si>
  <si>
    <t>06/01/2023-13:15:22</t>
  </si>
  <si>
    <t>06/01/2023</t>
  </si>
  <si>
    <t>PERVİN ÖZLEM BALCI*0010*ZİRAAT MOBİL EFT PERVİN ÖZLEM BALCI ANNEDEN OĞULA*0274375</t>
  </si>
  <si>
    <t>15800126861620230106131522313</t>
  </si>
  <si>
    <t>28/12/2022-15:07:32</t>
  </si>
  <si>
    <t>28/12/2022</t>
  </si>
  <si>
    <t>PERVİN ÖZLEM BALCI tarafından aktarılan*PERVİN ÖZLEM BALCI*H2212145576839</t>
  </si>
  <si>
    <t>15800126861620221228150732471</t>
  </si>
  <si>
    <t>27/12/2022-10:36:09</t>
  </si>
  <si>
    <t>27/12/2022</t>
  </si>
  <si>
    <t>HACI MURAT BALCI tarafından aktarılan*HACI MURAT BALCI*H2212141921075</t>
  </si>
  <si>
    <t>15800126861620221227103609422</t>
  </si>
  <si>
    <t>26/12/2022-17:17:35</t>
  </si>
  <si>
    <t>26/12/2022</t>
  </si>
  <si>
    <t>PERVİN ÖZLEM BALCI*0010*oğlum*1007727004*FAST</t>
  </si>
  <si>
    <t>15800126861620221226171735122</t>
  </si>
  <si>
    <t>21/12/2022-11:10:17</t>
  </si>
  <si>
    <t>21/12/2022</t>
  </si>
  <si>
    <t>PERVİN ÖZLEM BALCI*0010*ZİRAAT MOBİL EFT PERVİN ÖZLEM BALCI ANNEDEN OĞULA*0172994</t>
  </si>
  <si>
    <t>15800126861620221221111017105</t>
  </si>
  <si>
    <t>20/12/2022-19:51:41</t>
  </si>
  <si>
    <t>20/12/2022</t>
  </si>
  <si>
    <t>Furkan Bayazıt*0111**540975146*FAST</t>
  </si>
  <si>
    <t>15800126861620221220195141785</t>
  </si>
  <si>
    <t>15/12/2022-13:46:26</t>
  </si>
  <si>
    <t>15/12/2022</t>
  </si>
  <si>
    <t>PERVİN ÖZLEM BALCI*0010*oğlum*979615500*FAST</t>
  </si>
  <si>
    <t>15800126861620221215134626147</t>
  </si>
  <si>
    <t>15/12/2022-13:35:10</t>
  </si>
  <si>
    <t>PERVİN ÖZLEM BALCI*0010*oğlum*979398368*FAST</t>
  </si>
  <si>
    <t>15800126861620221215133510309</t>
  </si>
  <si>
    <t>30/11/2022-15:18:04</t>
  </si>
  <si>
    <t>30/11/2022</t>
  </si>
  <si>
    <t>2023 yılı işyeri kira bedeli*ALİ DEMİREL*H2211064280115</t>
  </si>
  <si>
    <t>15800126861620221130151804732</t>
  </si>
  <si>
    <t>27/11/2022-16:48:06</t>
  </si>
  <si>
    <t>28/11/2022</t>
  </si>
  <si>
    <t>winterscoming*HACI MURAT BALCI*H2211056310876</t>
  </si>
  <si>
    <t>15800126861620221127164806753</t>
  </si>
  <si>
    <t>25/11/2022-21:36:09</t>
  </si>
  <si>
    <t>25/11/2022</t>
  </si>
  <si>
    <t>PERVİN ÖZLEM BALCI*0010*oğlum*931159470*FAST</t>
  </si>
  <si>
    <t>15800126861620221125213609390</t>
  </si>
  <si>
    <t>22/11/2022-21:35:19</t>
  </si>
  <si>
    <t>22/11/2022</t>
  </si>
  <si>
    <t>PERVİN ÖZLEM BALCI*0010*oğlum*923986629*FAST</t>
  </si>
  <si>
    <t>15800126861620221122213519153</t>
  </si>
  <si>
    <t>18/11/2022-15:43:31</t>
  </si>
  <si>
    <t>18/11/2022</t>
  </si>
  <si>
    <t>PERVİN ÖZLEM BALCI tarafından aktarılan*PERVİN ÖZLEM BALCI*H2211033739348</t>
  </si>
  <si>
    <t>15800126861620221118154331736</t>
  </si>
  <si>
    <t>15/11/2022-06:59:25</t>
  </si>
  <si>
    <t>15/11/2022</t>
  </si>
  <si>
    <t>PERVİN ÖZLEM BALCI*0010*oğlum*903212048*FAST</t>
  </si>
  <si>
    <t>15800126861620221115065925535</t>
  </si>
  <si>
    <t>14/11/2022-05:17:45</t>
  </si>
  <si>
    <t>14/11/2022</t>
  </si>
  <si>
    <t>BAYBARS ÜREGEN*0010*BAYBARS ÜREGEN *900254107*FAST</t>
  </si>
  <si>
    <t>15800126861620221114051745698</t>
  </si>
  <si>
    <t>12/11/2022-02:04:29</t>
  </si>
  <si>
    <t>BAYBARS ÜREGEN*0010*BAYBARS ÜREGEN *896774946*FAST</t>
  </si>
  <si>
    <t>15800126861620221112020429324</t>
  </si>
  <si>
    <t>09/11/2022-20:50:32</t>
  </si>
  <si>
    <t>09/11/2022</t>
  </si>
  <si>
    <t>PERVİN ÖZLEM BALCI*0010*oğlum*891308357*FAST</t>
  </si>
  <si>
    <t>15800126861620221109205032912</t>
  </si>
  <si>
    <t>05/11/2022-18:13:16</t>
  </si>
  <si>
    <t>08/11/2022</t>
  </si>
  <si>
    <t>KAREKODLA PARA YATIRMA - ATM NO:15044</t>
  </si>
  <si>
    <t>15800126861620221105181316982</t>
  </si>
  <si>
    <t>31/10/2022-21:49:56</t>
  </si>
  <si>
    <t>31/10/2022</t>
  </si>
  <si>
    <t>PERVİN ÖZLEM BALCI*0010*oğlum*868414413*FAST</t>
  </si>
  <si>
    <t>15800126861620221031214956347</t>
  </si>
  <si>
    <t>31/10/2022-11:26:58</t>
  </si>
  <si>
    <t>Emirhan Şahin*0111**469137836*FAST</t>
  </si>
  <si>
    <t>15800126861620221031112658473</t>
  </si>
  <si>
    <t>27/10/2022-12:36:34</t>
  </si>
  <si>
    <t>27/10/2022</t>
  </si>
  <si>
    <t>winteriscoming*HACI MURAT BALCI*H2210970495046</t>
  </si>
  <si>
    <t>15800126861620221027123634525</t>
  </si>
  <si>
    <t>26/10/2022-16:06:50</t>
  </si>
  <si>
    <t>26/10/2022</t>
  </si>
  <si>
    <t>PERVİN ÖZLEM BALCI tarafından aktarılan*PERVİN ÖZLEM BALCI*H2210968632481</t>
  </si>
  <si>
    <t>15800126861620221026160650275</t>
  </si>
  <si>
    <t>21/10/2022-16:50:37</t>
  </si>
  <si>
    <t>21/10/2022</t>
  </si>
  <si>
    <t>PERVİN ÖZLEM BALCI*0010*ZİRAAT MOBİL EFT PERVİN ÖZLEM BALCI ANNEDEN OĞULA*0388179</t>
  </si>
  <si>
    <t>15800126861620221021165037396</t>
  </si>
  <si>
    <t>21/10/2022-16:46:57</t>
  </si>
  <si>
    <t>PERVİN ÖZLEM BALCI tarafından aktarılan*PERVİN ÖZLEM BALCI*H2210956966559</t>
  </si>
  <si>
    <t>15800126861620221021164657111</t>
  </si>
  <si>
    <t>19/10/2022-18:34:53</t>
  </si>
  <si>
    <t>19/10/2022</t>
  </si>
  <si>
    <t>PERVİN ÖZLEM BALCI*0010*oğlum*841828407*FAST</t>
  </si>
  <si>
    <t>15800126861620221019183453598</t>
  </si>
  <si>
    <t>14/10/2022-22:10:32</t>
  </si>
  <si>
    <t>14/10/2022</t>
  </si>
  <si>
    <t>PERVİN ÖZLEM BALCI tarafından aktarılan*PERVİN ÖZLEM BALCI*H2210937487200</t>
  </si>
  <si>
    <t>15800126861620221014221032384</t>
  </si>
  <si>
    <t>13/10/2022-21:57:21</t>
  </si>
  <si>
    <t>13/10/2022</t>
  </si>
  <si>
    <t>Mustafa Altay Temiz*0111*aa*447193913*FAST</t>
  </si>
  <si>
    <t>15800126861620221013215721885</t>
  </si>
  <si>
    <t>09/10/2022-14:58:18</t>
  </si>
  <si>
    <t>10/10/2022</t>
  </si>
  <si>
    <t>PERVİN ÖZLEM BALCI tarafından aktarılan*PERVİN ÖZLEM BALCI*H2210921393391</t>
  </si>
  <si>
    <t>15800126861620221009145818093</t>
  </si>
  <si>
    <t>05/10/2022-21:36:23</t>
  </si>
  <si>
    <t>05/10/2022</t>
  </si>
  <si>
    <t>PERVİN ÖZLEM BALCI*0010*oğlum*807561083*FAST</t>
  </si>
  <si>
    <t>15800126861620221005213623487</t>
  </si>
  <si>
    <t>04/10/2022-12:59:20</t>
  </si>
  <si>
    <t>04/10/2022</t>
  </si>
  <si>
    <t>Mustafa Altay Temiz*0111*Smokey*434017329*FAST</t>
  </si>
  <si>
    <t>15800126861620221004125920898</t>
  </si>
  <si>
    <t>04/10/2022-00:22:03</t>
  </si>
  <si>
    <t>15800126861620221004002203100</t>
  </si>
  <si>
    <t>01/10/2022-03:08:03</t>
  </si>
  <si>
    <t>KAREKODLA PARA YATIRMA - ATM NO:16472</t>
  </si>
  <si>
    <t>15800126861620221001030803927</t>
  </si>
  <si>
    <t>01/10/2022-03:05:29</t>
  </si>
  <si>
    <t>15800126861620221001030529017</t>
  </si>
  <si>
    <t>29/09/2022-09:32:04</t>
  </si>
  <si>
    <t>29/09/2022</t>
  </si>
  <si>
    <t>Mustafa Altay Temiz*0111*Altay*426917023*FAST</t>
  </si>
  <si>
    <t>15800126861620220929093204380</t>
  </si>
  <si>
    <t>27/09/2022-06:21:40</t>
  </si>
  <si>
    <t>27/09/2022</t>
  </si>
  <si>
    <t>ncmmnt*HACI MURAT BALCI*H2209887780165</t>
  </si>
  <si>
    <t>15800126861620220927062140975</t>
  </si>
  <si>
    <t>23/09/2022-20:27:06</t>
  </si>
  <si>
    <t>23/09/2022</t>
  </si>
  <si>
    <t>KÖYBAŞI OTOMOTİV LİMİTED ŞİRKETİ tarafından aktarılan*KÖYBAŞI OTOMOTİV LİMİTED ŞİRKETİ*H2209881116086</t>
  </si>
  <si>
    <t>15800126861620220923202706132</t>
  </si>
  <si>
    <t>22/09/2022-17:39:53</t>
  </si>
  <si>
    <t>22/09/2022</t>
  </si>
  <si>
    <t>PERVİN ÖZLEM BALCI*0010*oğlum*778528198*FAST</t>
  </si>
  <si>
    <t>15800126861620220922173953654</t>
  </si>
  <si>
    <t>21/09/2022-17:20:12</t>
  </si>
  <si>
    <t>21/09/2022</t>
  </si>
  <si>
    <t>umut balcı*ÇİLEM EREM*H2209875801791</t>
  </si>
  <si>
    <t>15800126861620220921172012259</t>
  </si>
  <si>
    <t>12/09/2022-19:55:38</t>
  </si>
  <si>
    <t>12/09/2022</t>
  </si>
  <si>
    <t>IYZICO*binbinapp.com ISTANBUL 1261</t>
  </si>
  <si>
    <t>15800126861620220912195538455</t>
  </si>
  <si>
    <t>08/09/2022-23:52:22</t>
  </si>
  <si>
    <t>09/09/2022</t>
  </si>
  <si>
    <t>15800126861620220908235222153</t>
  </si>
  <si>
    <t>08/09/2022-17:58:12</t>
  </si>
  <si>
    <t>08/09/2022</t>
  </si>
  <si>
    <t>AHMET EMRE DÜRER*0015*Alışveriş*243763405*FAST</t>
  </si>
  <si>
    <t>15800126861620220908175812651</t>
  </si>
  <si>
    <t>01/09/2022-11:55:15</t>
  </si>
  <si>
    <t>01/09/2022</t>
  </si>
  <si>
    <t>HACI MURAT BALCI tarafından aktarılan*HACI MURAT BALCI*H2209819520717</t>
  </si>
  <si>
    <t>15800126861620220901115515403</t>
  </si>
  <si>
    <t>26/08/2022-19:46:40</t>
  </si>
  <si>
    <t>26/08/2022</t>
  </si>
  <si>
    <t>PERVİN ÖZLEM BALCI tarafından aktarılan*PERVİN ÖZLEM BALCI*H2208807654514</t>
  </si>
  <si>
    <t>15800126861620220826194640930</t>
  </si>
  <si>
    <t>25/08/2022-11:18:38</t>
  </si>
  <si>
    <t>25/08/2022</t>
  </si>
  <si>
    <t>PERVİN ÖZLEM BALCI tarafından aktarılan*PERVİN ÖZLEM BALCI*H2208803461515</t>
  </si>
  <si>
    <t>15800126861620220825111838735</t>
  </si>
  <si>
    <t>22/08/2022-11:37:00</t>
  </si>
  <si>
    <t>22/08/2022</t>
  </si>
  <si>
    <t>PERVİN ÖZLEM BALCI tarafından aktarılan*PERVİN ÖZLEM BALCI*H2208795965199</t>
  </si>
  <si>
    <t>15800126861620220822113700667</t>
  </si>
  <si>
    <t>19/08/2022-20:56:09</t>
  </si>
  <si>
    <t>19/08/2022</t>
  </si>
  <si>
    <t>PERVİN ÖZLEM BALCI tarafından aktarılan*PERVİN ÖZLEM BALCI*H2208791380183</t>
  </si>
  <si>
    <t>15800126861620220819205609883</t>
  </si>
  <si>
    <t>16/08/2022-09:15:05</t>
  </si>
  <si>
    <t>16/08/2022</t>
  </si>
  <si>
    <t>PERVİN ÖZLEM BALCI tarafından aktarılan*PERVİN ÖZLEM BALCI*H2208781275387</t>
  </si>
  <si>
    <t>15800126861620220816091505854</t>
  </si>
  <si>
    <t>13/08/2022-01:40:27</t>
  </si>
  <si>
    <t>15/08/2022</t>
  </si>
  <si>
    <t>SADAKA*YASEMİN BALCI*H2208773334947</t>
  </si>
  <si>
    <t>15800126861620220813014027646</t>
  </si>
  <si>
    <t>01/08/2022-12:03:08</t>
  </si>
  <si>
    <t>01/08/2022</t>
  </si>
  <si>
    <t>PERVİN ÖZLEM BALCI tarafından aktarılan*PERVİN ÖZLEM BALCI*H2208741039205</t>
  </si>
  <si>
    <t>15800126861620220801120308746</t>
  </si>
  <si>
    <t>27/07/2022-16:03:09</t>
  </si>
  <si>
    <t>27/07/2022</t>
  </si>
  <si>
    <t>zammmm*HACI MURAT BALCI*H2207730634558</t>
  </si>
  <si>
    <t>15800126861620220727160309715</t>
  </si>
  <si>
    <t>25/07/2022-19:17:18</t>
  </si>
  <si>
    <t>25/07/2022</t>
  </si>
  <si>
    <t>PERVİN ÖZLEM BALCI tarafından aktarılan*PERVİN ÖZLEM BALCI*H2207726158250</t>
  </si>
  <si>
    <t>15800126861620220725191718138</t>
  </si>
  <si>
    <t>22/07/2022-20:15:37</t>
  </si>
  <si>
    <t>22/07/2022</t>
  </si>
  <si>
    <t>PERVİN ÖZLEM BALCI*0010*oğlum*648498728*FAST</t>
  </si>
  <si>
    <t>15800126861620220722201537807</t>
  </si>
  <si>
    <t>20/07/2022-17:37:53</t>
  </si>
  <si>
    <t>20/07/2022</t>
  </si>
  <si>
    <t>PERVİN ÖZLEM BALCI*0010*oğlum*644231246*FAST</t>
  </si>
  <si>
    <t>15800126861620220720173753657</t>
  </si>
  <si>
    <t>18/07/2022-09:28:35</t>
  </si>
  <si>
    <t>18/07/2022</t>
  </si>
  <si>
    <t>PERVİN ÖZLEM BALCI*0010*ZİRAAT MOBİL EFT PERVİN ÖZLEM BALCI ANNEDEN OĞULA*0207915</t>
  </si>
  <si>
    <t>15800126861620220718092835058</t>
  </si>
  <si>
    <t>16/07/2022-19:00:13</t>
  </si>
  <si>
    <t>PERVİN ÖZLEM BALCI*0010*oğlum*636796612*FAST</t>
  </si>
  <si>
    <t>15800126861620220716190013573</t>
  </si>
  <si>
    <t>15/07/2022-20:18:31</t>
  </si>
  <si>
    <t>DENİZ İLAYDA İBİLİ*0010*.*635488014*FAST</t>
  </si>
  <si>
    <t>15800126861620220715201831002</t>
  </si>
  <si>
    <t>15/07/2022-16:34:12</t>
  </si>
  <si>
    <t>PERVİN ÖZLEM BALCI*0010*oğlum*635068321*FAST</t>
  </si>
  <si>
    <t>15800126861620220715163412988</t>
  </si>
  <si>
    <t>15/07/2022-08:08:21</t>
  </si>
  <si>
    <t>UĞUR BALIBEY*0010**634079597*FAST</t>
  </si>
  <si>
    <t>15800126861620220715080821941</t>
  </si>
  <si>
    <t>08/07/2022-17:54:42</t>
  </si>
  <si>
    <t>08/07/2022</t>
  </si>
  <si>
    <t>HACI MURAT BALCI tarafından aktarılan*HACI MURAT BALCI*H2207691280150</t>
  </si>
  <si>
    <t>15800126861620220708175442486</t>
  </si>
  <si>
    <t>08/07/2022-08:24:39</t>
  </si>
  <si>
    <t>PERVİN ÖZLEM BALCI*0010*oğlum*621516889*FAST</t>
  </si>
  <si>
    <t>15800126861620220708082439937</t>
  </si>
  <si>
    <t>05/07/2022-18:29:33</t>
  </si>
  <si>
    <t>05/07/2022</t>
  </si>
  <si>
    <t>PERVİN ÖZLEM BALCI tarafından aktarılan*PERVİN ÖZLEM BALCI*H2207679754956</t>
  </si>
  <si>
    <t>15800126861620220705182933488</t>
  </si>
  <si>
    <t>05/07/2022-09:09:05</t>
  </si>
  <si>
    <t>PERVİN ÖZLEM BALCI*0010*oğlum*612815218*FAST</t>
  </si>
  <si>
    <t>15800126861620220705090905258</t>
  </si>
  <si>
    <t>27/06/2022-05:46:06</t>
  </si>
  <si>
    <t>27/06/2022</t>
  </si>
  <si>
    <t>bbdn*HACI MURAT BALCI*H2206655665875</t>
  </si>
  <si>
    <t>15800126861620220627054606168</t>
  </si>
  <si>
    <t>25/06/2022-21:35:05</t>
  </si>
  <si>
    <t>PERVİN ÖZLEM BALCI*0010*oğlum*595205250*FAST</t>
  </si>
  <si>
    <t>15800126861620220625213505706</t>
  </si>
  <si>
    <t>22/06/2022-21:04:01</t>
  </si>
  <si>
    <t>22/06/2022</t>
  </si>
  <si>
    <t>PERVİN ÖZLEM BALCI*0010*oğlum*589847755*FAST</t>
  </si>
  <si>
    <t>15800126861620220622210401735</t>
  </si>
  <si>
    <t>22/06/2022-17:29:00</t>
  </si>
  <si>
    <t>MEHMET UMUT DOĞAN tarafından aktarılan*MEHMET UMUT DOĞAN*H2206647337840</t>
  </si>
  <si>
    <t>15800126861620220622172900134</t>
  </si>
  <si>
    <t>21/06/2022-15:43:55</t>
  </si>
  <si>
    <t>21/06/2022</t>
  </si>
  <si>
    <t>PERVİN ÖZLEM BALCI tarafından aktarılan*PERVİN ÖZLEM BALCI*H2206644784576</t>
  </si>
  <si>
    <t>15800126861620220621154355607</t>
  </si>
  <si>
    <t>18/06/2022-12:01:45</t>
  </si>
  <si>
    <t>20/06/2022</t>
  </si>
  <si>
    <t>PERVİN ÖZLEM BALCI*0010*oğlum*581565207*FAST</t>
  </si>
  <si>
    <t>15800126861620220618120145548</t>
  </si>
  <si>
    <t>15/06/2022-13:04:51</t>
  </si>
  <si>
    <t>15/06/2022</t>
  </si>
  <si>
    <t>PERVİN ÖZLEM BALCI*0010*oğlum*574795304*FAST</t>
  </si>
  <si>
    <t>15800126861620220615130451425</t>
  </si>
  <si>
    <t>14/06/2022-19:57:38</t>
  </si>
  <si>
    <t>14/06/2022</t>
  </si>
  <si>
    <t>PERVİN ÖZLEM BALCI*0010*oğlum*572377951*FAST</t>
  </si>
  <si>
    <t>15800126861620220614195738393</t>
  </si>
  <si>
    <t>10/06/2022-16:48:43</t>
  </si>
  <si>
    <t>10/06/2022</t>
  </si>
  <si>
    <t>PERVİN ÖZLEM BALCI*0010*oğlum*565143432*FAST</t>
  </si>
  <si>
    <t>15800126861620220610164843496</t>
  </si>
  <si>
    <t>08/06/2022-12:49:28</t>
  </si>
  <si>
    <t>08/06/2022</t>
  </si>
  <si>
    <t>PERVİN ÖZLEM BALCI*0010*oğlum*560467802*FAST</t>
  </si>
  <si>
    <t>15800126861620220608124928195</t>
  </si>
  <si>
    <t>06/06/2022-14:43:46</t>
  </si>
  <si>
    <t>06/06/2022</t>
  </si>
  <si>
    <t>PERVİN ÖZLEM BALCI*0010*oğlum*556398779*FAST</t>
  </si>
  <si>
    <t>15800126861620220606144346132</t>
  </si>
  <si>
    <t>04/06/2022-15:55:31</t>
  </si>
  <si>
    <t>PERVİN ÖZLEM BALCI*0010*oğlum*553059391*FAST</t>
  </si>
  <si>
    <t>15800126861620220604155531417</t>
  </si>
  <si>
    <t>01/06/2022-16:44:08</t>
  </si>
  <si>
    <t>01/06/2022</t>
  </si>
  <si>
    <t>PERVİN ÖZLEM BALCI*0010*oğlum*547090944*FAST</t>
  </si>
  <si>
    <t>15800126861620220601164408843</t>
  </si>
  <si>
    <t>27/05/2022-04:58:12</t>
  </si>
  <si>
    <t>27/05/2022</t>
  </si>
  <si>
    <t>tmson*HACI MURAT BALCI*H2205589329411</t>
  </si>
  <si>
    <t>15800126861620220527045812437</t>
  </si>
  <si>
    <t>24/05/2022-20:04:13</t>
  </si>
  <si>
    <t>24/05/2022</t>
  </si>
  <si>
    <t>PERVİN ÖZLEM BALCI*0010*oğlum*533056324*FAST</t>
  </si>
  <si>
    <t>15800126861620220524200413665</t>
  </si>
  <si>
    <t>16/05/2022-11:11:25</t>
  </si>
  <si>
    <t>17/05/2022</t>
  </si>
  <si>
    <t>AA</t>
  </si>
  <si>
    <t>Para Transferi</t>
  </si>
  <si>
    <t>PERVİN ÖZLEM BALCI TARAFINDAN HESABA AKTARILAN *PERVİN ÖZLEM BALCI *5800X2028082</t>
  </si>
  <si>
    <t>15800126861620220516111125715</t>
  </si>
  <si>
    <t>13/05/2022-19:55:13</t>
  </si>
  <si>
    <t>16/05/2022</t>
  </si>
  <si>
    <t>PERVİN ÖZLEM BALCI TARAFINDAN HESABA AKTARILAN *PERVİN ÖZLEM BALCI *5800X2027643</t>
  </si>
  <si>
    <t>15800126861620220513195513536</t>
  </si>
  <si>
    <t>13/05/2022-08:41:31</t>
  </si>
  <si>
    <t>13/05/2022</t>
  </si>
  <si>
    <t>MEHMET UMUT DOĞAN tarafından aktarılan*MEHMET UMUT DOĞAN*H2205563006959</t>
  </si>
  <si>
    <t>15800126861620220513084131410</t>
  </si>
  <si>
    <t>06/05/2022-16:14:32</t>
  </si>
  <si>
    <t>06/05/2022</t>
  </si>
  <si>
    <t>MEHMET UMUT DOĞAN*0067**36409076*FAST</t>
  </si>
  <si>
    <t>15800126861620220506161432297</t>
  </si>
  <si>
    <t>06/05/2022-03:18:56</t>
  </si>
  <si>
    <t>MEHMET UMUT DOĞAN*0067*.*36331934*FAST</t>
  </si>
  <si>
    <t>15800126861620220506031856154</t>
  </si>
  <si>
    <t>02/05/2022-10:33:37</t>
  </si>
  <si>
    <t>SUGAR BYRAHM *HACI MURAT BALCI *5800X2025522</t>
  </si>
  <si>
    <t>15800126861620220502103337780</t>
  </si>
  <si>
    <t>29/04/2022-14:14:50</t>
  </si>
  <si>
    <t>05/05/2022</t>
  </si>
  <si>
    <t>KAREKODLA PARA YATIRMA - ATM NO:08928</t>
  </si>
  <si>
    <t>15800126861620220429141450498</t>
  </si>
  <si>
    <t>28/04/2022-05:05:06</t>
  </si>
  <si>
    <t>29/04/2022</t>
  </si>
  <si>
    <t>NİSAN *HACI MURAT BALCI *5800X2024383</t>
  </si>
  <si>
    <t>15800126861620220428050506721</t>
  </si>
  <si>
    <t>27/04/2022-15:05:03</t>
  </si>
  <si>
    <t>28/04/2022</t>
  </si>
  <si>
    <t>PERVİN ÖZLEM BALCI TARAFINDAN HESABA AKTARILAN *PERVİN ÖZLEM BALCI *5800X2024283</t>
  </si>
  <si>
    <t>15800126861620220427150503790</t>
  </si>
  <si>
    <t>23/04/2022-17:09:53</t>
  </si>
  <si>
    <t>25/04/2022</t>
  </si>
  <si>
    <t>PERVİN ÖZLEM BALCI*0010*oğlum*47503515*FAST</t>
  </si>
  <si>
    <t>15800126861620220423170953853</t>
  </si>
  <si>
    <t>22/04/2022-10:05:22</t>
  </si>
  <si>
    <t>PERVİN ÖZLEM BALCI TARAFINDAN HESABA AKTARILAN *PERVİN ÖZLEM BALCI *5800X2023242</t>
  </si>
  <si>
    <t>15800126861620220422100522505</t>
  </si>
  <si>
    <t>20/04/2022-17:20:21</t>
  </si>
  <si>
    <t>21/04/2022</t>
  </si>
  <si>
    <t>AX</t>
  </si>
  <si>
    <t>P.BALCI -N.ÖZİNANIR TARAFINDAN HESABA AKTARILAN *P.BALCI -N.ÖZİNANIR *6821X2045153</t>
  </si>
  <si>
    <t>15800126861620220420172021861</t>
  </si>
  <si>
    <t>19/04/2022-03:08:59</t>
  </si>
  <si>
    <t>19/04/2022</t>
  </si>
  <si>
    <t>MEHMET UMUT DOĞAN*0067**34152382*FAST</t>
  </si>
  <si>
    <t>15800126861620220419030859133</t>
  </si>
  <si>
    <t>18/04/2022-21:42:27</t>
  </si>
  <si>
    <t>PERVİN ÖZLEM BALCI TARAFINDAN HESABA AKTARILAN *PERVİN ÖZLEM BALCI *5800X2022462</t>
  </si>
  <si>
    <t>15800126861620220418214227941</t>
  </si>
  <si>
    <t>14/04/2022-14:05:01</t>
  </si>
  <si>
    <t>14/04/2022</t>
  </si>
  <si>
    <t>PERVİN ÖZLEM BALCI*0010*oğlum*45690376*FAST</t>
  </si>
  <si>
    <t>15800126861620220414140501347</t>
  </si>
  <si>
    <t>03/04/2022-02:14:53</t>
  </si>
  <si>
    <t>05/04/2022</t>
  </si>
  <si>
    <t>MEHMET UMUT DOĞAN . *MEHMET UMUT DOĞAN *3600X2035644</t>
  </si>
  <si>
    <t>15800126861620220403021453387</t>
  </si>
  <si>
    <t>01/04/2022-14:54:41</t>
  </si>
  <si>
    <t>01/04/2022</t>
  </si>
  <si>
    <t>PERVİN ÖZLEM BALCI*0010*oğlum*43542992*FAST</t>
  </si>
  <si>
    <t>15800126861620220401145441119</t>
  </si>
  <si>
    <t>01/04/2022-14:41:41</t>
  </si>
  <si>
    <t>04/04/2022</t>
  </si>
  <si>
    <t>FORRAMATHAN *HACI MURAT BALCI *5800X2018656</t>
  </si>
  <si>
    <t>15800126861620220401144141033</t>
  </si>
  <si>
    <t>31/03/2022-19:29:37</t>
  </si>
  <si>
    <t>31/03/2022</t>
  </si>
  <si>
    <t>MEHMET UMUT DOĞAN tarafından aktarılan*MEHMET UMUT DOĞAN*H2203486911788</t>
  </si>
  <si>
    <t>15800126861620220331192937889</t>
  </si>
  <si>
    <t>31/03/2022-17:28:22</t>
  </si>
  <si>
    <t>PERVİN ÖZLEM BALCI*0010*oğlum*43370854*FAST</t>
  </si>
  <si>
    <t>15800126861620220331172822583</t>
  </si>
  <si>
    <t>30/03/2022-17:24:53</t>
  </si>
  <si>
    <t>30/03/2022</t>
  </si>
  <si>
    <t>PERVİN ÖZLEM BALCI*0010*oğlum*43185868*FAST</t>
  </si>
  <si>
    <t>15800126861620220330172453849</t>
  </si>
  <si>
    <t>29/03/2022-16:26:19</t>
  </si>
  <si>
    <t>SPRİNGSCOMİNG *HACI MURAT BALCI *5800X2017949</t>
  </si>
  <si>
    <t>15800126861620220329162619554</t>
  </si>
  <si>
    <t>27/03/2022-19:57:22</t>
  </si>
  <si>
    <t>29/03/2022</t>
  </si>
  <si>
    <t>MEHMET UMUT DOĞAN . *MEHMET UMUT DOĞAN *3600X2032889</t>
  </si>
  <si>
    <t>15800126861620220327195722121</t>
  </si>
  <si>
    <t>26/03/2022-18:30:53</t>
  </si>
  <si>
    <t>28/03/2022</t>
  </si>
  <si>
    <t>PERVİN ÖZLEM BALCI*0010*oğlum*42623054*FAST</t>
  </si>
  <si>
    <t>15800126861620220326183053801</t>
  </si>
  <si>
    <t>26/03/2022-18:29:33</t>
  </si>
  <si>
    <t>PERVİN ÖZLEM BALCI*0010*oğlum*42623029*FAST</t>
  </si>
  <si>
    <t>15800126861620220326182933063</t>
  </si>
  <si>
    <t>24/03/2022-22:36:07</t>
  </si>
  <si>
    <t>25/03/2022</t>
  </si>
  <si>
    <t>PERVİN ÖZLEM BALCI TARAFINDAN HESABA AKTARILAN *PERVİN ÖZLEM BALCI *5800X2017071</t>
  </si>
  <si>
    <t>15800126861620220324223607953</t>
  </si>
  <si>
    <t>23/03/2022-21:39:58</t>
  </si>
  <si>
    <t>24/03/2022</t>
  </si>
  <si>
    <t>P.BALCI -N.ÖZİNANIR TARAFINDAN HESABA AKTARILAN *P.BALCI -N.ÖZİNANIR *6821X2033614</t>
  </si>
  <si>
    <t>15800126861620220323213958686</t>
  </si>
  <si>
    <t>22/03/2022-12:54:21</t>
  </si>
  <si>
    <t>23/03/2022</t>
  </si>
  <si>
    <t>PERVİN ÖZLEM BALCI TARAFINDAN HESABA AKTARILAN *PERVİN ÖZLEM BALCI *5800X2016515</t>
  </si>
  <si>
    <t>15800126861620220322125421777</t>
  </si>
  <si>
    <t>22/03/2022-12:51:33</t>
  </si>
  <si>
    <t>PERVİN ÖZLEM BALCI TARAFINDAN HESABA AKTARILAN *PERVİN ÖZLEM BALCI *5800X2016514</t>
  </si>
  <si>
    <t>15800126861620220322125133890</t>
  </si>
  <si>
    <t>21/03/2022-15:54:24</t>
  </si>
  <si>
    <t>21/03/2022</t>
  </si>
  <si>
    <t>PERVİN ÖZLEM BALCI*0010*oğlum*41821501*FAST</t>
  </si>
  <si>
    <t>15800126861620220321155424395</t>
  </si>
  <si>
    <t>17/03/2022-13:05:21</t>
  </si>
  <si>
    <t>18/03/2022</t>
  </si>
  <si>
    <t>PERVİN ÖZLEM BALCI TARAFINDAN HESABA AKTARILAN *PERVİN ÖZLEM BALCI *5800X2015546</t>
  </si>
  <si>
    <t>15800126861620220317130521295</t>
  </si>
  <si>
    <t>14/03/2022-14:31:24</t>
  </si>
  <si>
    <t>15/03/2022</t>
  </si>
  <si>
    <t>PERVİN ÖZLEM BALCI TARAFINDAN HESABA AKTARILAN *PERVİN ÖZLEM BALCI *5800X2014574</t>
  </si>
  <si>
    <t>15800126861620220314143124098</t>
  </si>
  <si>
    <t>12/03/2022-17:49:15</t>
  </si>
  <si>
    <t>PERVİN ÖZLEM BALCI TARAFINDAN HESABA AKTARILAN *PERVİN ÖZLEM BALCI *5800X2014305</t>
  </si>
  <si>
    <t>15800126861620220312174915736</t>
  </si>
  <si>
    <t>08/03/2022-20:11:31</t>
  </si>
  <si>
    <t>08/03/2022</t>
  </si>
  <si>
    <t>BURAK BİLGEN*0062**80830001*FAST</t>
  </si>
  <si>
    <t>15800126861620220308201131408</t>
  </si>
  <si>
    <t>01/03/2022-16:49:53</t>
  </si>
  <si>
    <t>02/03/2022</t>
  </si>
  <si>
    <t>PERVİN ÖZLEM BALCI TARAFINDAN HESABA AKTARILAN *PERVİN ÖZLEM BALCI *5800X2011930</t>
  </si>
  <si>
    <t>15800126861620220301164953364</t>
  </si>
  <si>
    <t>23/02/2022-13:49:09</t>
  </si>
  <si>
    <t>24/02/2022</t>
  </si>
  <si>
    <t>PERVİN ÖZLEM BALCI TARAFINDAN HESABA AKTARILAN *PERVİN ÖZLEM BALCI *5800X2010623</t>
  </si>
  <si>
    <t>15800126861620220223134909148</t>
  </si>
  <si>
    <t>20/02/2022-13:02:14</t>
  </si>
  <si>
    <t>21/02/2022</t>
  </si>
  <si>
    <t>PERVİN ÖZLEM BALCI*0010*oğlum*37033391*FAST</t>
  </si>
  <si>
    <t>15800126861620220220130214379</t>
  </si>
  <si>
    <t>15/02/2022-19:04:36</t>
  </si>
  <si>
    <t>16/02/2022</t>
  </si>
  <si>
    <t>ALPEREN BUĞRA TUTSUN ABT *ALPEREN BUĞRA TUTSUN *5500X2007165</t>
  </si>
  <si>
    <t>15800126861620220215190436512</t>
  </si>
  <si>
    <t>14/02/2022-14:48:01</t>
  </si>
  <si>
    <t>15/02/2022</t>
  </si>
  <si>
    <t>ALPEREN BUĞRA TUTSUN ABT *ALPEREN BUĞRA TUTSUN *5500X2006826</t>
  </si>
  <si>
    <t>15800126861620220214144801534</t>
  </si>
  <si>
    <t>13/02/2022-15:18:48</t>
  </si>
  <si>
    <t>PERVİN ÖZLEM BALCI TARAFINDAN HESABA AKTARILAN *PERVİN ÖZLEM BALCI *5800X2008479</t>
  </si>
  <si>
    <t>15800126861620220213151848073</t>
  </si>
  <si>
    <t>12/02/2022-08:20:24</t>
  </si>
  <si>
    <t>PERVİN ÖZLEM BALCI TARAFINDAN HESABA AKTARILAN *PERVİN ÖZLEM BALCI *5800X2008352</t>
  </si>
  <si>
    <t>15800126861620220212082024534</t>
  </si>
  <si>
    <t>07/02/2022-10:19:59</t>
  </si>
  <si>
    <t>08/02/2022</t>
  </si>
  <si>
    <t>PERVİN ÖZLEM BALCI TARAFINDAN HESABA AKTARILAN *PERVİN ÖZLEM BALCI *5800X2007391</t>
  </si>
  <si>
    <t>15800126861620220207101959767</t>
  </si>
  <si>
    <t>02/02/2022-15:22:21</t>
  </si>
  <si>
    <t>02/02/2022</t>
  </si>
  <si>
    <t>PERVİN ÖZLEM BALCI*0010*INTERNET EFT PERVİN ÖZLEM BALCI ANNEDEN OĞULA*0532058</t>
  </si>
  <si>
    <t>15800126861620220202152221879</t>
  </si>
  <si>
    <t>02/02/2022-13:53:19</t>
  </si>
  <si>
    <t>03/02/2022</t>
  </si>
  <si>
    <t>ESMA İÇÖZ TARAFINDAN HESABA AKTARILAN *ESMA İÇÖZ *3020X2002333</t>
  </si>
  <si>
    <t>15800126861620220202135319632</t>
  </si>
  <si>
    <t>02/02/2022-02:14:44</t>
  </si>
  <si>
    <t>ESMA İÇÖZ TARAFINDAN HESABA AKTARILAN *ESMA İÇÖZ *3020X2002304</t>
  </si>
  <si>
    <t>15800126861620220202021444153</t>
  </si>
  <si>
    <t>30/01/2022-02:54:20</t>
  </si>
  <si>
    <t>01/02/2022</t>
  </si>
  <si>
    <t>MEHMET UMUT DOĞAN TARAFINDAN HESABA AKTARILAN *MEHMET UMUT DOĞAN *3600X2010091</t>
  </si>
  <si>
    <t>15800126861620220130025420224</t>
  </si>
  <si>
    <t>30/01/2022-01:37:44</t>
  </si>
  <si>
    <t>31/01/2022</t>
  </si>
  <si>
    <t>ENNUR KARABULUT*0010*bok ye*34006216*FAST</t>
  </si>
  <si>
    <t>15800126861620220130013744152</t>
  </si>
  <si>
    <t>27/01/2022-09:06:52</t>
  </si>
  <si>
    <t>28/01/2022</t>
  </si>
  <si>
    <t>HPPYNWYR *HACI MURAT BALCI *5800X2005160</t>
  </si>
  <si>
    <t>15800126861620220127090652341</t>
  </si>
  <si>
    <t>20/01/2022-21:41:40</t>
  </si>
  <si>
    <t>20/01/2022</t>
  </si>
  <si>
    <t>PERVİN ÖZLEM BALCI*0010*oğlum*32919124*FAST</t>
  </si>
  <si>
    <t>15800126861620220120214140367</t>
  </si>
  <si>
    <t>20/01/2022-21:40:49</t>
  </si>
  <si>
    <t>PERVİN ÖZLEM BALCI*0010*PERVİN ÖZLEM BALCI canım oğlum*32919113*FAST</t>
  </si>
  <si>
    <t>15800126861620220120214049212</t>
  </si>
  <si>
    <t>17/01/2022-11:00:17</t>
  </si>
  <si>
    <t>18/01/2022</t>
  </si>
  <si>
    <t>PERVİN ÖZLEM BALCI TARAFINDAN HESABA AKTARILAN *PERVİN ÖZLEM BALCI *5800X2003158</t>
  </si>
  <si>
    <t>15800126861620220117110017835</t>
  </si>
  <si>
    <t>08/01/2022-18:08:57</t>
  </si>
  <si>
    <t>11/01/2022</t>
  </si>
  <si>
    <t>PERVİN ÖZLEM BALCI TARAFINDAN HESABA AKTARILAN *PERVİN ÖZLEM BALCI *5800X2001609</t>
  </si>
  <si>
    <t>15800126861620220108180857793</t>
  </si>
  <si>
    <t>03/01/2022-12:42:19</t>
  </si>
  <si>
    <t>04/01/2022</t>
  </si>
  <si>
    <t>PERVİN ÖZLEM BALCI TARAFINDAN HESABA AKTARILAN *PERVİN ÖZLEM BALCI *5800X2000446</t>
  </si>
  <si>
    <t>15800126861620220103124219118</t>
  </si>
  <si>
    <t>28/12/2021-14:18:45</t>
  </si>
  <si>
    <t>28/12/2021</t>
  </si>
  <si>
    <t>2021 yılı iş yeri kirası*MESUT DELİDUMAN*H2112350438195</t>
  </si>
  <si>
    <t>15800126861620211228141845576</t>
  </si>
  <si>
    <t>28/12/2021-11:07:47</t>
  </si>
  <si>
    <t>2021 YILI İŞYERİ KİRA BEDELİ*EMRE AKTAŞ*H2112350174796</t>
  </si>
  <si>
    <t>15800126861620211228110747587</t>
  </si>
  <si>
    <t>27/12/2021-08:46:04</t>
  </si>
  <si>
    <t>HACI MURAT BALCI TARAFINDAN HESABA AKTARILAN *HACI MURAT BALCI *5800X1071126</t>
  </si>
  <si>
    <t>15800126861620211227084604935</t>
  </si>
  <si>
    <t>25/12/2021-18:11:28</t>
  </si>
  <si>
    <t>PERVİN ÖZLEM BALCI TARAFINDAN HESABA AKTARILAN *PERVİN ÖZLEM BALCI *5800X1070969</t>
  </si>
  <si>
    <t>15800126861620211225181128478</t>
  </si>
  <si>
    <t>19/12/2021-16:26:45</t>
  </si>
  <si>
    <t>21/12/2021</t>
  </si>
  <si>
    <t>HACI MURAT BALCI TARAFINDAN HESABA AKTARILAN *HACI MURAT BALCI *5800X1069669</t>
  </si>
  <si>
    <t>15800126861620211219162645477</t>
  </si>
  <si>
    <t>15/12/2021-13:26:04</t>
  </si>
  <si>
    <t>16/12/2021</t>
  </si>
  <si>
    <t>PERVİN ÖZLEM BALCI TARAFINDAN HESABA AKTARILAN *PERVİN ÖZLEM BALCI *5800X1068618</t>
  </si>
  <si>
    <t>15800126861620211215132604482</t>
  </si>
  <si>
    <t>10/12/2021-09:47:12</t>
  </si>
  <si>
    <t>13/12/2021</t>
  </si>
  <si>
    <t>PERVİN ÖZLEM BALCI TARAFINDAN HESABA AKTARILAN *PERVİN ÖZLEM BALCI *5800X1067437</t>
  </si>
  <si>
    <t>15800126861620211210094712549</t>
  </si>
  <si>
    <t>08/12/2021-16:21:10</t>
  </si>
  <si>
    <t>08/12/2021</t>
  </si>
  <si>
    <t>PERVİN ÖZLEM BALCI*0010*INTERNET EFT PERVİN ÖZLEM BALCI ANNEDEN OĞULA*0403059</t>
  </si>
  <si>
    <t>15800126861620211208162110526</t>
  </si>
  <si>
    <t>07/12/2021-20:30:09</t>
  </si>
  <si>
    <t>MEHMET UMUT DOĞAN . *MEHMET UMUT DOĞAN *3600X1114126</t>
  </si>
  <si>
    <t>15800126861620211207203009702</t>
  </si>
  <si>
    <t>06/12/2021-20:36:52</t>
  </si>
  <si>
    <t>07/12/2021</t>
  </si>
  <si>
    <t>PERVİN ÖZLEM BALCI TARAFINDAN HESABA AKTARILAN *PERVİN ÖZLEM BALCI *5800X1066739</t>
  </si>
  <si>
    <t>15800126861620211206203652168</t>
  </si>
  <si>
    <t>03/12/2021-21:29:14</t>
  </si>
  <si>
    <t>03/12/2021</t>
  </si>
  <si>
    <t>PERVİN ÖZLEM BALCI*0010*oğlum*26465568*FAST</t>
  </si>
  <si>
    <t>15800126861620211203212914270</t>
  </si>
  <si>
    <t>03/12/2021-21:28:25</t>
  </si>
  <si>
    <t>PERVİN ÖZLEM BALCI*0010*oğlum*26465559*FAST</t>
  </si>
  <si>
    <t>15800126861620211203212825582</t>
  </si>
  <si>
    <t>01/12/2021-14:55:41</t>
  </si>
  <si>
    <t>02/12/2021</t>
  </si>
  <si>
    <t>PERVİN ÖZLEM BALCI TARAFINDAN HESABA AKTARILAN *PERVİN ÖZLEM BALCI *5800X1065490</t>
  </si>
  <si>
    <t>15800126861620211201145541391</t>
  </si>
  <si>
    <t>29/11/2021-14:46:44</t>
  </si>
  <si>
    <t>29/11/2021</t>
  </si>
  <si>
    <t>2022 yılı işyeri kira bedeli*ALİ DEMİREL*H2111309864955</t>
  </si>
  <si>
    <t>15800126861620211129144644262</t>
  </si>
  <si>
    <t>22/11/2021-21:29:45</t>
  </si>
  <si>
    <t>23/11/2021</t>
  </si>
  <si>
    <t>WHEEEL *HACI MURAT BALCI *5800X1063700</t>
  </si>
  <si>
    <t>15800126861620211122212945051</t>
  </si>
  <si>
    <t>22/11/2021-13:57:01</t>
  </si>
  <si>
    <t>PERVİN ÖZLEM BALCI TARAFINDAN HESABA AKTARILAN *PERVİN ÖZLEM BALCI *5800X1063551</t>
  </si>
  <si>
    <t>15800126861620211122135701252</t>
  </si>
  <si>
    <t>18/11/2021-23:20:01</t>
  </si>
  <si>
    <t>19/11/2021</t>
  </si>
  <si>
    <t>PERVİN ÖZLEM BALCI TARAFINDAN HESABA AKTARILAN *PERVİN ÖZLEM BALCI *5800X1062852</t>
  </si>
  <si>
    <t>15800126861620211118232001339</t>
  </si>
  <si>
    <t>16/11/2021-19:22:57</t>
  </si>
  <si>
    <t>17/11/2021</t>
  </si>
  <si>
    <t>PERVİN ÖZLEM BALCI TARAFINDAN HESABA AKTARILAN *PERVİN ÖZLEM BALCI *5800X1062351</t>
  </si>
  <si>
    <t>15800126861620211116192257696</t>
  </si>
  <si>
    <t>15/11/2021-22:49:33</t>
  </si>
  <si>
    <t>16/11/2021</t>
  </si>
  <si>
    <t>PERVİN ÖZLEM BALCI TARAFINDAN HESABA AKTARILAN *PERVİN ÖZLEM BALCI *5800X1062120</t>
  </si>
  <si>
    <t>15800126861620211115224933482</t>
  </si>
  <si>
    <t>13/11/2021-18:10:09</t>
  </si>
  <si>
    <t>P.BALCI -N.ÖZİNANIR TARAFINDAN HESABA AKTARILAN *P.BALCI -N.ÖZİNANIR *6821X1107747</t>
  </si>
  <si>
    <t>15800126861620211113181009703</t>
  </si>
  <si>
    <t>09/11/2021-18:50:41</t>
  </si>
  <si>
    <t>10/11/2021</t>
  </si>
  <si>
    <t>P.BALCI -N.ÖZİNANIR TARAFINDAN HESABA AKTARILAN *P.BALCI -N.ÖZİNANIR *6821X1106309</t>
  </si>
  <si>
    <t>15800126861620211109185041345</t>
  </si>
  <si>
    <t>31/10/2021-19:33:31</t>
  </si>
  <si>
    <t>01/11/2021</t>
  </si>
  <si>
    <t>HOZAN BAŞKAN TARAFINDAN HESABA AKTARILAN *HOZAN BAŞKAN *8303X1107418</t>
  </si>
  <si>
    <t>15800126861620211031193331223</t>
  </si>
  <si>
    <t>28/10/2021-14:09:32</t>
  </si>
  <si>
    <t>BALCI PERVİN ÖZLEM TARAFINDAN HESABA AKTARILAN *BALCI PERVİN ÖZLEM *5800X1058075</t>
  </si>
  <si>
    <t>15800126861620211028140932548</t>
  </si>
  <si>
    <t>27/10/2021-12:09:52</t>
  </si>
  <si>
    <t>28/10/2021</t>
  </si>
  <si>
    <t>HACI MURAT BALCI TARAFINDAN HESABA AKTARILAN *HACI MURAT BALCI *5800X1057795</t>
  </si>
  <si>
    <t>15800126861620211027120952912</t>
  </si>
  <si>
    <t>23/10/2021-15:41:40</t>
  </si>
  <si>
    <t>26/10/2021</t>
  </si>
  <si>
    <t>BALCI PERVİN ÖZLEM TARAFINDAN HESABA AKTARILAN *BALCI PERVİN ÖZLEM *5800X1057086</t>
  </si>
  <si>
    <t>15800126861620211023154140077</t>
  </si>
  <si>
    <t>20/10/2021-13:55:32</t>
  </si>
  <si>
    <t>20/10/2021</t>
  </si>
  <si>
    <t>PERVİN ÖZLEM BALCI*0010*INTERNET EFT PERVİN ÖZLEM BALCI ANNEDEN OĞULA*0377312</t>
  </si>
  <si>
    <t>15800126861620211020135532908</t>
  </si>
  <si>
    <t>19/10/2021-08:45:08</t>
  </si>
  <si>
    <t>19/10/2021</t>
  </si>
  <si>
    <t>PERVİN ÖZLEM BALCI*0010*INTERNET EFT PERVİN ÖZLEM BALCI ANNEDEN OĞULA*0157273</t>
  </si>
  <si>
    <t>15800126861620211019084508889</t>
  </si>
  <si>
    <t>17/10/2021-23:43:41</t>
  </si>
  <si>
    <t>GÖKBERK MEŞELİ TEŞEKKÜRLER *GÖKBERK MEŞELİ *1420X1343250</t>
  </si>
  <si>
    <t>15800126861620211017234341749</t>
  </si>
  <si>
    <t>15/10/2021-12:21:51</t>
  </si>
  <si>
    <t>18/10/2021</t>
  </si>
  <si>
    <t>BALCI PERVİN ÖZLEM TARAFINDAN HESABA AKTARILAN *BALCI PERVİN ÖZLEM *5800X1055224</t>
  </si>
  <si>
    <t>15800126861620211015122151222</t>
  </si>
  <si>
    <t>12/10/2021-15:57:22</t>
  </si>
  <si>
    <t>12/10/2021</t>
  </si>
  <si>
    <t>PERVİN ÖZLEM BALCI*0010*INTERNET EFT PERVİN ÖZLEM BALCI ANNEDEN OĞULA*0639239</t>
  </si>
  <si>
    <t>15800126861620211012155722100</t>
  </si>
  <si>
    <t>08/10/2021-14:23:29</t>
  </si>
  <si>
    <t>11/10/2021</t>
  </si>
  <si>
    <t>BALCI PERVİN ÖZLEM TARAFINDAN HESABA AKTARILAN *BALCI PERVİN ÖZLEM *5800X1053717</t>
  </si>
  <si>
    <t>15800126861620211008142329533</t>
  </si>
  <si>
    <t>07/10/2021-18:25:08</t>
  </si>
  <si>
    <t>07/10/2021</t>
  </si>
  <si>
    <t>MUSTAFA DİNÇEL*0062**85100009*FAST</t>
  </si>
  <si>
    <t>15800126861620211007182508354</t>
  </si>
  <si>
    <t>05/10/2021-19:40:16</t>
  </si>
  <si>
    <t>06/10/2021</t>
  </si>
  <si>
    <t>BALCI PERVİN ÖZLEM TARAFINDAN HESABA AKTARILAN *BALCI PERVİN ÖZLEM *5800X1053161</t>
  </si>
  <si>
    <t>15800126861620211005194016080</t>
  </si>
  <si>
    <t>01/10/2021-09:53:57</t>
  </si>
  <si>
    <t>04/10/2021</t>
  </si>
  <si>
    <t>Q *HACI MURAT BALCI *5800X1052139</t>
  </si>
  <si>
    <t>15800126861620211001095357815</t>
  </si>
  <si>
    <t>30/09/2021-17:29:56</t>
  </si>
  <si>
    <t>01/10/2021</t>
  </si>
  <si>
    <t>BALCI PERVİN ÖZLEM TARAFINDAN HESABA AKTARILAN *BALCI PERVİN ÖZLEM *5800X1052029</t>
  </si>
  <si>
    <t>15800126861620210930172956789</t>
  </si>
  <si>
    <t>25/09/2021-14:58:14</t>
  </si>
  <si>
    <t>28/09/2021</t>
  </si>
  <si>
    <t>AŞKTAN *BALCI PERVİN ÖZLEM *5800X1051010</t>
  </si>
  <si>
    <t>15800126861620210925145814104</t>
  </si>
  <si>
    <t>13/09/2021-16:56:34</t>
  </si>
  <si>
    <t>13/09/2021</t>
  </si>
  <si>
    <t>AHMET EMRE DÜRER*0012*899 - 01016221 DAN TR310006400000158001268616 A EFT*7516287</t>
  </si>
  <si>
    <t>15800126861620210913165634719</t>
  </si>
  <si>
    <t>09/09/2021-20:39:50</t>
  </si>
  <si>
    <t>10/09/2021</t>
  </si>
  <si>
    <t>GİZEM NURAL TARAFINDAN HESABA AKTARILAN *GİZEM NURAL *6821X1083684</t>
  </si>
  <si>
    <t>15800126861620210909203950447</t>
  </si>
  <si>
    <t>03/09/2021-16:44:42</t>
  </si>
  <si>
    <t>06/09/2021</t>
  </si>
  <si>
    <t>TEKERLEK *BALCI PERVİN ÖZLEM *5800X1046442</t>
  </si>
  <si>
    <t>15800126861620210903164442659</t>
  </si>
  <si>
    <t>27/08/2021-10:18:16</t>
  </si>
  <si>
    <t>31/08/2021</t>
  </si>
  <si>
    <t>%10 *HACI MURAT BALCI *5800X1044782</t>
  </si>
  <si>
    <t>15800126861620210827101816989</t>
  </si>
  <si>
    <t>23/08/2021-12:50:14</t>
  </si>
  <si>
    <t>24/08/2021</t>
  </si>
  <si>
    <t>15800126861620210823125014236</t>
  </si>
  <si>
    <t>23/08/2021-12:49:06</t>
  </si>
  <si>
    <t>15800126861620210823124906422</t>
  </si>
  <si>
    <t>21/08/2021-12:40:33</t>
  </si>
  <si>
    <t>23/08/2021</t>
  </si>
  <si>
    <t>PERVİN ÖZLEM BALCI*0010*oğlum*14641602*FAST</t>
  </si>
  <si>
    <t>15800126861620210821124033611</t>
  </si>
  <si>
    <t>21/08/2021-12:31:49</t>
  </si>
  <si>
    <t>P.BALCI -N.ÖZİNANIR TARAFINDAN HESABA AKTARILAN *P.BALCI -N.ÖZİNANIR *6821X1076618</t>
  </si>
  <si>
    <t>15800126861620210821123149555</t>
  </si>
  <si>
    <t>14/08/2021-23:15:07</t>
  </si>
  <si>
    <t>17/08/2021</t>
  </si>
  <si>
    <t>MEHMET FIRKAN KOÇLARDAN TARAFINDAN HESABA AKTARILAN *MEHMET FIRKAN KOÇLARDAN *6821X1074520</t>
  </si>
  <si>
    <t>15800126861620210814231507080</t>
  </si>
  <si>
    <t>06/08/2021-21:16:59</t>
  </si>
  <si>
    <t>06/08/2021</t>
  </si>
  <si>
    <t>CANBERK GÜCÜ*0012*asd*23530892*FAST</t>
  </si>
  <si>
    <t>15800126861620210806211659654</t>
  </si>
  <si>
    <t>06/08/2021-14:18:21</t>
  </si>
  <si>
    <t>METİN GÜZELOĞLU*0046**4910124*FAST</t>
  </si>
  <si>
    <t>15800126861620210806141821066</t>
  </si>
  <si>
    <t>02/08/2021-13:13:51</t>
  </si>
  <si>
    <t>03/08/2021</t>
  </si>
  <si>
    <t>P.BALCI -N.ÖZİNANIR TARAFINDAN HESABA AKTARILAN *P.BALCI -N.ÖZİNANIR *6821X1069811</t>
  </si>
  <si>
    <t>15800126861620210802131351231</t>
  </si>
  <si>
    <t>29/07/2021-22:30:09</t>
  </si>
  <si>
    <t>29/07/2021</t>
  </si>
  <si>
    <t>PAZARAMA ISTANBUL 7347</t>
  </si>
  <si>
    <t>15800126861620210729223009882</t>
  </si>
  <si>
    <t>29/07/2021-22:12:02</t>
  </si>
  <si>
    <t>15800126861620210729221202314</t>
  </si>
  <si>
    <t>28/07/2021-15:05:36</t>
  </si>
  <si>
    <t>15800126861620210728150536218</t>
  </si>
  <si>
    <t>27/07/2021-14:22:21</t>
  </si>
  <si>
    <t>28/07/2021</t>
  </si>
  <si>
    <t>HACI MURAT BALCI TARAFINDAN HESABA AKTARILAN *HACI MURAT BALCI *5800X1038562</t>
  </si>
  <si>
    <t>15800126861620210727142221497</t>
  </si>
  <si>
    <t>19/07/2021-08:51:46</t>
  </si>
  <si>
    <t>19/07/2021</t>
  </si>
  <si>
    <t>AHMET EMRE DÜRER*0012*DIZCI FARUK*4326629</t>
  </si>
  <si>
    <t>15800126861620210719085146711</t>
  </si>
  <si>
    <t>18/07/2021-14:23:16</t>
  </si>
  <si>
    <t>AHMET EMRE DÜRER*0012*899-01016221 dan TR310006400000158001268616 a transfer*20844231*FAST</t>
  </si>
  <si>
    <t>15800126861620210718142316096</t>
  </si>
  <si>
    <t>18/07/2021-14:22:31</t>
  </si>
  <si>
    <t>AHMET EMRE DÜRER*0012*899-01016221 dan TR310006400000158001268616 a transfer*20844172*FAST</t>
  </si>
  <si>
    <t>15800126861620210718142231505</t>
  </si>
  <si>
    <t>18/07/2021-14:21:49</t>
  </si>
  <si>
    <t>AHMET EMRE DÜRER*0012*899-01016221 dan TR310006400000158001268616 a transfer*20844007*FAST</t>
  </si>
  <si>
    <t>15800126861620210718142149881</t>
  </si>
  <si>
    <t>14/07/2021-18:53:19</t>
  </si>
  <si>
    <t>16/07/2021</t>
  </si>
  <si>
    <t>BALCI PERVİN ÖZLEM TARAFINDAN HESABA AKTARILAN *BALCI PERVİN ÖZLEM *5800X1036291</t>
  </si>
  <si>
    <t>15800126861620210714185319605</t>
  </si>
  <si>
    <t>09/07/2021-22:47:02</t>
  </si>
  <si>
    <t>12/07/2021</t>
  </si>
  <si>
    <t>ÖMER BERAT ÖZÇELİK BUZ YOKSA CEREZ 1 İPTAL *ÖMER BERAT ÖZÇELİK *4273X1048719</t>
  </si>
  <si>
    <t>15800126861620210709224702756</t>
  </si>
  <si>
    <t>09/07/2021-20:02:01</t>
  </si>
  <si>
    <t>FAHRİ ABO TARAFINDAN HESABA AKTARILAN *FAHRİ ABO *6611X1043190</t>
  </si>
  <si>
    <t>15800126861620210709200201133</t>
  </si>
  <si>
    <t>07/07/2021-20:33:09</t>
  </si>
  <si>
    <t>08/07/2021</t>
  </si>
  <si>
    <t>ÖMER BERAT ÖZÇELİK TARAFINDAN HESABA AKTARILAN *ÖMER BERAT ÖZÇELİK *4273X1048057</t>
  </si>
  <si>
    <t>15800126861620210707203309669</t>
  </si>
  <si>
    <t>30/06/2021-19:54:18</t>
  </si>
  <si>
    <t>01/07/2021</t>
  </si>
  <si>
    <t>FAHRİ ABO BORC *FAHRİ ABO *6611X1040651</t>
  </si>
  <si>
    <t>15800126861620210630195418832</t>
  </si>
  <si>
    <t>28/06/2021-08:40:55</t>
  </si>
  <si>
    <t>28/06/2021</t>
  </si>
  <si>
    <t>AHMET EMRE DÜRER*0012*899 - 01016221 DAN TR310006400000158001268616 A EFT*3370333</t>
  </si>
  <si>
    <t>15800126861620210628084055569</t>
  </si>
  <si>
    <t>27/06/2021-13:21:38</t>
  </si>
  <si>
    <t>29/06/2021</t>
  </si>
  <si>
    <t>;)WHHEL PAİNT TOBECONTİUNED *HACI MURAT BALCI *5800X1032832</t>
  </si>
  <si>
    <t>15800126861620210627132138766</t>
  </si>
  <si>
    <t>26/06/2021-21:46:01</t>
  </si>
  <si>
    <t>BALCI PERVİN ÖZLEM TARAFINDAN HESABA AKTARILAN *BALCI PERVİN ÖZLEM *5800X1032785</t>
  </si>
  <si>
    <t>15800126861620210626214601103</t>
  </si>
  <si>
    <t>16/06/2021-20:42:20</t>
  </si>
  <si>
    <t>17/06/2021</t>
  </si>
  <si>
    <t>P.BALCI -N.ÖZİNANIR TARAFINDAN HESABA AKTARILAN *P.BALCI -N.ÖZİNANIR *6821X1054178</t>
  </si>
  <si>
    <t>15800126861620210616204220362</t>
  </si>
  <si>
    <t>16/06/2021-14:41:41</t>
  </si>
  <si>
    <t>16/06/2021</t>
  </si>
  <si>
    <t>AHMET EMRE DÜRER*0012*899 - 01016221 DAN TR310006400000158001268616 A EFT*5905042</t>
  </si>
  <si>
    <t>15800126861620210616144141627</t>
  </si>
  <si>
    <t>15/06/2021-15:42:13</t>
  </si>
  <si>
    <t>BALCI PERVİN ÖZLEM TARAFINDAN HESABA AKTARILAN *BALCI PERVİN ÖZLEM *5800X1030646</t>
  </si>
  <si>
    <t>15800126861620210615154213040</t>
  </si>
  <si>
    <t>11/06/2021-22:14:43</t>
  </si>
  <si>
    <t>11/06/2021</t>
  </si>
  <si>
    <t>CANBERK GÜCÜ*0012*899-01014452 dan TR310006400000158001268616 a transfer*15500480*FAST</t>
  </si>
  <si>
    <t>15800126861620210611221443779</t>
  </si>
  <si>
    <t>08/06/2021-19:52:42</t>
  </si>
  <si>
    <t>09/06/2021</t>
  </si>
  <si>
    <t>MURAT SAT TARAFINDAN HESABA AKTARILAN *MURAT SAT *6140X1039694</t>
  </si>
  <si>
    <t>15800126861620210608195242762</t>
  </si>
  <si>
    <t>31/05/2021-20:30:20</t>
  </si>
  <si>
    <t>01/06/2021</t>
  </si>
  <si>
    <t>TAYFUN BEYAZ TARAFINDAN HESABA AKTARILAN *TAYFUN BEYAZ *6625X1039398</t>
  </si>
  <si>
    <t>15800126861620210531203020320</t>
  </si>
  <si>
    <t>31/05/2021-19:45:27</t>
  </si>
  <si>
    <t>FRMLONELYDADTOGUXU *HACI MURAT BALCI *5800X1027871</t>
  </si>
  <si>
    <t>15800126861620210531194527614</t>
  </si>
  <si>
    <t>31/05/2021-14:39:47</t>
  </si>
  <si>
    <t>BALCI PERVİN ÖZLEM TARAFINDAN HESABA AKTARILAN *BALCI PERVİN ÖZLEM *5800X1027802</t>
  </si>
  <si>
    <t>15800126861620210531143947630</t>
  </si>
  <si>
    <t>30/05/2021-22:18:04</t>
  </si>
  <si>
    <t>31/05/2021</t>
  </si>
  <si>
    <t>MELTEM KUMAŞOĞLU*0062**23250000*FAST</t>
  </si>
  <si>
    <t>15800126861620210530221804811</t>
  </si>
  <si>
    <t>28/05/2021-20:27:43</t>
  </si>
  <si>
    <t>28/05/2021</t>
  </si>
  <si>
    <t>FIRAT YOLCU*0010**78696225*FAST</t>
  </si>
  <si>
    <t>15800126861620210528202743184</t>
  </si>
  <si>
    <t>28/05/2021-13:21:08</t>
  </si>
  <si>
    <t>MUSTAFA DİNÇEL*0062**28860000*FAST</t>
  </si>
  <si>
    <t>15800126861620210528132108679</t>
  </si>
  <si>
    <t>23/05/2021-13:05:21</t>
  </si>
  <si>
    <t>25/05/2021</t>
  </si>
  <si>
    <t>BALCI PERVİN ÖZLEM TARAFINDAN HESABA AKTARILAN *BALCI PERVİN ÖZLEM *5800X1026503</t>
  </si>
  <si>
    <t>15800126861620210523130521001</t>
  </si>
  <si>
    <t>13/05/2021-07:47:40</t>
  </si>
  <si>
    <t>18/05/2021</t>
  </si>
  <si>
    <t>İYİ BAYRAMLAR... *BALCI PERVİN ÖZLEM *5800X1024885</t>
  </si>
  <si>
    <t>15800126861620210513074740861</t>
  </si>
  <si>
    <t>13/05/2021-07:46:53</t>
  </si>
  <si>
    <t>... *HACI MURAT BALCI *5800X1024884</t>
  </si>
  <si>
    <t>15800126861620210513074653274</t>
  </si>
  <si>
    <t>10/05/2021-12:29:33</t>
  </si>
  <si>
    <t>10/05/2021</t>
  </si>
  <si>
    <t>PERVİN ÖZLEM BALCI*0010*INTERNET EFT PERVİN ÖZLEM BALCI ANNEDEN OĞULA*0712076</t>
  </si>
  <si>
    <t>15800126861620210510122933798</t>
  </si>
  <si>
    <t>10/05/2021-12:25:03</t>
  </si>
  <si>
    <t>11/05/2021</t>
  </si>
  <si>
    <t>BALCI PERVİN ÖZLEM TARAFINDAN HESABA AKTARILAN *BALCI PERVİN ÖZLEM *5800X1024178</t>
  </si>
  <si>
    <t>15800126861620210510122503369</t>
  </si>
  <si>
    <t>05/05/2021-14:38:13</t>
  </si>
  <si>
    <t>06/05/2021</t>
  </si>
  <si>
    <t>YAKUP ENES KARAGÖZ TARAFINDAN HESABA AKTARILAN *YAKUP ENES KARAGÖZ *1456X1023472</t>
  </si>
  <si>
    <t>15800126861620210505143813566</t>
  </si>
  <si>
    <t>19/04/2021-17:22:24</t>
  </si>
  <si>
    <t>20/04/2021</t>
  </si>
  <si>
    <t>YAKUP ENES KARAGÖZ TARAFINDAN HESABA AKTARILAN *YAKUP ENES KARAGÖZ *1456X1020361</t>
  </si>
  <si>
    <t>15800126861620210419172224556</t>
  </si>
  <si>
    <t>19/04/2021-16:37:55</t>
  </si>
  <si>
    <t>BR</t>
  </si>
  <si>
    <t>Para Yatırma</t>
  </si>
  <si>
    <t>ALI DEMİREL KİRA ÖDE BALCI ALİ UMUT</t>
  </si>
  <si>
    <t>15800126861620210419163755148</t>
  </si>
  <si>
    <t>15/04/2021-10:57:24</t>
  </si>
  <si>
    <t>16/04/2021</t>
  </si>
  <si>
    <t>BALCI PERVİN ÖZLEM TARAFINDAN HESABA AKTARILAN *BALCI PERVİN ÖZLEM *5800X1019391</t>
  </si>
  <si>
    <t>15800126861620210415105724936</t>
  </si>
  <si>
    <t>10/04/2021-14:27:45</t>
  </si>
  <si>
    <t>13/04/2021</t>
  </si>
  <si>
    <t>P.BALCI -N.ÖZİNANIR TARAFINDAN HESABA AKTARILAN *P.BALCI -N.ÖZİNANIR *6821X1030812</t>
  </si>
  <si>
    <t>15800126861620210410142745612</t>
  </si>
  <si>
    <t>29/03/2021-10:17:12</t>
  </si>
  <si>
    <t>30/03/2021</t>
  </si>
  <si>
    <t>DADMİSSGUXUVUUU *HACI MURAT BALCI *5800X1015859</t>
  </si>
  <si>
    <t>15800126861620210329101712598</t>
  </si>
  <si>
    <t>17/03/2021-11:11:40</t>
  </si>
  <si>
    <t>18/03/2021</t>
  </si>
  <si>
    <t>BALCI PERVİN ÖZLEM TARAFINDAN HESABA AKTARILAN *BALCI PERVİN ÖZLEM *5800X1013877</t>
  </si>
  <si>
    <t>15800126861620210317111140772</t>
  </si>
  <si>
    <t>12/03/2021-13:11:02</t>
  </si>
  <si>
    <t>15/03/2021</t>
  </si>
  <si>
    <t>ABDURRAHİM ÇAVUŞOĞLU ALKOL *ABDURRAHİM ÇAVUŞOĞLU *6820X1022119</t>
  </si>
  <si>
    <t>15800126861620210312131102659</t>
  </si>
  <si>
    <t>08/03/2021-13:40:22</t>
  </si>
  <si>
    <t>09/03/2021</t>
  </si>
  <si>
    <t>GECİKMELİ ÖDEME *HACI MURAT BALCI *5800X1011990</t>
  </si>
  <si>
    <t>15800126861620210308134022214</t>
  </si>
  <si>
    <t>08/03/2021-13:13:04</t>
  </si>
  <si>
    <t>BALCI PERVİN ÖZLEM TARAFINDAN HESABA AKTARILAN *BALCI PERVİN ÖZLEM *5800X1011980</t>
  </si>
  <si>
    <t>15800126861620210308131304374</t>
  </si>
  <si>
    <t>14/02/2021-18:09:14</t>
  </si>
  <si>
    <t>16/02/2021</t>
  </si>
  <si>
    <t>P.BALCI -N.ÖZİNANIR TARAFINDAN HESABA AKTARILAN *P.BALCI -N.ÖZİNANIR *6821X1012695</t>
  </si>
  <si>
    <t>15800126861620210214180914263</t>
  </si>
  <si>
    <t>30/01/2021-12:00:48</t>
  </si>
  <si>
    <t>01/02/2021</t>
  </si>
  <si>
    <t>BABATOSON *HACI MURAT BALCI *5800X1004989</t>
  </si>
  <si>
    <t>15800126861620210130120048701</t>
  </si>
  <si>
    <t>29/01/2021-19:31:20</t>
  </si>
  <si>
    <t>P.BALCI -N.ÖZİNANIR TARAFINDAN HESABA AKTARILAN *P.BALCI -N.ÖZİNANIR *6821X1008106</t>
  </si>
  <si>
    <t>15800126861620210129193120690</t>
  </si>
  <si>
    <t>15/01/2021-11:12:24</t>
  </si>
  <si>
    <t>18/01/2021</t>
  </si>
  <si>
    <t>BALCI PERVİN ÖZLEM TARAFINDAN HESABA AKTARILAN *BALCI PERVİN ÖZLEM *5800X1002281</t>
  </si>
  <si>
    <t>15800126861620210115111224069</t>
  </si>
  <si>
    <t>15/01/2021-11:09:54</t>
  </si>
  <si>
    <t>BALCI PERVİN ÖZLEM TARAFINDAN HESABA AKTARILAN *BALCI PERVİN ÖZLEM *5800X1002280</t>
  </si>
  <si>
    <t>15800126861620210115110954929</t>
  </si>
  <si>
    <t>14/01/2021-20:36:11</t>
  </si>
  <si>
    <t>15/01/2021</t>
  </si>
  <si>
    <t>OSMAN ZİNNUREY AMASYALI İZİ *OSMAN ZİNNUREY AMASYALI *6701X1002360</t>
  </si>
  <si>
    <t>15800126861620210114203611813</t>
  </si>
  <si>
    <t>29/12/2020-12:30:18</t>
  </si>
  <si>
    <t>30/12/2020</t>
  </si>
  <si>
    <t>İnternet</t>
  </si>
  <si>
    <t>HACI MURAT BALCI - HESABA AKTARILAN *HACI MURAT BALCI *5800X0059165</t>
  </si>
  <si>
    <t>15800126861620201229123018629</t>
  </si>
  <si>
    <t>29/12/2020-10:06:00</t>
  </si>
  <si>
    <t>BALCI PERVİN ÖZLEM TARAFINDAN HESABA AKTARILAN *BALCI PERVİN ÖZLEM *5800X0059119</t>
  </si>
  <si>
    <t>15800126861620201229100600898</t>
  </si>
  <si>
    <t>22/12/2020-18:24:08</t>
  </si>
  <si>
    <t>23/12/2020</t>
  </si>
  <si>
    <t>BALCI PERVİN ÖZLEM TARAFINDAN HESABA AKTARILAN *BALCI PERVİN ÖZLEM *5800X0058105</t>
  </si>
  <si>
    <t>15800126861620201222182408822</t>
  </si>
  <si>
    <t>15/12/2020-23:50:28</t>
  </si>
  <si>
    <t>16/12/2020</t>
  </si>
  <si>
    <t>P.BALCI -N.ÖZİNANIR TARAFINDAN HESABA AKTARILAN *P.BALCI -N.ÖZİNANIR *6821X0109009</t>
  </si>
  <si>
    <t>15800126861620201215235028611</t>
  </si>
  <si>
    <t>03/12/2020-17:33:08</t>
  </si>
  <si>
    <t>04/12/2020</t>
  </si>
  <si>
    <t>BALCI PERVİN ÖZLEM TARAFINDAN HESABA AKTARILAN *BALCI PERVİN ÖZLEM *5800X0054741</t>
  </si>
  <si>
    <t>15800126861620201203173308041</t>
  </si>
  <si>
    <t>30/11/2020-22:16:10</t>
  </si>
  <si>
    <t>01/12/2020</t>
  </si>
  <si>
    <t>AMIRARSALAN GHAFFARI TARAFINDAN HESABA AKTARILAN *AMIRARSALAN GHAFFARI *6821X0104198</t>
  </si>
  <si>
    <t>15800126861620201130221610502</t>
  </si>
  <si>
    <t>27/11/2020-09:46:11</t>
  </si>
  <si>
    <t>30/11/2020</t>
  </si>
  <si>
    <t>FRMDDWTHLV *BALCI HACI MURAT *5800X0053494</t>
  </si>
  <si>
    <t>15800126861620201127094611387</t>
  </si>
  <si>
    <t>24/11/2020-14:59:52</t>
  </si>
  <si>
    <t>25/11/2020</t>
  </si>
  <si>
    <t>P.BALCI -N.ÖZİNANIR TARAFINDAN HESABA AKTARILAN *P.BALCI -N.ÖZİNANIR *6821X0102233</t>
  </si>
  <si>
    <t>15800126861620201124145952589</t>
  </si>
  <si>
    <t>24/11/2020-13:07:41</t>
  </si>
  <si>
    <t>OSMAN ZİNNUREY AMASYALI SEA *OSMAN ZİNNUREY AMASYALI *6701X0056870</t>
  </si>
  <si>
    <t>15800126861620201124130741987</t>
  </si>
  <si>
    <t>15/11/2020-15:13:00</t>
  </si>
  <si>
    <t>17/11/2020</t>
  </si>
  <si>
    <t>P.BALCI -N.ÖZİNANIR TARAFINDAN HESABA AKTARILAN *P.BALCI -N.ÖZİNANIR *6821X0099707</t>
  </si>
  <si>
    <t>15800126861620201115151300090</t>
  </si>
  <si>
    <t>11/11/2020-09:57:03</t>
  </si>
  <si>
    <t>12/11/2020</t>
  </si>
  <si>
    <t>P.BALCI -N.ÖZİNANIR TARAFINDAN HESABA AKTARILAN *P.BALCI -N.ÖZİNANIR *6821X0098418</t>
  </si>
  <si>
    <t>15800126861620201111095703698</t>
  </si>
  <si>
    <t>06/11/2020-16:07:00</t>
  </si>
  <si>
    <t>09/11/2020</t>
  </si>
  <si>
    <t>BALCI PERVİN ÖZLEM TARAFINDAN HESABA AKTARILAN *BALCI PERVİN ÖZLEM *5800X0049533</t>
  </si>
  <si>
    <t>15800126861620201106160700972</t>
  </si>
  <si>
    <t>05/11/2020-20:22:20</t>
  </si>
  <si>
    <t>06/11/2020</t>
  </si>
  <si>
    <t>AVNİ PALAMUT ZAM TEDBİRİ *AVNİ PALAMUT *5401X0039773</t>
  </si>
  <si>
    <t>15800126861620201105202220347</t>
  </si>
  <si>
    <t>29/10/2020-09:52:03</t>
  </si>
  <si>
    <t>02/11/2020</t>
  </si>
  <si>
    <t>BALCI PERVİN ÖZLEM TARAFINDAN HESABA AKTARILAN *BALCI PERVİN ÖZLEM *5800X0047710</t>
  </si>
  <si>
    <t>15800126861620201029095203947</t>
  </si>
  <si>
    <t>27/10/2020-18:48:27</t>
  </si>
  <si>
    <t>28/10/2020</t>
  </si>
  <si>
    <t>BALCI PERVİN ÖZLEM TARAFINDAN HESABA AKTARILAN *BALCI PERVİN ÖZLEM *5800X0047467</t>
  </si>
  <si>
    <t>15800126861620201027184827911</t>
  </si>
  <si>
    <t>27/10/2020-06:51:05</t>
  </si>
  <si>
    <t>FRM DD TO GUXUS *BALCI HACI MURAT *5800X0047323</t>
  </si>
  <si>
    <t>15800126861620201027065105981</t>
  </si>
  <si>
    <t>21/10/2020-14:24:46</t>
  </si>
  <si>
    <t>22/10/2020</t>
  </si>
  <si>
    <t>P.BALCI -N.ÖZİNANIR TARAFINDAN HESABA AKTARILAN *P.BALCI -N.ÖZİNANIR *6821X0091586</t>
  </si>
  <si>
    <t>15800126861620201021142446668</t>
  </si>
  <si>
    <t>14/10/2020-19:45:50</t>
  </si>
  <si>
    <t>15/10/2020</t>
  </si>
  <si>
    <t>P.BALCI -N.ÖZİNANIR TARAFINDAN HESABA AKTARILAN *P.BALCI -N.ÖZİNANIR *6821X0089529</t>
  </si>
  <si>
    <t>15800126861620201014194550033</t>
  </si>
  <si>
    <t>08/10/2020-12:04:49</t>
  </si>
  <si>
    <t>09/10/2020</t>
  </si>
  <si>
    <t>P.BALCI -N.ÖZİNANIR TARAFINDAN HESABA AKTARILAN *P.BALCI -N.ÖZİNANIR *6821X0087306</t>
  </si>
  <si>
    <t>15800126861620201008120449774</t>
  </si>
  <si>
    <t>27/09/2020-12:48:39</t>
  </si>
  <si>
    <t>29/09/2020</t>
  </si>
  <si>
    <t>BALCI HACI MURAT TARAFINDAN HESABA AKTARILAN *BALCI HACI MURAT *5800X0041551</t>
  </si>
  <si>
    <t>15800126861620200927124839481</t>
  </si>
  <si>
    <t>24/09/2020-13:54:38</t>
  </si>
  <si>
    <t>24/09/2020</t>
  </si>
  <si>
    <t>PERVİN ÖZLEM BALCI*0010*INTERNET EFT PERVİN ÖZLEM BALCI ANNEDEN OĞULA*0417290</t>
  </si>
  <si>
    <t>15800126861620200924135438708</t>
  </si>
  <si>
    <t>15/09/2020-10:08:18</t>
  </si>
  <si>
    <t>16/09/2020</t>
  </si>
  <si>
    <t>BALCI PERVİN ÖZLEM TARAFINDAN HESABA AKTARILAN *BALCI PERVİN ÖZLEM *5800X0039163</t>
  </si>
  <si>
    <t>15800126861620200915100818264</t>
  </si>
  <si>
    <t>14/09/2020-11:57:42</t>
  </si>
  <si>
    <t>14/09/2020</t>
  </si>
  <si>
    <t>PERVİN ÖZLEM BALCI*0010*INTERNET EFT PERVİN ÖZLEM BALCI ANNEDEN OĞULA*0329811</t>
  </si>
  <si>
    <t>15800126861620200914115742693</t>
  </si>
  <si>
    <t>13/09/2020-20:37:27</t>
  </si>
  <si>
    <t>15/09/2020</t>
  </si>
  <si>
    <t>BALCI PERVİN ÖZLEM TARAFINDAN HESABA AKTARILAN *BALCI PERVİN ÖZLEM *5800X0038852</t>
  </si>
  <si>
    <t>15800126861620200913203727442</t>
  </si>
  <si>
    <t>03/09/2020-19:35:18</t>
  </si>
  <si>
    <t>04/09/2020</t>
  </si>
  <si>
    <t>. *BALCI HACI MURAT *5800X0037252</t>
  </si>
  <si>
    <t>15800126861620200903193518321</t>
  </si>
  <si>
    <t>29/08/2020-23:20:21</t>
  </si>
  <si>
    <t>01/09/2020</t>
  </si>
  <si>
    <t>P.BALCI -N.ÖZİNANIR TARAFINDAN HESABA AKTARILAN *P.BALCI -N.ÖZİNANIR *6821X0069777</t>
  </si>
  <si>
    <t>15800126861620200829232021439</t>
  </si>
  <si>
    <t>25/08/2020-22:47:33</t>
  </si>
  <si>
    <t>26/08/2020</t>
  </si>
  <si>
    <t>BALCI PERVİN ÖZLEM TARAFINDAN HESABA AKTARILAN *BALCI PERVİN ÖZLEM *5800X0035663</t>
  </si>
  <si>
    <t>15800126861620200825224733599</t>
  </si>
  <si>
    <t>20/08/2020-10:18:00</t>
  </si>
  <si>
    <t>21/08/2020</t>
  </si>
  <si>
    <t>BALCI HACI MURAT TARAFINDAN HESABA AKTARILAN *BALCI HACI MURAT *5800X0034678</t>
  </si>
  <si>
    <t>15800126861620200820101800011</t>
  </si>
  <si>
    <t>18/08/2020-21:36:29</t>
  </si>
  <si>
    <t>19/08/2020</t>
  </si>
  <si>
    <t>BALCI PERVİN ÖZLEM TARAFINDAN HESABA AKTARILAN *BALCI PERVİN ÖZLEM *5800X0034444</t>
  </si>
  <si>
    <t>15800126861620200818213629481</t>
  </si>
  <si>
    <t>14/08/2020-03:18:00</t>
  </si>
  <si>
    <t>17/08/2020</t>
  </si>
  <si>
    <t>OSMAN ZİNNUREY AMASYALI SOYDAN PRODAN *OSMAN ZİNNUREY AMASYALI *6701X0035971</t>
  </si>
  <si>
    <t>15800126861620200814031800211</t>
  </si>
  <si>
    <t>13/08/2020-19:06:23</t>
  </si>
  <si>
    <t>14/08/2020</t>
  </si>
  <si>
    <t>KARIMI GHALEHJOUGH FOOAD TARAFINDAN HESABA AKTARILAN *KARIMI GHALEHJOUGH FOOAD *6821X0063050</t>
  </si>
  <si>
    <t>15800126861620200813190623618</t>
  </si>
  <si>
    <t>04/08/2020-17:38:27</t>
  </si>
  <si>
    <t>05/08/2020</t>
  </si>
  <si>
    <t>BALCI PERVİN ÖZLEM TARAFINDAN HESABA AKTARILAN *BALCI PERVİN ÖZLEM *5800X0032006</t>
  </si>
  <si>
    <t>15800126861620200804173827217</t>
  </si>
  <si>
    <t>28/07/2020-23:46:42</t>
  </si>
  <si>
    <t>29/07/2020</t>
  </si>
  <si>
    <t>BALCI HACI MURAT TARAFINDAN HESABA AKTARILAN *BALCI HACI MURAT *5800X0031066</t>
  </si>
  <si>
    <t>15800126861620200728234642259</t>
  </si>
  <si>
    <t>28/07/2020-18:03:35</t>
  </si>
  <si>
    <t>BALCI PERVİN ÖZLEM TARAFINDAN HESABA AKTARILAN *BALCI PERVİN ÖZLEM *5800X0031013</t>
  </si>
  <si>
    <t>15800126861620200728180335449</t>
  </si>
  <si>
    <t>24/07/2020-18:06:36</t>
  </si>
  <si>
    <t>27/07/2020</t>
  </si>
  <si>
    <t>BALCI PERVİN ÖZLEM TARAFINDAN HESABA AKTARILAN *BALCI PERVİN ÖZLEM *5800X0030409</t>
  </si>
  <si>
    <t>15800126861620200724180636242</t>
  </si>
  <si>
    <t>22/07/2020-14:25:40</t>
  </si>
  <si>
    <t>23/07/2020</t>
  </si>
  <si>
    <t>P.BALCI -N.ÖZİNANIR TARAFINDAN HESABA AKTARILAN *P.BALCI -N.ÖZİNANIR *6821X0053598</t>
  </si>
  <si>
    <t>15800126861620200722142540740</t>
  </si>
  <si>
    <t>21/07/2020-17:36:50</t>
  </si>
  <si>
    <t>22/07/2020</t>
  </si>
  <si>
    <t>P.BALCI -N.ÖZİNANIR TARAFINDAN HESABA AKTARILAN *P.BALCI -N.ÖZİNANIR *6821X0053243</t>
  </si>
  <si>
    <t>15800126861620200721173650264</t>
  </si>
  <si>
    <t>18/07/2020-19:28:51</t>
  </si>
  <si>
    <t>P.BALCI -N.ÖZİNANIR TARAFINDAN HESABA AKTARILAN *P.BALCI -N.ÖZİNANIR *6821X0052203</t>
  </si>
  <si>
    <t>15800126861620200718192851364</t>
  </si>
  <si>
    <t>13/07/2020-14:04:06</t>
  </si>
  <si>
    <t>14/07/2020</t>
  </si>
  <si>
    <t>P.BALCI -N.ÖZİNANIR TARAFINDAN HESABA AKTARILAN *P.BALCI -N.ÖZİNANIR *6821X0049998</t>
  </si>
  <si>
    <t>15800126861620200713140406526</t>
  </si>
  <si>
    <t>09/07/2020-15:23:49</t>
  </si>
  <si>
    <t>10/07/2020</t>
  </si>
  <si>
    <t>P.BALCI -N.ÖZİNANIR TARAFINDAN HESABA AKTARILAN *P.BALCI -N.ÖZİNANIR *6821X0048617</t>
  </si>
  <si>
    <t>15800126861620200709152349862</t>
  </si>
  <si>
    <t>23/06/2020-08:36:08</t>
  </si>
  <si>
    <t>23/06/2020</t>
  </si>
  <si>
    <t>MUSTAFA KAYMAK*0012*HARÇLIK*4414953</t>
  </si>
  <si>
    <t>15800126861620200623083608945</t>
  </si>
  <si>
    <t>19/06/2020-15:05:08</t>
  </si>
  <si>
    <t>22/06/2020</t>
  </si>
  <si>
    <t>P.BALCI -N.ÖZİNANIR TARAFINDAN HESABA AKTARILAN *P.BALCI -N.ÖZİNANIR *6821X0040657</t>
  </si>
  <si>
    <t>15800126861620200619150508831</t>
  </si>
  <si>
    <t>15/06/2020-20:13:58</t>
  </si>
  <si>
    <t>16/06/2020</t>
  </si>
  <si>
    <t>P.BALCI -N.ÖZİNANIR TARAFINDAN HESABA AKTARILAN *P.BALCI -N.ÖZİNANIR *6821X0039295</t>
  </si>
  <si>
    <t>15800126861620200615201358339</t>
  </si>
  <si>
    <t>09/06/2020-18:49:48</t>
  </si>
  <si>
    <t>10/06/2020</t>
  </si>
  <si>
    <t>P.BALCI -N.ÖZİNANIR TARAFINDAN HESABA AKTARILAN *P.BALCI -N.ÖZİNANIR *6821X0037222</t>
  </si>
  <si>
    <t>15800126861620200609184948691</t>
  </si>
  <si>
    <t>22/05/2020-09:07:32</t>
  </si>
  <si>
    <t>22/05/2020</t>
  </si>
  <si>
    <t>MUSTAFA KAYMAK*0012*HARÇLIK*8193164</t>
  </si>
  <si>
    <t>15800126861620200522090732709</t>
  </si>
  <si>
    <t>20/05/2020-10:57:47</t>
  </si>
  <si>
    <t>21/05/2020</t>
  </si>
  <si>
    <t>BALCI PERVİN ÖZLEM TARAFINDAN HESABA AKTARILAN *BALCI PERVİN ÖZLEM *5800X0019972</t>
  </si>
  <si>
    <t>15800126861620200520105747303</t>
  </si>
  <si>
    <t>16/05/2020-23:12:02</t>
  </si>
  <si>
    <t>20/05/2020</t>
  </si>
  <si>
    <t>P.BALCI -N.ÖZİNANIR TARAFINDAN HESABA AKTARILAN *P.BALCI -N.ÖZİNANIR *6821X0029757</t>
  </si>
  <si>
    <t>15800126861620200516231202975</t>
  </si>
  <si>
    <t>11/05/2020-22:36:34</t>
  </si>
  <si>
    <t>12/05/2020</t>
  </si>
  <si>
    <t>P.BALCI -N.ÖZİNANIR TARAFINDAN HESABA AKTARILAN *P.BALCI -N.ÖZİNANIR *6821X0028332</t>
  </si>
  <si>
    <t>15800126861620200511223634840</t>
  </si>
  <si>
    <t>27/04/2020-11:57:45</t>
  </si>
  <si>
    <t>27/04/2020</t>
  </si>
  <si>
    <t>MUSTAFA KAYMAK*0012*HARÇLIK*8264709</t>
  </si>
  <si>
    <t>15800126861620200427115745306</t>
  </si>
  <si>
    <t>15/04/2020-13:13:58</t>
  </si>
  <si>
    <t>16/04/2020</t>
  </si>
  <si>
    <t>BALCI PERVİN ÖZLEM TARAFINDAN HESABA AKTARILAN *BALCI PERVİN ÖZLEM *5800X0014712</t>
  </si>
  <si>
    <t>15800126861620200415131358915</t>
  </si>
  <si>
    <t>09/04/2020-11:46:30</t>
  </si>
  <si>
    <t>09/04/2020</t>
  </si>
  <si>
    <t>PERVİN ÖZLEM BALCI*0010*INTERNET EFT PERVİN ÖZLEM BALCI ANNEDEN OĞULA*0139883</t>
  </si>
  <si>
    <t>15800126861620200409114630719</t>
  </si>
  <si>
    <t>25/03/2020-10:46:37</t>
  </si>
  <si>
    <t>25/03/2020</t>
  </si>
  <si>
    <t>MUSTAFA KAYMAK*0012*HARÇLIK*7965170</t>
  </si>
  <si>
    <t>15800126861620200325104637413</t>
  </si>
  <si>
    <t>16/03/2020-20:54:17</t>
  </si>
  <si>
    <t>17/03/2020</t>
  </si>
  <si>
    <t>P.BALCI -N.ÖZİNANIR TARAFINDAN HESABA AKTARILAN *P.BALCI -N.ÖZİNANIR *6821X0015741</t>
  </si>
  <si>
    <t>15800126861620200316205417637</t>
  </si>
  <si>
    <t>11/03/2020-13:51:03</t>
  </si>
  <si>
    <t>12/03/2020</t>
  </si>
  <si>
    <t>BALCI PERVİN ÖZLEM TARAFINDAN HESABA AKTARILAN *BALCI PERVİN ÖZLEM *5800X0010164</t>
  </si>
  <si>
    <t>15800126861620200311135103932</t>
  </si>
  <si>
    <t>10/03/2020-17:29:00</t>
  </si>
  <si>
    <t>11/03/2020</t>
  </si>
  <si>
    <t>BALCI PERVİN ÖZLEM TARAFINDAN HESABA AKTARILAN *BALCI PERVİN ÖZLEM *5800X0010067</t>
  </si>
  <si>
    <t>15800126861620200310172900559</t>
  </si>
  <si>
    <t>09/03/2020-14:16:49</t>
  </si>
  <si>
    <t>10/03/2020</t>
  </si>
  <si>
    <t>BALCI PERVİN ÖZLEM TARAFINDAN HESABA AKTARILAN *BALCI PERVİN ÖZLEM *5800X0009862</t>
  </si>
  <si>
    <t>15800126861620200309141649598</t>
  </si>
  <si>
    <t>07/03/2020-17:51:41</t>
  </si>
  <si>
    <t>P.BALCI -N.ÖZİNANIR TARAFINDAN HESABA AKTARILAN *P.BALCI -N.ÖZİNANIR *6821X0013913</t>
  </si>
  <si>
    <t>15800126861620200307175141266</t>
  </si>
  <si>
    <t>06/03/2020-17:51:32</t>
  </si>
  <si>
    <t>09/03/2020</t>
  </si>
  <si>
    <t>P.BALCI -N.ÖZİNANIR TARAFINDAN HESABA AKTARILAN *P.BALCI -N.ÖZİNANIR *6821X0013693</t>
  </si>
  <si>
    <t>15800126861620200306175132877</t>
  </si>
  <si>
    <t>25/02/2020-08:34:13</t>
  </si>
  <si>
    <t>25/02/2020</t>
  </si>
  <si>
    <t>MUSTAFA KAYMAK*0012*HARÇLIK*3330155</t>
  </si>
  <si>
    <t>15800126861620200225083413794</t>
  </si>
  <si>
    <t>23/02/2020-18:21:52</t>
  </si>
  <si>
    <t>BALCI PERVİN ÖZLEM TARAFINDAN HESABA AKTARILAN *BALCI PERVİN ÖZLEM *5800X0007644</t>
  </si>
  <si>
    <t>15800126861620200223182152863</t>
  </si>
  <si>
    <t>23/02/2020-11:28:16</t>
  </si>
  <si>
    <t>;) *BALCI HACI MURAT *5800X0007608</t>
  </si>
  <si>
    <t>15800126861620200223112816570</t>
  </si>
  <si>
    <t>21/02/2020-17:17:05</t>
  </si>
  <si>
    <t>24/02/2020</t>
  </si>
  <si>
    <t>P.BALCI -N.ÖZİNANIR TARAFINDAN HESABA AKTARILAN *P.BALCI -N.ÖZİNANIR *6821X0010563</t>
  </si>
  <si>
    <t>15800126861620200221171705112</t>
  </si>
  <si>
    <t>19/02/2020-14:03:49</t>
  </si>
  <si>
    <t>20/02/2020</t>
  </si>
  <si>
    <t>P.BALCI -N.ÖZİNANIR TARAFINDAN HESABA AKTARILAN *P.BALCI -N.ÖZİNANIR *6821X0010039</t>
  </si>
  <si>
    <t>15800126861620200219140349887</t>
  </si>
  <si>
    <t>16/02/2020-22:58:18</t>
  </si>
  <si>
    <t>18/02/2020</t>
  </si>
  <si>
    <t>P.BALCI -N.ÖZİNANIR TARAFINDAN HESABA AKTARILAN *P.BALCI -N.ÖZİNANIR *6821X0009463</t>
  </si>
  <si>
    <t>15800126861620200216225818220</t>
  </si>
  <si>
    <t>11/02/2020-11:44:29</t>
  </si>
  <si>
    <t>11/02/2020</t>
  </si>
  <si>
    <t>PERVİN ÖZLEM BALCI*0010*INTERNET EFT PERVİN ÖZLEM BALCI ANNEDEN OĞULA*0119725</t>
  </si>
  <si>
    <t>15800126861620200211114429168</t>
  </si>
  <si>
    <t>08/02/2020-20:10:16</t>
  </si>
  <si>
    <t>P.BALCI -N.ÖZİNANIR TARAFINDAN HESABA AKTARILAN *P.BALCI -N.ÖZİNANIR *6821X0007941</t>
  </si>
  <si>
    <t>15800126861620200208201016156</t>
  </si>
  <si>
    <t>05/02/2020-20:38:20</t>
  </si>
  <si>
    <t>06/02/2020</t>
  </si>
  <si>
    <t>BALCI PERVİN ÖZLEM TARAFINDAN HESABA AKTARILAN *BALCI PERVİN ÖZLEM *5800X0005169</t>
  </si>
  <si>
    <t>15800126861620200205203820667</t>
  </si>
  <si>
    <t>05/02/2020-16:41:40</t>
  </si>
  <si>
    <t>05/02/2020</t>
  </si>
  <si>
    <t>BAYBARS ÜREGEN*0010*INTERNET EFT BAYBARS ÜREGEN*0309062</t>
  </si>
  <si>
    <t>15800126861620200205164140706</t>
  </si>
  <si>
    <t>05/02/2020-08:36:04</t>
  </si>
  <si>
    <t>ALİ ÜREGEN*0012*668 - 01013216 DAN TR310006400000158001268616 A EFT*0004591</t>
  </si>
  <si>
    <t>15800126861620200205083604747</t>
  </si>
  <si>
    <t>03/02/2020-09:26:35</t>
  </si>
  <si>
    <t>03/02/2020</t>
  </si>
  <si>
    <t>PERVİN ÖZLEM BALCI*0010*INTERNET EFT PERVİN ÖZLEM BALCI ANNEDEN OĞULA*0110247</t>
  </si>
  <si>
    <t>15800126861620200203092635040</t>
  </si>
  <si>
    <t>23/01/2020-19:47:42</t>
  </si>
  <si>
    <t>24/01/2020</t>
  </si>
  <si>
    <t>DAD2MNC *BALCI HACI MURAT *5800X0003391</t>
  </si>
  <si>
    <t>15800126861620200123194742989</t>
  </si>
  <si>
    <t>20/01/2020-09:26:36</t>
  </si>
  <si>
    <t>21/01/2020</t>
  </si>
  <si>
    <t>BALCI PERVİN ÖZLEM TARAFINDAN HESABA AKTARILAN *BALCI PERVİN ÖZLEM *5800X0002818</t>
  </si>
  <si>
    <t>15800126861620200120092636460</t>
  </si>
  <si>
    <t>18/01/2020-23:35:31</t>
  </si>
  <si>
    <t>SADAKA *YASEMİN BALCI *5800X0002740</t>
  </si>
  <si>
    <t>15800126861620200118233531115</t>
  </si>
  <si>
    <t>18/01/2020-22:52:25</t>
  </si>
  <si>
    <t>P.BALCI -N.ÖZİNANIR TARAFINDAN HESABA AKTARILAN *P.BALCI -N.ÖZİNANIR *6821X0003690</t>
  </si>
  <si>
    <t>15800126861620200118225225593</t>
  </si>
  <si>
    <t>16/01/2020-16:20:22</t>
  </si>
  <si>
    <t>16/01/2020</t>
  </si>
  <si>
    <t>PERVİN ÖZLEM BALCI*0010*INTERNET EFT PERVİN ÖZLEM BALCI ANNEDEN OĞULA*0400232</t>
  </si>
  <si>
    <t>15800126861620200116162022516</t>
  </si>
  <si>
    <t>16/01/2020-16:17:24</t>
  </si>
  <si>
    <t>PERVİN ÖZLEM BALCI*0010*INTERNET EFT PERVİN ÖZLEM BALCI ANNEDEN OĞULA*0389716</t>
  </si>
  <si>
    <t>15800126861620200116161724488</t>
  </si>
  <si>
    <t>15/01/2020-13:38:54</t>
  </si>
  <si>
    <t>BALCI PERVİN ÖZLEM TARAFINDAN HESABA AKTARILAN *BALCI PERVİN ÖZLEM *5800X0002120</t>
  </si>
  <si>
    <t>15800126861620200115133854555</t>
  </si>
  <si>
    <t>10/01/2020-18:42:14</t>
  </si>
  <si>
    <t>13/01/2020</t>
  </si>
  <si>
    <t>SADAKAM OLSUN *YASEMİN BALCI *5800X0001411</t>
  </si>
  <si>
    <t>15800126861620200110184214319</t>
  </si>
  <si>
    <t>08/01/2020-13:48:37</t>
  </si>
  <si>
    <t>08/01/2020</t>
  </si>
  <si>
    <t>PERVİN ÖZLEM BALCI*0010*INTERNET EFT PERVİN ÖZLEM BALCI ANNEDEN OĞULA*0156790</t>
  </si>
  <si>
    <t>15800126861620200108134837003</t>
  </si>
  <si>
    <t>06/01/2020-15:23:18</t>
  </si>
  <si>
    <t>07/01/2020</t>
  </si>
  <si>
    <t>P.BALCI -N.ÖZİNANIR TARAFINDAN HESABA AKTARILAN *P.BALCI -N.ÖZİNANIR *6821X0001126</t>
  </si>
  <si>
    <t>15800126861620200106152318128</t>
  </si>
  <si>
    <t>03/01/2020-18:39:58</t>
  </si>
  <si>
    <t>06/01/2020</t>
  </si>
  <si>
    <t>P.BALCI -N.ÖZİNANIR TARAFINDAN HESABA AKTARILAN *P.BALCI -N.ÖZİNANIR *6821X0000597</t>
  </si>
  <si>
    <t>15800126861620200103183958759</t>
  </si>
  <si>
    <t>27/12/2019-10:29:45</t>
  </si>
  <si>
    <t>30/12/2019</t>
  </si>
  <si>
    <t>P.BALCI -N.ÖZİNANIR TARAFINDAN HESABA AKTARILAN *P.BALCI -N.ÖZİNANIR *6821X9060770</t>
  </si>
  <si>
    <t>15800126861620191227102945790</t>
  </si>
  <si>
    <t>25/12/2019-10:23:02</t>
  </si>
  <si>
    <t>26/12/2019</t>
  </si>
  <si>
    <t>Z *BALCI HACI MURAT *5800X9057340</t>
  </si>
  <si>
    <t>15800126861620191225102302556</t>
  </si>
  <si>
    <t>24/12/2019-16:00:23</t>
  </si>
  <si>
    <t>25/12/2019</t>
  </si>
  <si>
    <t>P.BALCI -N.ÖZİNANIR TARAFINDAN HESABA AKTARILAN *P.BALCI -N.ÖZİNANIR *6821X9060181</t>
  </si>
  <si>
    <t>15800126861620191224160023522</t>
  </si>
  <si>
    <t>23/12/2019-08:56:48</t>
  </si>
  <si>
    <t>24/12/2019</t>
  </si>
  <si>
    <t>BALCI PERVİN ÖZLEM TARAFINDAN HESABA AKTARILAN *BALCI PERVİN ÖZLEM *5800X9056985</t>
  </si>
  <si>
    <t>15800126861620191223085648088</t>
  </si>
  <si>
    <t>23/12/2019-08:55:57</t>
  </si>
  <si>
    <t>P.BALCI -N.ÖZİNANIR TARAFINDAN HESABA AKTARILAN *P.BALCI -N.ÖZİNANIR *6821X9059737</t>
  </si>
  <si>
    <t>15800126861620191223085557601</t>
  </si>
  <si>
    <t>21/12/2019-20:35:45</t>
  </si>
  <si>
    <t>BALCI HACI MURAT TARAFINDAN HESABA AKTARILAN *BALCI HACI MURAT *5800X9056890</t>
  </si>
  <si>
    <t>15800126861620191221203545270</t>
  </si>
  <si>
    <t>19/12/2019-12:58:42</t>
  </si>
  <si>
    <t>19/12/2019</t>
  </si>
  <si>
    <t>PERVİN ÖZLEM BALCI*0010*INTERNET EFT PERVİN ÖZLEM BALCI ANNEDEN OĞULA*0153967</t>
  </si>
  <si>
    <t>15800126861620191219125842764</t>
  </si>
  <si>
    <t>16/12/2019-09:04:25</t>
  </si>
  <si>
    <t>17/12/2019</t>
  </si>
  <si>
    <t>P.BALCI -N.ÖZİNANIR TARAFINDAN HESABA AKTARILAN *P.BALCI -N.ÖZİNANIR *6821X9058381</t>
  </si>
  <si>
    <t>15800126861620191216090425623</t>
  </si>
  <si>
    <t>06/12/2019-10:34:32</t>
  </si>
  <si>
    <t>06/12/2019</t>
  </si>
  <si>
    <t>PERVİN ÖZLEM BALCI*0010*INTERNET EFT PERVİN ÖZLEM BALCI ANNEDEN OĞULA*0081881</t>
  </si>
  <si>
    <t>15800126861620191206103432370</t>
  </si>
  <si>
    <t>03/12/2019-18:45:50</t>
  </si>
  <si>
    <t>04/12/2019</t>
  </si>
  <si>
    <t>100FROMDAD100FROMMUMMY *BALCI HACI MURAT *5800X9054153</t>
  </si>
  <si>
    <t>15800126861620191203184550616</t>
  </si>
  <si>
    <t>03/12/2019-00:04:22</t>
  </si>
  <si>
    <t>YASEMİN BALCI TARAFINDAN HESABA AKTARILAN *YASEMİN BALCI *5800X9054017</t>
  </si>
  <si>
    <t>15800126861620191203000422672</t>
  </si>
  <si>
    <t>02/12/2019-13:08:08</t>
  </si>
  <si>
    <t>03/12/2019</t>
  </si>
  <si>
    <t>BALCI PERVİN ÖZLEM TARAFINDAN HESABA AKTARILAN *BALCI PERVİN ÖZLEM *5800X9053898</t>
  </si>
  <si>
    <t>15800126861620191202130808922</t>
  </si>
  <si>
    <t>01/12/2019-17:50:59</t>
  </si>
  <si>
    <t>P.BALCI -N.ÖZİNANIR TARAFINDAN HESABA AKTARILAN *P.BALCI -N.ÖZİNANIR *6821X9055274</t>
  </si>
  <si>
    <t>15800126861620191201175059636</t>
  </si>
  <si>
    <t>25/11/2019-08:40:47</t>
  </si>
  <si>
    <t>25/11/2019</t>
  </si>
  <si>
    <t>MUSTAFA KAYMAK*0012*HARÇLIK*3420739</t>
  </si>
  <si>
    <t>15800126861620191125084047384</t>
  </si>
  <si>
    <t>22/11/2019-19:03:15</t>
  </si>
  <si>
    <t>BALCI PERVİN ÖZLEM TARAFINDAN HESABA AKTARILAN</t>
  </si>
  <si>
    <t>15800126861620191122190315504</t>
  </si>
  <si>
    <t>20/11/2019-11:50:34</t>
  </si>
  <si>
    <t>21/11/2019</t>
  </si>
  <si>
    <t>BALCI PERVİN ÖZLEM TARAFINDAN HESABA AKTARILAN *BALCI PERVİN ÖZLEM *5800X9052185</t>
  </si>
  <si>
    <t>15800126861620191120115034965</t>
  </si>
  <si>
    <t>19/11/2019-17:52:44</t>
  </si>
  <si>
    <t>20/11/2019</t>
  </si>
  <si>
    <t>BİTTİM GARDAS BİTTİM KALMADI *YASEMİN BALCI *5800X9052110</t>
  </si>
  <si>
    <t>15800126861620191119175244125</t>
  </si>
  <si>
    <t>16/11/2019-17:40:35</t>
  </si>
  <si>
    <t>19/11/2019</t>
  </si>
  <si>
    <t>P.BALCI -N.ÖZİNANIR TARAFINDAN HESABA AKTARILAN *P.BALCI -N.ÖZİNANIR *6821X9052528</t>
  </si>
  <si>
    <t>15800126861620191116174035585</t>
  </si>
  <si>
    <t>15/11/2019-10:49:35</t>
  </si>
  <si>
    <t>18/11/2019</t>
  </si>
  <si>
    <t>BALCI PERVİN ÖZLEM TARAFINDAN HESABA AKTARILAN *BALCI PERVİN ÖZLEM *5800X9051255</t>
  </si>
  <si>
    <t>15800126861620191115104935218</t>
  </si>
  <si>
    <t>13/11/2019-17:59:18</t>
  </si>
  <si>
    <t>14/11/2019</t>
  </si>
  <si>
    <t>15800126861620191113175918956</t>
  </si>
  <si>
    <t>13/11/2019-17:09:11</t>
  </si>
  <si>
    <t>YASEMİN BALCI TARAFINDAN HESABA AKTARILAN *YASEMİN BALCI *5800X9050974</t>
  </si>
  <si>
    <t>15800126861620191113170911925</t>
  </si>
  <si>
    <t>05/11/2019-18:26:14</t>
  </si>
  <si>
    <t>06/11/2019</t>
  </si>
  <si>
    <t>BALCI HACI MURAT TARAFINDAN 05/11/2019 TARIHINDE AKTARILAN *BALCI HACI MURAT *5800X9050022</t>
  </si>
  <si>
    <t>15800126861620191105182614141</t>
  </si>
  <si>
    <t>04/11/2019-14:38:43</t>
  </si>
  <si>
    <t>04/11/2019</t>
  </si>
  <si>
    <t>PERVİN ÖZLEM BALCI*0010*INTERNET EFT PERVİN ÖZLEM BALCI ANNEDEN OĞULA*0300725</t>
  </si>
  <si>
    <t>15800126861620191104143843075</t>
  </si>
  <si>
    <t>03/11/2019-17:49:21</t>
  </si>
  <si>
    <t>05/11/2019</t>
  </si>
  <si>
    <t>YASEMİN BALCI TARAFINDAN HESABA AKTARILAN *YASEMİN BALCI *5800X9049674</t>
  </si>
  <si>
    <t>15800126861620191103174921836</t>
  </si>
  <si>
    <t>31/10/2019-13:58:26</t>
  </si>
  <si>
    <t>31/10/2019</t>
  </si>
  <si>
    <t>PERVİN ÖZLEM BALCI*0010*INTERNET EFT PERVİN ÖZLEM BALCI ANNEDEN OĞULA*0191886</t>
  </si>
  <si>
    <t>15800126861620191031135826093</t>
  </si>
  <si>
    <t>31/10/2019-11:31:38</t>
  </si>
  <si>
    <t>01/11/2019</t>
  </si>
  <si>
    <t>BALCI PERVİN ÖZLEM TARAFINDAN HESABA AKTARILAN *BALCI PERVİN ÖZLEM *5800X9049122</t>
  </si>
  <si>
    <t>15800126861620191031113138402</t>
  </si>
  <si>
    <t>29/10/2019-15:11:50</t>
  </si>
  <si>
    <t>BALCI PERVİN ÖZLEM TARAFINDAN HESABA AKTARILAN *BALCI PERVİN ÖZLEM *5800X9048900</t>
  </si>
  <si>
    <t>15800126861620191029151150108</t>
  </si>
  <si>
    <t>28/10/2019-13:09:18</t>
  </si>
  <si>
    <t>30/10/2019</t>
  </si>
  <si>
    <t>YASEMİN BALCI TARAFINDAN HESABA AKTARILAN *YASEMİN BALCI *5800X9048805</t>
  </si>
  <si>
    <t>15800126861620191028130918763</t>
  </si>
  <si>
    <t>24/10/2019-16:56:54</t>
  </si>
  <si>
    <t>25/10/2019</t>
  </si>
  <si>
    <t>BALCI PERVİN ÖZLEM TARAFINDAN HESABA AKTARILAN *BALCI PERVİN ÖZLEM *5800X9048416</t>
  </si>
  <si>
    <t>15800126861620191024165654009</t>
  </si>
  <si>
    <t>23/10/2019-08:35:30</t>
  </si>
  <si>
    <t>23/10/2019</t>
  </si>
  <si>
    <t>MUSTAFA KAYMAK*0012*HARÇLIK*4895982</t>
  </si>
  <si>
    <t>15800126861620191023083530169</t>
  </si>
  <si>
    <t>21/10/2019-15:50:38</t>
  </si>
  <si>
    <t>22/10/2019</t>
  </si>
  <si>
    <t>BALCI PERVİN ÖZLEM TARAFINDAN HESABA AKTARILAN *BALCI PERVİN ÖZLEM *5800X9047965</t>
  </si>
  <si>
    <t>15800126861620191021155038954</t>
  </si>
  <si>
    <t>18/10/2019-10:05:26</t>
  </si>
  <si>
    <t>21/10/2019</t>
  </si>
  <si>
    <t>BALCI PERVİN ÖZLEM TARAFINDAN HESABA AKTARILAN *BALCI PERVİN ÖZLEM *5800X9047526</t>
  </si>
  <si>
    <t>15800126861620191018100526018</t>
  </si>
  <si>
    <t>17/10/2019-18:05:33</t>
  </si>
  <si>
    <t>18/10/2019</t>
  </si>
  <si>
    <t>YASEMİN BALCI TARAFINDAN HESABA AKTARILAN *YASEMİN BALCI *5800X9047459</t>
  </si>
  <si>
    <t>15800126861620191017180533247</t>
  </si>
  <si>
    <t>15/10/2019-09:18:41</t>
  </si>
  <si>
    <t>16/10/2019</t>
  </si>
  <si>
    <t>BALCI PERVİN ÖZLEM TARAFINDAN HESABA AKTARILAN *BALCI PERVİN ÖZLEM *5800X9046734</t>
  </si>
  <si>
    <t>15800126861620191015091841712</t>
  </si>
  <si>
    <t>09/10/2019-08:27:26</t>
  </si>
  <si>
    <t>10/10/2019</t>
  </si>
  <si>
    <t>WİTH LOVE FROM DAD *BALCI HACI MURAT *5800X9045971</t>
  </si>
  <si>
    <t>15800126861620191009082726177</t>
  </si>
  <si>
    <t>03/10/2019-20:45:48</t>
  </si>
  <si>
    <t>04/10/2019</t>
  </si>
  <si>
    <t>BALCI PERVİN ÖZLEM TARAFINDAN HESABA AKTARILAN *BALCI PERVİN ÖZLEM *5800X9045283</t>
  </si>
  <si>
    <t>15800126861620191003204548656</t>
  </si>
  <si>
    <t>25/09/2019-08:36:16</t>
  </si>
  <si>
    <t>25/09/2019</t>
  </si>
  <si>
    <t>MUSTAFA KAYMAK*0012*HARÇLIK*5916763</t>
  </si>
  <si>
    <t>15800126861620190925083616295</t>
  </si>
  <si>
    <t>16/09/2019-09:33:21</t>
  </si>
  <si>
    <t>16/09/2019</t>
  </si>
  <si>
    <t>PERVİN ÖZLEM BALCI*0010*INTERNET EFT PERVİN ÖZLEM BALCI ANNEDEN OĞULA*0254074</t>
  </si>
  <si>
    <t>15800126861620190916093321787</t>
  </si>
  <si>
    <t>14/09/2019-15:52:29</t>
  </si>
  <si>
    <t>17/09/2019</t>
  </si>
  <si>
    <t>BALCI PERVİN ÖZLEM TARAFINDAN HESABA AKTARILAN *BALCI PERVİN ÖZLEM *5800X9042164</t>
  </si>
  <si>
    <t>15800126861620190914155229707</t>
  </si>
  <si>
    <t>11/09/2019-21:13:17</t>
  </si>
  <si>
    <t>12/09/2019</t>
  </si>
  <si>
    <t>BALCI PERVİN ÖZLEM TARAFINDAN HESABA AKTARILAN *BALCI PERVİN ÖZLEM *5800X9041834</t>
  </si>
  <si>
    <t>15800126861620190911211317093</t>
  </si>
  <si>
    <t>09/09/2019-17:23:12</t>
  </si>
  <si>
    <t>10/09/2019</t>
  </si>
  <si>
    <t>YASEMİN MASA *BALCI HACI MURAT *5800X9041540</t>
  </si>
  <si>
    <t>15800126861620190909172312488</t>
  </si>
  <si>
    <t>08/09/2019-04:36:28</t>
  </si>
  <si>
    <t>09/09/2019</t>
  </si>
  <si>
    <t>EKOR UN URUNLERI SANAYI LKKTC 3250</t>
  </si>
  <si>
    <t>15800126861620190908043628085</t>
  </si>
  <si>
    <t>04/09/2019-20:36:32</t>
  </si>
  <si>
    <t>05/09/2019</t>
  </si>
  <si>
    <t>BALCI PERVİN ÖZLEM TARAFINDAN HESABA AKTARILAN *BALCI PERVİN ÖZLEM *5800X9040954</t>
  </si>
  <si>
    <t>15800126861620190904203632876</t>
  </si>
  <si>
    <t>01/09/2019-01:36:38</t>
  </si>
  <si>
    <t>03/09/2019</t>
  </si>
  <si>
    <t>YASEMİN BALCI TARAFINDAN HESABA AKTARILAN *YASEMİN BALCI *5800X9040300</t>
  </si>
  <si>
    <t>15800126861620190901013638396</t>
  </si>
  <si>
    <t>22/08/2019-10:46:38</t>
  </si>
  <si>
    <t>22/08/2019</t>
  </si>
  <si>
    <t>MUSTAFA KAYMAK*0012*HARÇLIK*6364120</t>
  </si>
  <si>
    <t>15800126861620190822104638109</t>
  </si>
  <si>
    <t>21/08/2019-16:47:52</t>
  </si>
  <si>
    <t>BALCI PERVİN ÖZLEM TARAFINDAN HESABA AKTARILAN *BALCI PERVİN ÖZLEM *5800X9039037</t>
  </si>
  <si>
    <t>15800126861620190821164752559</t>
  </si>
  <si>
    <t>05/08/2019-19:12:38</t>
  </si>
  <si>
    <t>06/08/2019</t>
  </si>
  <si>
    <t>BALCI PERVİN ÖZLEM TARAFINDAN HESABA AKTARILAN *BALCI PERVİN ÖZLEM *5800X9036740</t>
  </si>
  <si>
    <t>15800126861620190805191238713</t>
  </si>
  <si>
    <t>02/08/2019-00:15:41</t>
  </si>
  <si>
    <t>02/08/2019</t>
  </si>
  <si>
    <t>OKKA COFFE GAZIMAGUSA 3250</t>
  </si>
  <si>
    <t>15800126861620190802001541139</t>
  </si>
  <si>
    <t>31/07/2019-10:31:45</t>
  </si>
  <si>
    <t>31/07/2019</t>
  </si>
  <si>
    <t>MUSTAFA KAYMAK*0012*HARÇLIK*7903064</t>
  </si>
  <si>
    <t>15800126861620190731103145488</t>
  </si>
  <si>
    <t>29/07/2019-15:51:36</t>
  </si>
  <si>
    <t>30/07/2019</t>
  </si>
  <si>
    <t>BALCI PERVİN ÖZLEM TARAFINDAN HESABA AKTARILAN *BALCI PERVİN ÖZLEM *5800X9035670</t>
  </si>
  <si>
    <t>15800126861620190729155136742</t>
  </si>
  <si>
    <t>21/07/2019-22:30:15</t>
  </si>
  <si>
    <t>23/07/2019</t>
  </si>
  <si>
    <t>P.BALCI -N.ÖZİNANIR TARAFINDAN HESABA AKTARILAN *P.BALCI -N.ÖZİNANIR *6821X9032338</t>
  </si>
  <si>
    <t>15800126861620190721223015691</t>
  </si>
  <si>
    <t>15/07/2019-14:46:53</t>
  </si>
  <si>
    <t>17/07/2019</t>
  </si>
  <si>
    <t>BALCI PERVİN ÖZLEM TARAFINDAN HESABA AKTARILAN *BALCI PERVİN ÖZLEM *5800X9033541</t>
  </si>
  <si>
    <t>15800126861620190715144653061</t>
  </si>
  <si>
    <t>09/07/2019-16:52:30</t>
  </si>
  <si>
    <t>10/07/2019</t>
  </si>
  <si>
    <t>BALCI PERVİN ÖZLEM TARAFINDAN HESABA AKTARILAN *BALCI PERVİN ÖZLEM *5800X9032873</t>
  </si>
  <si>
    <t>15800126861620190709165230898</t>
  </si>
  <si>
    <t>07/07/2019-16:23:47</t>
  </si>
  <si>
    <t>09/07/2019</t>
  </si>
  <si>
    <t>ATALAY ONURHAN YILDIRIM TARAFINDAN HESABA AKTARILAN *ATALAY ONURHAN YILDIRIM *4275X9023739</t>
  </si>
  <si>
    <t>15800126861620190707162347444</t>
  </si>
  <si>
    <t>01/07/2019-14:39:58</t>
  </si>
  <si>
    <t>02/07/2019</t>
  </si>
  <si>
    <t>BERİL TUNÇ TARAFINDAN HESABA AKTARILAN *BERİL TUNÇ *6230X9022382</t>
  </si>
  <si>
    <t>15800126861620190701143958101</t>
  </si>
  <si>
    <t>01/07/2019-14:01:13</t>
  </si>
  <si>
    <t>YASEMİN BALCI TARAFINDAN HESABA AKTARILAN *YASEMİN BALCI *5800X9031650</t>
  </si>
  <si>
    <t>15800126861620190701140113655</t>
  </si>
  <si>
    <t>01/07/2019-12:31:19</t>
  </si>
  <si>
    <t>BABADAN SEVGİLERLE *BALCI HACI MURAT *5800X9031596</t>
  </si>
  <si>
    <t>15800126861620190701123119366</t>
  </si>
  <si>
    <t>28/06/2019-11:03:05</t>
  </si>
  <si>
    <t>01/07/2019</t>
  </si>
  <si>
    <t>BALCI PERVİN ÖZLEM TARAFINDAN HESABA AKTARILAN *BALCI PERVİN ÖZLEM *5800X9031124</t>
  </si>
  <si>
    <t>15800126861620190628110305770</t>
  </si>
  <si>
    <t>24/06/2019-14:13:37</t>
  </si>
  <si>
    <t>24/06/2019</t>
  </si>
  <si>
    <t>MUSTAFA KAYMAK KAYMAK TEKSTİL*0205*HARÇLIK*9819204</t>
  </si>
  <si>
    <t>15800126861620190624141337748</t>
  </si>
  <si>
    <t>23/06/2019-23:26:23</t>
  </si>
  <si>
    <t>25/06/2019</t>
  </si>
  <si>
    <t>BALCI PERVİN ÖZLEM TARAFINDAN HESABA AKTARILAN *BALCI PERVİN ÖZLEM *5800X9030395</t>
  </si>
  <si>
    <t>15800126861620190623232623154</t>
  </si>
  <si>
    <t>20/06/2019-13:20:33</t>
  </si>
  <si>
    <t>20/06/2019</t>
  </si>
  <si>
    <t>PERVİN ÖZLEM BALCI*0010*INTERNET EFT PERVİN ÖZLEM BALCI ANNEDEN OĞULA*0162368</t>
  </si>
  <si>
    <t>15800126861620190620132033325</t>
  </si>
  <si>
    <t>17/06/2019-09:57:06</t>
  </si>
  <si>
    <t>17/06/2019</t>
  </si>
  <si>
    <t>PERVİN ÖZLEM BALCI*0010*INTERNET EFT PERVİN ÖZLEM BALCI ANNEDEN OĞULA*0196907</t>
  </si>
  <si>
    <t>15800126861620190617095706173</t>
  </si>
  <si>
    <t>16/06/2019-20:56:11</t>
  </si>
  <si>
    <t>18/06/2019</t>
  </si>
  <si>
    <t>BASKA PARAM OLMADİGİ İCİN 90 HAHAHAHAHHA *YASEMİN BALCI *5800X9029033</t>
  </si>
  <si>
    <t>15800126861620190616205611320</t>
  </si>
  <si>
    <t>10/06/2019-22:18:55</t>
  </si>
  <si>
    <t>10/06/2019</t>
  </si>
  <si>
    <t>HAKLIGIL PETROL SELF K.K.T.C. 3250</t>
  </si>
  <si>
    <t>15800126861620190610221855746</t>
  </si>
  <si>
    <t>09/06/2019-22:15:26</t>
  </si>
  <si>
    <t>11/06/2019</t>
  </si>
  <si>
    <t>YASEMİN BALCI TARAFINDAN HESABA AKTARILAN *YASEMİN BALCI *5800X9027828</t>
  </si>
  <si>
    <t>15800126861620190609221526398</t>
  </si>
  <si>
    <t>03/06/2019-10:17:18</t>
  </si>
  <si>
    <t>07/06/2019</t>
  </si>
  <si>
    <t>BALCI PERVİN ÖZLEM TARAFINDAN HESABA AKTARILAN *BALCI PERVİN ÖZLEM *5800X9027247</t>
  </si>
  <si>
    <t>15800126861620190603101718570</t>
  </si>
  <si>
    <t>27/05/2019-12:28:07</t>
  </si>
  <si>
    <t>28/05/2019</t>
  </si>
  <si>
    <t>BALCI PERVİN ÖZLEM TARAFINDAN HESABA AKTARILAN *BALCI PERVİN ÖZLEM *5800X9025873</t>
  </si>
  <si>
    <t>15800126861620190527122807817</t>
  </si>
  <si>
    <t>24/05/2019-08:34:45</t>
  </si>
  <si>
    <t>24/05/2019</t>
  </si>
  <si>
    <t>MUSTAFA KAYMAK*0012*HARÇLIK*4093750</t>
  </si>
  <si>
    <t>15800126861620190524083445425</t>
  </si>
  <si>
    <t>22/05/2019-15:42:33</t>
  </si>
  <si>
    <t>23/05/2019</t>
  </si>
  <si>
    <t>BALCI PERVİN ÖZLEM TARAFINDAN HESABA AKTARILAN *BALCI PERVİN ÖZLEM *5800X9025188</t>
  </si>
  <si>
    <t>15800126861620190522154233601</t>
  </si>
  <si>
    <t>18/05/2019-19:35:28</t>
  </si>
  <si>
    <t>21/05/2019</t>
  </si>
  <si>
    <t>BALCI PERVİN ÖZLEM TARAFINDAN HESABA AKTARILAN *BALCI PERVİN ÖZLEM *5800X9024557</t>
  </si>
  <si>
    <t>15800126861620190518193528450</t>
  </si>
  <si>
    <t>16/05/2019-18:12:12</t>
  </si>
  <si>
    <t>17/05/2019</t>
  </si>
  <si>
    <t>BALCI PERVİN ÖZLEM TARAFINDAN HESABA AKTARILAN *BALCI PERVİN ÖZLEM *5800X9024177</t>
  </si>
  <si>
    <t>15800126861620190516181212775</t>
  </si>
  <si>
    <t>15/05/2019-16:32:20</t>
  </si>
  <si>
    <t>16/05/2019</t>
  </si>
  <si>
    <t>ALPEREN BUĞRA TUTSUN PARA *ALPEREN BUĞRA TUTSUN *5500X9013824</t>
  </si>
  <si>
    <t>15800126861620190515163220238</t>
  </si>
  <si>
    <t>15/05/2019-13:11:31</t>
  </si>
  <si>
    <t>BALCI PERVİN ÖZLEM TARAFINDAN HESABA AKTARILAN *BALCI PERVİN ÖZLEM *5800X9023686</t>
  </si>
  <si>
    <t>15800126861620190515131131725</t>
  </si>
  <si>
    <t>13/05/2019-11:22:57</t>
  </si>
  <si>
    <t>14/05/2019</t>
  </si>
  <si>
    <t>BALCI PERVİN ÖZLEM TARAFINDAN HESABA AKTARILAN *BALCI PERVİN ÖZLEM *5800X9022950</t>
  </si>
  <si>
    <t>15800126861620190513112257886</t>
  </si>
  <si>
    <t>11/05/2019-15:44:54</t>
  </si>
  <si>
    <t>BALCI PERVİN ÖZLEM TARAFINDAN HESABA AKTARILAN *BALCI PERVİN ÖZLEM *5800X9022800</t>
  </si>
  <si>
    <t>15800126861620190511154454086</t>
  </si>
  <si>
    <t>06/05/2019-11:34:59</t>
  </si>
  <si>
    <t>07/05/2019</t>
  </si>
  <si>
    <t>BALCI PERVİN ÖZLEM TARAFINDAN HESABA AKTARILAN *BALCI PERVİN ÖZLEM *5800X9021920</t>
  </si>
  <si>
    <t>15800126861620190506113459868</t>
  </si>
  <si>
    <t>24/04/2019-10:11:52</t>
  </si>
  <si>
    <t>24/04/2019</t>
  </si>
  <si>
    <t>MUSTAFA KAYMAK*0012*HARÇLIK*8978505</t>
  </si>
  <si>
    <t>15800126861620190424101152237</t>
  </si>
  <si>
    <t>15/04/2019-10:50:43</t>
  </si>
  <si>
    <t>16/04/2019</t>
  </si>
  <si>
    <t>BALCI PERVİN ÖZLEM TARAFINDAN HESABA AKTARILAN *BALCI PERVİN ÖZLEM *5800X9018172</t>
  </si>
  <si>
    <t>15800126861620190415105043293</t>
  </si>
  <si>
    <t>07/04/2019-22:26:19</t>
  </si>
  <si>
    <t>09/04/2019</t>
  </si>
  <si>
    <t>BALCI PERVİN ÖZLEM TARAFINDAN HESABA AKTARILAN *BALCI PERVİN ÖZLEM *5800X9016919</t>
  </si>
  <si>
    <t>15800126861620190407222619214</t>
  </si>
  <si>
    <t>04/04/2019-19:03:35</t>
  </si>
  <si>
    <t>05/04/2019</t>
  </si>
  <si>
    <t>BALCI PERVİN ÖZLEM TARAFINDAN HESABA AKTARILAN *BALCI PERVİN ÖZLEM *5800X9016505</t>
  </si>
  <si>
    <t>15800126861620190404190335430</t>
  </si>
  <si>
    <t>01/04/2019-14:11:06</t>
  </si>
  <si>
    <t>02/04/2019</t>
  </si>
  <si>
    <t>BALCI PERVİN ÖZLEM TARAFINDAN HESABA AKTARILAN *BALCI PERVİN ÖZLEM *5800X9015861</t>
  </si>
  <si>
    <t>15800126861620190401141106467</t>
  </si>
  <si>
    <t>29/03/2019-22:08:13</t>
  </si>
  <si>
    <t>01/04/2019</t>
  </si>
  <si>
    <t>BALCI PERVİN ÖZLEM TARAFINDAN HESABA AKTARILAN *BALCI PERVİN ÖZLEM *5800X9015512</t>
  </si>
  <si>
    <t>15800126861620190329220813083</t>
  </si>
  <si>
    <t>27/03/2019-08:34:54</t>
  </si>
  <si>
    <t>27/03/2019</t>
  </si>
  <si>
    <t>MUSTAFA KAYMAK*0012*HARÇLIK*3183920</t>
  </si>
  <si>
    <t>15800126861620190327083454875</t>
  </si>
  <si>
    <t>26/03/2019-19:01:52</t>
  </si>
  <si>
    <t>BALCI PERVİN ÖZLEM TARAFINDAN HESABA AKTARILAN *BALCI PERVİN ÖZLEM *5800X9015036</t>
  </si>
  <si>
    <t>15800126861620190326190152275</t>
  </si>
  <si>
    <t>21/03/2019-20:00:33</t>
  </si>
  <si>
    <t>22/03/2019</t>
  </si>
  <si>
    <t>BABADAN SEVGİLERLE *BALCI HACI MURAT *5800X9014337</t>
  </si>
  <si>
    <t>15800126861620190321200033617</t>
  </si>
  <si>
    <t>20/03/2019-15:09:07</t>
  </si>
  <si>
    <t>21/03/2019</t>
  </si>
  <si>
    <t>TRAFİK BORCU *BALCI PERVİN ÖZLEM *5800X9014091</t>
  </si>
  <si>
    <t>15800126861620190320150907774</t>
  </si>
  <si>
    <t>20/03/2019-12:50:08</t>
  </si>
  <si>
    <t>BALCI PERVİN ÖZLEM TARAFINDAN HESABA AKTARILAN *BALCI PERVİN ÖZLEM *5800X9014057</t>
  </si>
  <si>
    <t>15800126861620190320125008871</t>
  </si>
  <si>
    <t>18/03/2019-15:19:16</t>
  </si>
  <si>
    <t>19/03/2019</t>
  </si>
  <si>
    <t>BALCI PERVİN ÖZLEM TARAFINDAN HESABA AKTARILAN *BALCI PERVİN ÖZLEM *5800X9013701</t>
  </si>
  <si>
    <t>15800126861620190318151916139</t>
  </si>
  <si>
    <t>16/03/2019-17:06:47</t>
  </si>
  <si>
    <t>YASEMİN BALCI TARAFINDAN HESABA AKTARILAN *YASEMİN BALCI *5800X9013398</t>
  </si>
  <si>
    <t>15800126861620190316170647466</t>
  </si>
  <si>
    <t>14/03/2019-16:50:20</t>
  </si>
  <si>
    <t>15/03/2019</t>
  </si>
  <si>
    <t>BALCI PERVİN ÖZLEM TARAFINDAN HESABA AKTARILAN *BALCI PERVİN ÖZLEM *5800X9012516</t>
  </si>
  <si>
    <t>15800126861620190314165020857</t>
  </si>
  <si>
    <t>12/03/2019-10:19:36</t>
  </si>
  <si>
    <t>13/03/2019</t>
  </si>
  <si>
    <t>BALCI PERVİN ÖZLEM TARAFINDAN HESABA AKTARILAN *BALCI PERVİN ÖZLEM *5800X9012146</t>
  </si>
  <si>
    <t>15800126861620190312101936115</t>
  </si>
  <si>
    <t>09/03/2019-20:54:34</t>
  </si>
  <si>
    <t>12/03/2019</t>
  </si>
  <si>
    <t>LOVE U *YASEMİN BALCI *5800X9011855</t>
  </si>
  <si>
    <t>15800126861620190309205434637</t>
  </si>
  <si>
    <t>07/03/2019-19:16:03</t>
  </si>
  <si>
    <t>08/03/2019</t>
  </si>
  <si>
    <t>BALCI PERVİN ÖZLEM TARAFINDAN HESABA AKTARILAN *BALCI PERVİN ÖZLEM *5800X9011577</t>
  </si>
  <si>
    <t>15800126861620190307191603508</t>
  </si>
  <si>
    <t>04/03/2019-12:41:44</t>
  </si>
  <si>
    <t>05/03/2019</t>
  </si>
  <si>
    <t>BALCI PERVİN ÖZLEM TARAFINDAN HESABA AKTARILAN *BALCI PERVİN ÖZLEM *5800X9010908</t>
  </si>
  <si>
    <t>15800126861620190304124144998</t>
  </si>
  <si>
    <t>01/03/2019-14:41:05</t>
  </si>
  <si>
    <t>04/03/2019</t>
  </si>
  <si>
    <t>BALCI PERVİN ÖZLEM TARAFINDAN HESABA AKTARILAN *BALCI PERVİN ÖZLEM *5800X9010522</t>
  </si>
  <si>
    <t>15800126861620190301144105759</t>
  </si>
  <si>
    <t>24/02/2019-19:20:00</t>
  </si>
  <si>
    <t>26/02/2019</t>
  </si>
  <si>
    <t>BALCI PERVİN ÖZLEM TARAFINDAN HESABA AKTARILAN *BALCI PERVİN ÖZLEM *5800X9009609</t>
  </si>
  <si>
    <t>15800126861620190224192000077</t>
  </si>
  <si>
    <t>18/02/2019-14:03:40</t>
  </si>
  <si>
    <t>19/02/2019</t>
  </si>
  <si>
    <t>BALCI PERVİN ÖZLEM TARAFINDAN HESABA AKTARILAN *BALCI PERVİN ÖZLEM *5800X9008616</t>
  </si>
  <si>
    <t>15800126861620190218140340510</t>
  </si>
  <si>
    <t>14/02/2019-20:51:38</t>
  </si>
  <si>
    <t>15/02/2019</t>
  </si>
  <si>
    <t>P.BALCI -N.ÖZİNANIR TARAFINDAN HESABA AKTARILAN *P.BALCI -N.ÖZİNANIR *6821X9007947</t>
  </si>
  <si>
    <t>15800126861620190214205138249</t>
  </si>
  <si>
    <t>10/02/2019-06:47:31</t>
  </si>
  <si>
    <t>12/02/2019</t>
  </si>
  <si>
    <t>BABADAN SEVGİLERLE *BALCI HACI MURAT *5800X9006845</t>
  </si>
  <si>
    <t>15800126861620190210064731943</t>
  </si>
  <si>
    <t>09/02/2019-18:24:41</t>
  </si>
  <si>
    <t>BALCI PERVİN ÖZLEM TARAFINDAN HESABA AKTARILAN *BALCI PERVİN ÖZLEM *5800X9006816</t>
  </si>
  <si>
    <t>15800126861620190209182441964</t>
  </si>
  <si>
    <t>16/01/2019-15:33:12</t>
  </si>
  <si>
    <t>17/01/2019</t>
  </si>
  <si>
    <t>BALCI PERVİN ÖZLEM TARAFINDAN HESABA AKTARILAN *BALCI PERVİN ÖZLEM *5800X9003050</t>
  </si>
  <si>
    <t>15800126861620190116153312483</t>
  </si>
  <si>
    <t>16/01/2019-14:34:02</t>
  </si>
  <si>
    <t>BALCI PERVİN ÖZLEM TARAFINDAN HESABA AKTARILAN *BALCI PERVİN ÖZLEM *5800X9003025</t>
  </si>
  <si>
    <t>15800126861620190116143402444</t>
  </si>
  <si>
    <t>08/01/2019-16:41:56</t>
  </si>
  <si>
    <t>09/01/2019</t>
  </si>
  <si>
    <t>BALCI PERVİN ÖZLEM TARAFINDAN HESABA AKTARILAN *BALCI PERVİN ÖZLEM *5800X9001290</t>
  </si>
  <si>
    <t>15800126861620190108164156904</t>
  </si>
  <si>
    <t>26/12/2018-12:13:31</t>
  </si>
  <si>
    <t>27/12/2018</t>
  </si>
  <si>
    <t>BALCI HACI MURAT TARAFINDAN HESABA AKTARILAN *BALCI HACI MURAT *5800X8059414</t>
  </si>
  <si>
    <t>15800126861620181226121331582</t>
  </si>
  <si>
    <t>24/12/2018-14:57:00</t>
  </si>
  <si>
    <t>25/12/2018</t>
  </si>
  <si>
    <t>BALCI PERVİN ÖZLEM TARAFINDAN HESABA AKTARILAN *BALCI PERVİN ÖZLEM *5800X8059105</t>
  </si>
  <si>
    <t>15800126861620181224145700359</t>
  </si>
  <si>
    <t>21/12/2018-16:16:19</t>
  </si>
  <si>
    <t>24/12/2018</t>
  </si>
  <si>
    <t>BALCI PERVİN ÖZLEM TARAFINDAN HESABA AKTARILAN *BALCI PERVİN ÖZLEM *5800X8058755</t>
  </si>
  <si>
    <t>15800126861620181221161619309</t>
  </si>
  <si>
    <t>13/12/2018-18:33:12</t>
  </si>
  <si>
    <t>14/12/2018</t>
  </si>
  <si>
    <t>BALCI PERVİN ÖZLEM TARAFINDAN HESABA AKTARILAN *BALCI PERVİN ÖZLEM *5800X8056746</t>
  </si>
  <si>
    <t>15800126861620181213183312832</t>
  </si>
  <si>
    <t>07/12/2018-19:02:00</t>
  </si>
  <si>
    <t>10/12/2018</t>
  </si>
  <si>
    <t>BALCI PERVİN ÖZLEM TARAFINDAN HESABA AKTARILAN *BALCI PERVİN ÖZLEM *5800X8056012</t>
  </si>
  <si>
    <t>15800126861620181207190200018</t>
  </si>
  <si>
    <t>04/12/2018-17:26:45</t>
  </si>
  <si>
    <t>05/12/2018</t>
  </si>
  <si>
    <t>BALCI PERVİN ÖZLEM TARAFINDAN HESABA AKTARILAN *BALCI PERVİN ÖZLEM *5800X8055393</t>
  </si>
  <si>
    <t>15800126861620181204172645565</t>
  </si>
  <si>
    <t>26/11/2018-13:16:39</t>
  </si>
  <si>
    <t>26/11/2018</t>
  </si>
  <si>
    <t>MUSTAFA KAYMAK*0012*HARÇLIK*7581705</t>
  </si>
  <si>
    <t>15800126861620181126131639120</t>
  </si>
  <si>
    <t>23/11/2018-20:25:48</t>
  </si>
  <si>
    <t>BALCI PERVİN ÖZLEM TARAFINDAN HESABA AKTARILAN *BALCI PERVİN ÖZLEM *5800X8053675</t>
  </si>
  <si>
    <t>15800126861620181123202548617</t>
  </si>
  <si>
    <t>20/11/2018-21:49:35</t>
  </si>
  <si>
    <t>21/11/2018</t>
  </si>
  <si>
    <t>BALCI PERVİN ÖZLEM TARAFINDAN HESABA AKTARILAN *BALCI PERVİN ÖZLEM *5800X8053128</t>
  </si>
  <si>
    <t>15800126861620181120214935393</t>
  </si>
  <si>
    <t>20/11/2018-10:35:38</t>
  </si>
  <si>
    <t>BALCI PERVİN ÖZLEM TARAFINDAN HESABA AKTARILAN *BALCI PERVİN ÖZLEM *5800X8052950</t>
  </si>
  <si>
    <t>15800126861620181120103538009</t>
  </si>
  <si>
    <t>17/11/2018-18:34:51</t>
  </si>
  <si>
    <t>20/11/2018</t>
  </si>
  <si>
    <t>BABADAN SEVGİLERLE *BALCI HACI MURAT *5800X8052571</t>
  </si>
  <si>
    <t>15800126861620181117183451568</t>
  </si>
  <si>
    <t>15/11/2018-13:38:45</t>
  </si>
  <si>
    <t>16/11/2018</t>
  </si>
  <si>
    <t>BALCI PERVİN ÖZLEM TARAFINDAN HESABA AKTARILAN *BALCI PERVİN ÖZLEM *5800X8051913</t>
  </si>
  <si>
    <t>15800126861620181115133845439</t>
  </si>
  <si>
    <t>08/11/2018-12:20:05</t>
  </si>
  <si>
    <t>09/11/2018</t>
  </si>
  <si>
    <t>BALCI PERVİN ÖZLEM TARAFINDAN HESABA AKTARILAN *BALCI PERVİN ÖZLEM *5800X8050521</t>
  </si>
  <si>
    <t>15800126861620181108122005505</t>
  </si>
  <si>
    <t>02/11/2018-18:41:36</t>
  </si>
  <si>
    <t>05/11/2018</t>
  </si>
  <si>
    <t>BALCI PERVİN ÖZLEM TARAFINDAN HESABA AKTARILAN *BALCI PERVİN ÖZLEM *5800X8049686</t>
  </si>
  <si>
    <t>15800126861620181102184136061</t>
  </si>
  <si>
    <t>31/10/2018-15:40:32</t>
  </si>
  <si>
    <t>01/11/2018</t>
  </si>
  <si>
    <t>BALCI PERVİN ÖZLEM TARAFINDAN HESABA AKTARILAN *BALCI PERVİN ÖZLEM *5800X8049173</t>
  </si>
  <si>
    <t>15800126861620181031154032831</t>
  </si>
  <si>
    <t>22/10/2018-09:46:56</t>
  </si>
  <si>
    <t>22/10/2018</t>
  </si>
  <si>
    <t>MUSTAFA KAYMAK*0012*HARÇLIK*7709991</t>
  </si>
  <si>
    <t>15800126861620181022094656478</t>
  </si>
  <si>
    <t>20/10/2018-20:23:12</t>
  </si>
  <si>
    <t>23/10/2018</t>
  </si>
  <si>
    <t>BALCI PERVİN ÖZLEM TARAFINDAN HESABA AKTARILAN *BALCI PERVİN ÖZLEM *5800X8047502</t>
  </si>
  <si>
    <t>15800126861620181020202312961</t>
  </si>
  <si>
    <t>18/10/2018-14:54:32</t>
  </si>
  <si>
    <t>19/10/2018</t>
  </si>
  <si>
    <t>BALCI PERVİN ÖZLEM TARAFINDAN HESABA AKTARILAN *BALCI PERVİN ÖZLEM *5800X8047090</t>
  </si>
  <si>
    <t>15800126861620181018145432987</t>
  </si>
  <si>
    <t>13/10/2018-20:24:40</t>
  </si>
  <si>
    <t>16/10/2018</t>
  </si>
  <si>
    <t>BALCI PERVİN ÖZLEM TARAFINDAN HESABA AKTARILAN *BALCI PERVİN ÖZLEM *5800X8045593</t>
  </si>
  <si>
    <t>15800126861620181013202440191</t>
  </si>
  <si>
    <t>12/10/2018-09:28:11</t>
  </si>
  <si>
    <t>15/10/2018</t>
  </si>
  <si>
    <t>BALCI PERVİN ÖZLEM TARAFINDAN HESABA AKTARILAN *BALCI PERVİN ÖZLEM *5800X8045338</t>
  </si>
  <si>
    <t>15800126861620181012092811175</t>
  </si>
  <si>
    <t>06/10/2018-14:30:37</t>
  </si>
  <si>
    <t>09/10/2018</t>
  </si>
  <si>
    <t>I LOVE YOU *YASEMİN BALCI *5800X8044584</t>
  </si>
  <si>
    <t>15800126861620181006143037839</t>
  </si>
  <si>
    <t>21/09/2018-16:36:39</t>
  </si>
  <si>
    <t>21/09/2018</t>
  </si>
  <si>
    <t>MUSTAFA KAYMAK HARÇLIK</t>
  </si>
  <si>
    <t>15800126861620180921163639629</t>
  </si>
  <si>
    <t>06/09/2018-17:18:08</t>
  </si>
  <si>
    <t>07/09/2018</t>
  </si>
  <si>
    <t>BALCI HACI MURAT TARAFINDAN HESABA AKTARILAN</t>
  </si>
  <si>
    <t>15800126861620180906171808411</t>
  </si>
  <si>
    <t>04/09/2018-18:00:11</t>
  </si>
  <si>
    <t>05/09/2018</t>
  </si>
  <si>
    <t>15800126861620180904180011454</t>
  </si>
  <si>
    <t>29/08/2018-10:34:52</t>
  </si>
  <si>
    <t>31/08/2018</t>
  </si>
  <si>
    <t>15800126861620180829103452605</t>
  </si>
  <si>
    <t>28/08/2018-14:20:44</t>
  </si>
  <si>
    <t>29/08/2018</t>
  </si>
  <si>
    <t>15800126861620180828142044300</t>
  </si>
  <si>
    <t>15/08/2018-09:44:44</t>
  </si>
  <si>
    <t>16/08/2018</t>
  </si>
  <si>
    <t>15800126861620180815094444736</t>
  </si>
  <si>
    <t>12/08/2018-17:51:09</t>
  </si>
  <si>
    <t>14/08/2018</t>
  </si>
  <si>
    <t>15800126861620180812175109517</t>
  </si>
  <si>
    <t>08/08/2018-19:04:25</t>
  </si>
  <si>
    <t>09/08/2018</t>
  </si>
  <si>
    <t>15800126861620180808190425531</t>
  </si>
  <si>
    <t>27/07/2018-19:49:52</t>
  </si>
  <si>
    <t>30/07/2018</t>
  </si>
  <si>
    <t>15800126861620180727194952481</t>
  </si>
  <si>
    <t>24/07/2018-18:14:52</t>
  </si>
  <si>
    <t>25/07/2018</t>
  </si>
  <si>
    <t>15800126861620180724181452371</t>
  </si>
  <si>
    <t>16/07/2018-10:19:52</t>
  </si>
  <si>
    <t>17/07/2018</t>
  </si>
  <si>
    <t>15800126861620180716101952300</t>
  </si>
  <si>
    <t>03/07/2018-10:37:22</t>
  </si>
  <si>
    <t>04/07/2018</t>
  </si>
  <si>
    <t>15800126861620180703103722739</t>
  </si>
  <si>
    <t>30/06/2018-23:07:05</t>
  </si>
  <si>
    <t>02/07/2018</t>
  </si>
  <si>
    <t>15800126861620180630230705668</t>
  </si>
  <si>
    <t>29/06/2018-12:45:15</t>
  </si>
  <si>
    <t>15800126861620180629124515036</t>
  </si>
  <si>
    <t>29/06/2018-12:43:10</t>
  </si>
  <si>
    <t>15800126861620180629124310341</t>
  </si>
  <si>
    <t>25/06/2018-14:16:40</t>
  </si>
  <si>
    <t>25/06/2018</t>
  </si>
  <si>
    <t>15800126861620180625141640984</t>
  </si>
  <si>
    <t>24/06/2018-16:34:00</t>
  </si>
  <si>
    <t>26/06/2018</t>
  </si>
  <si>
    <t>15800126861620180624163400174</t>
  </si>
  <si>
    <t>20/06/2018-13:40:21</t>
  </si>
  <si>
    <t>21/06/2018</t>
  </si>
  <si>
    <t>15800126861620180620134021058</t>
  </si>
  <si>
    <t>14/06/2018-23:10:37</t>
  </si>
  <si>
    <t>18/06/2018</t>
  </si>
  <si>
    <t>15800126861620180614231037795</t>
  </si>
  <si>
    <t>12/06/2018-18:16:43</t>
  </si>
  <si>
    <t>13/06/2018</t>
  </si>
  <si>
    <t>15800126861620180612181643534</t>
  </si>
  <si>
    <t>08/06/2018-05:07:28</t>
  </si>
  <si>
    <t>11/06/2018</t>
  </si>
  <si>
    <t>15800126861620180608050728915</t>
  </si>
  <si>
    <t>03/06/2018-14:28:20</t>
  </si>
  <si>
    <t>05/06/2018</t>
  </si>
  <si>
    <t>15800126861620180603142820724</t>
  </si>
  <si>
    <t>31/05/2018-11:42:08</t>
  </si>
  <si>
    <t>01/06/2018</t>
  </si>
  <si>
    <t>15800126861620180531114208104</t>
  </si>
  <si>
    <t>23/05/2018-14:21:23</t>
  </si>
  <si>
    <t>23/05/2018</t>
  </si>
  <si>
    <t>15800126861620180523142123311</t>
  </si>
  <si>
    <t>21/05/2018-12:08:51</t>
  </si>
  <si>
    <t>22/05/2018</t>
  </si>
  <si>
    <t>15800126861620180521120851855</t>
  </si>
  <si>
    <t>20/05/2018-15:48:33</t>
  </si>
  <si>
    <t>BABADAN SEVGİLERLE</t>
  </si>
  <si>
    <t>15800126861620180520154833055</t>
  </si>
  <si>
    <t>14/05/2018-22:21:06</t>
  </si>
  <si>
    <t>15/05/2018</t>
  </si>
  <si>
    <t>15800126861620180514222106386</t>
  </si>
  <si>
    <t>10/05/2018-19:04:01</t>
  </si>
  <si>
    <t>11/05/2018</t>
  </si>
  <si>
    <t>P.BALCI -N.ÖZİNANIR TARAFINDAN HESABA AKTARILAN</t>
  </si>
  <si>
    <t>15800126861620180510190401713</t>
  </si>
  <si>
    <t>07/05/2018-18:14:45</t>
  </si>
  <si>
    <t>08/05/2018</t>
  </si>
  <si>
    <t>15800126861620180507181445164</t>
  </si>
  <si>
    <t>04/05/2018-13:16:02</t>
  </si>
  <si>
    <t>07/05/2018</t>
  </si>
  <si>
    <t>15800126861620180504131602194</t>
  </si>
  <si>
    <t>26/04/2018-09:41:39</t>
  </si>
  <si>
    <t>26/04/2018</t>
  </si>
  <si>
    <t>15800126861620180426094139486</t>
  </si>
  <si>
    <t>22/04/2018-23:52:31</t>
  </si>
  <si>
    <t>25/04/2018</t>
  </si>
  <si>
    <t>15800126861620180422235231789</t>
  </si>
  <si>
    <t>20/04/2018-19:45:05</t>
  </si>
  <si>
    <t>24/04/2018</t>
  </si>
  <si>
    <t>15800126861620180420194505138</t>
  </si>
  <si>
    <t>17/04/2018-18:41:38</t>
  </si>
  <si>
    <t>18/04/2018</t>
  </si>
  <si>
    <t>15800126861620180417184138486</t>
  </si>
  <si>
    <t>13/04/2018-08:15:19</t>
  </si>
  <si>
    <t>16/04/2018</t>
  </si>
  <si>
    <t>15800126861620180413081519045</t>
  </si>
  <si>
    <t>10/04/2018-17:02:01</t>
  </si>
  <si>
    <t>11/04/2018</t>
  </si>
  <si>
    <t>15800126861620180410170201679</t>
  </si>
  <si>
    <t>08/04/2018-14:09:41</t>
  </si>
  <si>
    <t>10/04/2018</t>
  </si>
  <si>
    <t>15800126861620180408140941975</t>
  </si>
  <si>
    <t>04/04/2018-20:54:52</t>
  </si>
  <si>
    <t>05/04/2018</t>
  </si>
  <si>
    <t>15800126861620180404205452137</t>
  </si>
  <si>
    <t>02/04/2018-18:15:36</t>
  </si>
  <si>
    <t>03/04/2018</t>
  </si>
  <si>
    <t>15800126861620180402181536318</t>
  </si>
  <si>
    <t>30/03/2018-22:50:08</t>
  </si>
  <si>
    <t>02/04/2018</t>
  </si>
  <si>
    <t>15800126861620180330225008235</t>
  </si>
  <si>
    <t>21/03/2018-03:46:01</t>
  </si>
  <si>
    <t>21/03/2018</t>
  </si>
  <si>
    <t>BUTIK KOKOREC KIBRIS 1281</t>
  </si>
  <si>
    <t>15800126861620180321034601281</t>
  </si>
  <si>
    <t>21/03/2018-03:45:43</t>
  </si>
  <si>
    <t>15800126861620180321034543935</t>
  </si>
  <si>
    <t>21/03/2018-03:45:23</t>
  </si>
  <si>
    <t>15800126861620180321034523080</t>
  </si>
  <si>
    <t>21/03/2018-03:45:04</t>
  </si>
  <si>
    <t>15800126861620180321034504622</t>
  </si>
  <si>
    <t>20/03/2018-12:06:32</t>
  </si>
  <si>
    <t>20/03/2018</t>
  </si>
  <si>
    <t>15800126861620180320120632492</t>
  </si>
  <si>
    <t>20/03/2018-11:39:08</t>
  </si>
  <si>
    <t>15800126861620180320113908894</t>
  </si>
  <si>
    <t>14/03/2018-16:28:01</t>
  </si>
  <si>
    <t>15/03/2018</t>
  </si>
  <si>
    <t>15800126861620180314162801646</t>
  </si>
  <si>
    <t>12/03/2018-18:17:36</t>
  </si>
  <si>
    <t>13/03/2018</t>
  </si>
  <si>
    <t>15800126861620180312181736053</t>
  </si>
  <si>
    <t>09/03/2018-18:13:06</t>
  </si>
  <si>
    <t>12/03/2018</t>
  </si>
  <si>
    <t>15800126861620180309181306214</t>
  </si>
  <si>
    <t>27/02/2018-12:07:24</t>
  </si>
  <si>
    <t>28/02/2018</t>
  </si>
  <si>
    <t>15800126861620180227120724778</t>
  </si>
  <si>
    <t>27/02/2018-09:01:18</t>
  </si>
  <si>
    <t>27/02/2018</t>
  </si>
  <si>
    <t>15800126861620180227090118340</t>
  </si>
  <si>
    <t>21/02/2018-13:17:19</t>
  </si>
  <si>
    <t>22/02/2018</t>
  </si>
  <si>
    <t>15800126861620180221131719602</t>
  </si>
  <si>
    <t>20/02/2018-19:24:15</t>
  </si>
  <si>
    <t>21/02/2018</t>
  </si>
  <si>
    <t>15800126861620180220192415169</t>
  </si>
  <si>
    <t>18/02/2018-20:10:12</t>
  </si>
  <si>
    <t>20/02/2018</t>
  </si>
  <si>
    <t>15800126861620180218201012901</t>
  </si>
  <si>
    <t>15/02/2018-08:45:09</t>
  </si>
  <si>
    <t>16/02/2018</t>
  </si>
  <si>
    <t>15800126861620180215084509686</t>
  </si>
  <si>
    <t>08/02/2018-09:50:54</t>
  </si>
  <si>
    <t>09/02/2018</t>
  </si>
  <si>
    <t>15800126861620180208095054007</t>
  </si>
  <si>
    <t>04/02/2018-12:49:46</t>
  </si>
  <si>
    <t>06/02/2018</t>
  </si>
  <si>
    <t>15800126861620180204124946005</t>
  </si>
  <si>
    <t>22/01/2018-10:32:02</t>
  </si>
  <si>
    <t>22/01/2018</t>
  </si>
  <si>
    <t>AZMİ SOYGENÇ AHMET CAN SOYGENÇ ADINA AZMİ SOYGENÇ TESLİMATI</t>
  </si>
  <si>
    <t>15800126861620180122103202332</t>
  </si>
  <si>
    <t>20/01/2018-18:30:25</t>
  </si>
  <si>
    <t>23/01/2018</t>
  </si>
  <si>
    <t>15800126861620180120183025749</t>
  </si>
  <si>
    <t>16/01/2018-09:36:59</t>
  </si>
  <si>
    <t>17/01/2018</t>
  </si>
  <si>
    <t>15800126861620180116093659647</t>
  </si>
  <si>
    <t>08/01/2018-20:49:29</t>
  </si>
  <si>
    <t>09/01/2018</t>
  </si>
  <si>
    <t>15800126861620180108204929052</t>
  </si>
  <si>
    <t>toplam</t>
  </si>
  <si>
    <t>giriş</t>
  </si>
  <si>
    <t xml:space="preserve">periden </t>
  </si>
  <si>
    <t>gelen</t>
  </si>
  <si>
    <t>babadan</t>
  </si>
  <si>
    <t>gelen (KİRA)</t>
  </si>
  <si>
    <t>yıl</t>
  </si>
  <si>
    <t>ay</t>
  </si>
  <si>
    <t>aylık giden ortalama nakit</t>
  </si>
  <si>
    <t>ALİ UMUT BALCI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</si>
</sst>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5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indexed="9"/>
      <name val="Arial"/>
      <family val="2"/>
      <charset val="162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9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164" fontId="0" fillId="3" borderId="0" xfId="0" applyNumberFormat="1" applyFill="1"/>
    <xf numFmtId="0" fontId="0" fillId="4" borderId="0" xfId="0" applyFill="1" applyAlignment="1">
      <alignment horizontal="left"/>
    </xf>
    <xf numFmtId="0" fontId="4" fillId="0" borderId="0" xfId="0" applyFont="1"/>
    <xf numFmtId="9" fontId="1" fillId="0" borderId="0" xfId="1"/>
    <xf numFmtId="4" fontId="0" fillId="0" borderId="0" xfId="0" applyNumberFormat="1"/>
    <xf numFmtId="0" fontId="2" fillId="0" borderId="0" xfId="0" applyFont="1" applyAlignment="1">
      <alignment horizontal="right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11</xdr:col>
      <xdr:colOff>0</xdr:colOff>
      <xdr:row>4</xdr:row>
      <xdr:rowOff>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8820B193-A658-492A-A18F-13C093BF0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0"/>
          <a:ext cx="2933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5"/>
  <sheetViews>
    <sheetView tabSelected="1" zoomScale="145" zoomScaleNormal="145" workbookViewId="0">
      <selection activeCell="B2" sqref="B2:H6"/>
    </sheetView>
  </sheetViews>
  <sheetFormatPr defaultRowHeight="12.75" x14ac:dyDescent="0.2"/>
  <cols>
    <col min="1" max="1" width="20" bestFit="1" customWidth="1"/>
    <col min="2" max="2" width="17" bestFit="1" customWidth="1"/>
    <col min="3" max="3" width="19.85546875" customWidth="1"/>
    <col min="4" max="4" width="12.42578125" bestFit="1" customWidth="1"/>
    <col min="5" max="7" width="12.42578125" customWidth="1"/>
    <col min="8" max="8" width="13" customWidth="1"/>
    <col min="9" max="9" width="9.5703125" bestFit="1" customWidth="1"/>
    <col min="10" max="10" width="6.42578125" customWidth="1"/>
    <col min="11" max="11" width="10" bestFit="1" customWidth="1"/>
    <col min="12" max="12" width="34.85546875" customWidth="1"/>
    <col min="13" max="16" width="10" bestFit="1" customWidth="1"/>
    <col min="17" max="17" width="30" bestFit="1" customWidth="1"/>
  </cols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C3" s="2" t="s">
        <v>2254</v>
      </c>
    </row>
    <row r="4" spans="1:18" x14ac:dyDescent="0.2">
      <c r="C4" t="s">
        <v>16</v>
      </c>
    </row>
    <row r="5" spans="1:18" x14ac:dyDescent="0.2">
      <c r="C5" s="6" t="s">
        <v>144</v>
      </c>
      <c r="D5" s="5">
        <v>10000</v>
      </c>
      <c r="E5" s="8" t="s">
        <v>145</v>
      </c>
    </row>
    <row r="6" spans="1:18" ht="24" customHeight="1" x14ac:dyDescent="0.2">
      <c r="J6" s="1" t="s">
        <v>2</v>
      </c>
    </row>
    <row r="7" spans="1:18" x14ac:dyDescent="0.2">
      <c r="J7" s="1" t="s">
        <v>3</v>
      </c>
    </row>
    <row r="8" spans="1:18" x14ac:dyDescent="0.2">
      <c r="C8" s="2" t="s">
        <v>4</v>
      </c>
    </row>
    <row r="9" spans="1:18" x14ac:dyDescent="0.2">
      <c r="C9" s="2" t="s">
        <v>5</v>
      </c>
      <c r="H9" t="s">
        <v>14</v>
      </c>
    </row>
    <row r="10" spans="1:18" x14ac:dyDescent="0.2">
      <c r="C10" s="2" t="s">
        <v>6</v>
      </c>
      <c r="H10" t="s">
        <v>15</v>
      </c>
      <c r="J10" s="2" t="s">
        <v>11</v>
      </c>
      <c r="M10" t="s">
        <v>19</v>
      </c>
    </row>
    <row r="11" spans="1:18" x14ac:dyDescent="0.2">
      <c r="C11" s="2" t="s">
        <v>7</v>
      </c>
      <c r="H11" t="s">
        <v>16</v>
      </c>
      <c r="J11" s="2" t="s">
        <v>12</v>
      </c>
      <c r="M11" t="s">
        <v>20</v>
      </c>
    </row>
    <row r="12" spans="1:18" x14ac:dyDescent="0.2">
      <c r="C12" s="2" t="s">
        <v>8</v>
      </c>
      <c r="H12" t="s">
        <v>17</v>
      </c>
      <c r="J12" s="2" t="s">
        <v>13</v>
      </c>
      <c r="M12" t="s">
        <v>21</v>
      </c>
    </row>
    <row r="13" spans="1:18" x14ac:dyDescent="0.2">
      <c r="C13" s="2" t="s">
        <v>9</v>
      </c>
      <c r="H13" t="s">
        <v>18</v>
      </c>
      <c r="J13" t="s">
        <v>3</v>
      </c>
    </row>
    <row r="14" spans="1:18" x14ac:dyDescent="0.2">
      <c r="C14" s="2" t="s">
        <v>10</v>
      </c>
      <c r="H14" t="s">
        <v>18</v>
      </c>
    </row>
    <row r="15" spans="1:18" ht="25.7" customHeight="1" x14ac:dyDescent="0.2"/>
    <row r="16" spans="1:18" ht="25.7" customHeight="1" x14ac:dyDescent="0.2">
      <c r="A16" s="3" t="s">
        <v>22</v>
      </c>
      <c r="B16" s="3" t="s">
        <v>23</v>
      </c>
      <c r="C16" s="3" t="s">
        <v>24</v>
      </c>
      <c r="D16" s="3" t="s">
        <v>25</v>
      </c>
      <c r="E16" s="3"/>
      <c r="F16" s="3"/>
      <c r="G16" s="3"/>
      <c r="H16" s="3" t="s">
        <v>26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31</v>
      </c>
    </row>
    <row r="17" spans="1:18" x14ac:dyDescent="0.2">
      <c r="A17" s="4" t="s">
        <v>32</v>
      </c>
      <c r="B17" s="4" t="s">
        <v>33</v>
      </c>
      <c r="C17" s="5" t="s">
        <v>34</v>
      </c>
      <c r="D17" s="5">
        <v>250</v>
      </c>
      <c r="E17" s="5"/>
      <c r="F17" s="5"/>
      <c r="G17" s="5"/>
      <c r="H17" s="5">
        <v>9251.5</v>
      </c>
      <c r="I17" s="4">
        <v>0</v>
      </c>
      <c r="J17" s="4" t="s">
        <v>35</v>
      </c>
      <c r="K17" s="6" t="s">
        <v>36</v>
      </c>
      <c r="L17" s="6" t="s">
        <v>37</v>
      </c>
      <c r="R17" t="s">
        <v>38</v>
      </c>
    </row>
    <row r="18" spans="1:18" x14ac:dyDescent="0.2">
      <c r="A18" s="4"/>
      <c r="B18" s="4"/>
      <c r="C18" s="5"/>
      <c r="D18" s="5"/>
      <c r="E18" s="5"/>
      <c r="F18" s="5"/>
      <c r="G18" s="5"/>
      <c r="H18" s="5"/>
      <c r="I18" s="4"/>
      <c r="J18" s="4"/>
      <c r="K18" s="6"/>
      <c r="L18" s="6"/>
    </row>
    <row r="19" spans="1:18" x14ac:dyDescent="0.2">
      <c r="A19" s="4"/>
      <c r="B19" s="4"/>
      <c r="C19" s="5"/>
      <c r="D19" s="5"/>
      <c r="E19" s="5"/>
      <c r="F19" s="5"/>
      <c r="G19" s="5"/>
      <c r="H19" s="5"/>
      <c r="I19" s="4"/>
      <c r="J19" s="4"/>
      <c r="K19" s="6"/>
      <c r="L19" s="6"/>
    </row>
    <row r="20" spans="1:18" x14ac:dyDescent="0.2">
      <c r="A20" s="4"/>
      <c r="B20" s="4"/>
      <c r="C20" s="5"/>
      <c r="D20" s="5"/>
      <c r="E20" s="5"/>
      <c r="F20" s="5"/>
      <c r="G20" s="5"/>
      <c r="H20" s="5"/>
      <c r="I20" s="4"/>
      <c r="J20" s="4"/>
      <c r="K20" s="6"/>
      <c r="L20" s="6"/>
    </row>
    <row r="21" spans="1:18" x14ac:dyDescent="0.2">
      <c r="A21" s="4"/>
      <c r="B21" s="4"/>
      <c r="C21" s="5"/>
      <c r="D21" s="5"/>
      <c r="E21" s="5"/>
      <c r="F21" s="5"/>
      <c r="G21" s="5"/>
      <c r="H21" s="5"/>
      <c r="I21" s="4"/>
      <c r="J21" s="4"/>
      <c r="K21" s="6"/>
      <c r="L21" s="6"/>
    </row>
    <row r="22" spans="1:18" x14ac:dyDescent="0.2">
      <c r="A22" s="4" t="s">
        <v>39</v>
      </c>
      <c r="B22" s="4" t="s">
        <v>40</v>
      </c>
      <c r="C22" s="5" t="s">
        <v>19</v>
      </c>
      <c r="D22" s="5">
        <v>500</v>
      </c>
      <c r="E22" s="5"/>
      <c r="F22" s="5"/>
      <c r="G22" s="5"/>
      <c r="H22" s="5">
        <v>9001.5</v>
      </c>
      <c r="I22" s="4">
        <v>0</v>
      </c>
      <c r="J22" s="4" t="s">
        <v>41</v>
      </c>
      <c r="K22" s="6" t="s">
        <v>42</v>
      </c>
      <c r="L22" s="6" t="s">
        <v>43</v>
      </c>
      <c r="R22" t="s">
        <v>44</v>
      </c>
    </row>
    <row r="23" spans="1:18" x14ac:dyDescent="0.2">
      <c r="A23" s="4" t="s">
        <v>45</v>
      </c>
      <c r="B23" s="4" t="s">
        <v>40</v>
      </c>
      <c r="C23" s="5" t="s">
        <v>19</v>
      </c>
      <c r="D23" s="5">
        <v>3512</v>
      </c>
      <c r="E23" s="5"/>
      <c r="F23" s="5">
        <f>$D23</f>
        <v>3512</v>
      </c>
      <c r="G23" s="5"/>
      <c r="H23" s="5">
        <v>128640.95</v>
      </c>
      <c r="I23" s="4">
        <v>0</v>
      </c>
      <c r="J23" s="4" t="s">
        <v>41</v>
      </c>
      <c r="K23" s="6" t="s">
        <v>42</v>
      </c>
      <c r="L23" s="6" t="s">
        <v>46</v>
      </c>
      <c r="R23" t="s">
        <v>47</v>
      </c>
    </row>
    <row r="24" spans="1:18" x14ac:dyDescent="0.2">
      <c r="A24" s="4" t="s">
        <v>48</v>
      </c>
      <c r="B24" s="4" t="s">
        <v>49</v>
      </c>
      <c r="C24" s="5" t="s">
        <v>34</v>
      </c>
      <c r="D24" s="5">
        <v>8000</v>
      </c>
      <c r="E24" s="5">
        <f>D24</f>
        <v>8000</v>
      </c>
      <c r="F24" s="5"/>
      <c r="G24" s="5"/>
      <c r="H24" s="5">
        <v>139759.60999999999</v>
      </c>
      <c r="I24" s="4">
        <v>0</v>
      </c>
      <c r="J24" s="4" t="s">
        <v>35</v>
      </c>
      <c r="K24" s="6" t="s">
        <v>36</v>
      </c>
      <c r="L24" s="6" t="s">
        <v>50</v>
      </c>
      <c r="R24" t="s">
        <v>51</v>
      </c>
    </row>
    <row r="25" spans="1:18" x14ac:dyDescent="0.2">
      <c r="A25" s="4" t="s">
        <v>52</v>
      </c>
      <c r="B25" s="4" t="s">
        <v>53</v>
      </c>
      <c r="C25" s="5" t="s">
        <v>34</v>
      </c>
      <c r="D25" s="5">
        <v>1732</v>
      </c>
      <c r="E25" s="5"/>
      <c r="F25" s="5"/>
      <c r="G25" s="5">
        <f>$D25</f>
        <v>1732</v>
      </c>
      <c r="H25" s="5">
        <v>134458.65</v>
      </c>
      <c r="I25" s="4">
        <v>0</v>
      </c>
      <c r="J25" s="4" t="s">
        <v>35</v>
      </c>
      <c r="K25" s="6" t="s">
        <v>36</v>
      </c>
      <c r="L25" s="6" t="s">
        <v>54</v>
      </c>
      <c r="R25" t="s">
        <v>55</v>
      </c>
    </row>
    <row r="26" spans="1:18" x14ac:dyDescent="0.2">
      <c r="A26" s="4" t="s">
        <v>56</v>
      </c>
      <c r="B26" s="4" t="s">
        <v>57</v>
      </c>
      <c r="C26" s="5" t="s">
        <v>34</v>
      </c>
      <c r="D26" s="5">
        <v>6000</v>
      </c>
      <c r="E26" s="5"/>
      <c r="F26" s="5"/>
      <c r="G26" s="5">
        <f>$D26</f>
        <v>6000</v>
      </c>
      <c r="H26" s="5">
        <v>145996.57999999999</v>
      </c>
      <c r="I26" s="4">
        <v>0</v>
      </c>
      <c r="J26" s="4" t="s">
        <v>35</v>
      </c>
      <c r="K26" s="6" t="s">
        <v>36</v>
      </c>
      <c r="L26" s="8" t="s">
        <v>58</v>
      </c>
      <c r="R26" t="s">
        <v>59</v>
      </c>
    </row>
    <row r="27" spans="1:18" x14ac:dyDescent="0.2">
      <c r="A27" s="4" t="s">
        <v>60</v>
      </c>
      <c r="B27" s="4" t="s">
        <v>61</v>
      </c>
      <c r="C27" s="5" t="s">
        <v>62</v>
      </c>
      <c r="D27" s="5">
        <v>135000</v>
      </c>
      <c r="E27" s="5"/>
      <c r="F27" s="5"/>
      <c r="G27" s="5">
        <f>$D27</f>
        <v>135000</v>
      </c>
      <c r="H27" s="5">
        <v>150280.66</v>
      </c>
      <c r="I27" s="4">
        <v>0</v>
      </c>
      <c r="J27" s="4" t="s">
        <v>41</v>
      </c>
      <c r="K27" s="6" t="s">
        <v>42</v>
      </c>
      <c r="L27" s="8" t="s">
        <v>63</v>
      </c>
      <c r="R27" t="s">
        <v>64</v>
      </c>
    </row>
    <row r="28" spans="1:18" x14ac:dyDescent="0.2">
      <c r="A28" s="4"/>
      <c r="B28" s="4"/>
      <c r="C28" s="5"/>
      <c r="D28" s="5"/>
      <c r="E28" s="5"/>
      <c r="F28" s="5"/>
      <c r="G28" s="5"/>
      <c r="H28" s="5"/>
      <c r="I28" s="4"/>
      <c r="J28" s="4"/>
      <c r="K28" s="6"/>
      <c r="L28" s="8"/>
    </row>
    <row r="29" spans="1:18" x14ac:dyDescent="0.2">
      <c r="A29" s="4" t="s">
        <v>65</v>
      </c>
      <c r="B29" s="4" t="s">
        <v>66</v>
      </c>
      <c r="C29" s="5" t="s">
        <v>34</v>
      </c>
      <c r="D29" s="5">
        <v>10000</v>
      </c>
      <c r="E29" s="5"/>
      <c r="F29" s="5"/>
      <c r="G29" s="5">
        <f>$D29</f>
        <v>10000</v>
      </c>
      <c r="H29" s="5">
        <v>16525.95</v>
      </c>
      <c r="I29" s="4">
        <v>0</v>
      </c>
      <c r="J29" s="4" t="s">
        <v>35</v>
      </c>
      <c r="K29" s="6" t="s">
        <v>36</v>
      </c>
      <c r="L29" s="8" t="s">
        <v>67</v>
      </c>
      <c r="R29" t="s">
        <v>68</v>
      </c>
    </row>
    <row r="30" spans="1:18" x14ac:dyDescent="0.2">
      <c r="A30" s="4" t="s">
        <v>69</v>
      </c>
      <c r="B30" s="4" t="s">
        <v>66</v>
      </c>
      <c r="C30" s="5" t="s">
        <v>19</v>
      </c>
      <c r="D30" s="5">
        <v>3511</v>
      </c>
      <c r="E30" s="5"/>
      <c r="F30" s="5">
        <f>$D30</f>
        <v>3511</v>
      </c>
      <c r="G30" s="5"/>
      <c r="H30" s="5">
        <v>6525.95</v>
      </c>
      <c r="I30" s="4">
        <v>0</v>
      </c>
      <c r="J30" s="4" t="s">
        <v>41</v>
      </c>
      <c r="K30" s="6" t="s">
        <v>42</v>
      </c>
      <c r="L30" s="6" t="s">
        <v>70</v>
      </c>
      <c r="R30" t="s">
        <v>71</v>
      </c>
    </row>
    <row r="31" spans="1:18" x14ac:dyDescent="0.2">
      <c r="A31" s="4" t="s">
        <v>72</v>
      </c>
      <c r="B31" s="4" t="s">
        <v>66</v>
      </c>
      <c r="C31" s="5" t="s">
        <v>34</v>
      </c>
      <c r="D31" s="5">
        <v>3000</v>
      </c>
      <c r="E31" s="5">
        <f>D31</f>
        <v>3000</v>
      </c>
      <c r="F31" s="5"/>
      <c r="G31" s="5"/>
      <c r="H31" s="5">
        <v>3014.95</v>
      </c>
      <c r="I31" s="4">
        <v>0</v>
      </c>
      <c r="J31" s="4" t="s">
        <v>35</v>
      </c>
      <c r="K31" s="6" t="s">
        <v>36</v>
      </c>
      <c r="L31" s="6" t="s">
        <v>73</v>
      </c>
      <c r="R31" t="s">
        <v>74</v>
      </c>
    </row>
    <row r="32" spans="1:18" x14ac:dyDescent="0.2">
      <c r="A32" s="4" t="s">
        <v>75</v>
      </c>
      <c r="B32" s="4" t="s">
        <v>76</v>
      </c>
      <c r="C32" s="5" t="s">
        <v>34</v>
      </c>
      <c r="D32" s="5">
        <v>2000</v>
      </c>
      <c r="E32" s="5">
        <f>D32</f>
        <v>2000</v>
      </c>
      <c r="F32" s="5"/>
      <c r="G32" s="5"/>
      <c r="H32" s="5">
        <v>14095.45</v>
      </c>
      <c r="I32" s="4">
        <v>0</v>
      </c>
      <c r="J32" s="4" t="s">
        <v>35</v>
      </c>
      <c r="K32" s="6" t="s">
        <v>36</v>
      </c>
      <c r="L32" s="6" t="s">
        <v>77</v>
      </c>
      <c r="R32" t="s">
        <v>78</v>
      </c>
    </row>
    <row r="33" spans="1:18" x14ac:dyDescent="0.2">
      <c r="A33" s="4" t="s">
        <v>79</v>
      </c>
      <c r="B33" s="4" t="s">
        <v>76</v>
      </c>
      <c r="C33" s="5" t="s">
        <v>19</v>
      </c>
      <c r="D33" s="5">
        <v>7000</v>
      </c>
      <c r="E33" s="5">
        <f>D33</f>
        <v>7000</v>
      </c>
      <c r="F33" s="5"/>
      <c r="G33" s="5"/>
      <c r="H33" s="5">
        <v>12095.45</v>
      </c>
      <c r="I33" s="4">
        <v>0</v>
      </c>
      <c r="J33" s="4" t="s">
        <v>41</v>
      </c>
      <c r="K33" s="6" t="s">
        <v>42</v>
      </c>
      <c r="L33" s="6" t="s">
        <v>80</v>
      </c>
      <c r="R33" t="s">
        <v>81</v>
      </c>
    </row>
    <row r="34" spans="1:18" x14ac:dyDescent="0.2">
      <c r="A34" s="4" t="s">
        <v>82</v>
      </c>
      <c r="B34" s="4" t="s">
        <v>83</v>
      </c>
      <c r="C34" s="5" t="s">
        <v>19</v>
      </c>
      <c r="D34" s="5">
        <v>3000</v>
      </c>
      <c r="E34" s="5">
        <f>D34</f>
        <v>3000</v>
      </c>
      <c r="F34" s="5"/>
      <c r="G34" s="5"/>
      <c r="H34" s="5">
        <v>6157.95</v>
      </c>
      <c r="I34" s="4">
        <v>0</v>
      </c>
      <c r="J34" s="4" t="s">
        <v>41</v>
      </c>
      <c r="K34" s="6" t="s">
        <v>42</v>
      </c>
      <c r="L34" s="6" t="s">
        <v>84</v>
      </c>
      <c r="R34" t="s">
        <v>85</v>
      </c>
    </row>
    <row r="35" spans="1:18" x14ac:dyDescent="0.2">
      <c r="A35" s="4" t="s">
        <v>86</v>
      </c>
      <c r="B35" s="4" t="s">
        <v>87</v>
      </c>
      <c r="C35" s="5" t="s">
        <v>19</v>
      </c>
      <c r="D35" s="5">
        <v>2500</v>
      </c>
      <c r="E35" s="5"/>
      <c r="F35" s="5">
        <f>$D35</f>
        <v>2500</v>
      </c>
      <c r="G35" s="5"/>
      <c r="H35" s="5">
        <v>3567.95</v>
      </c>
      <c r="I35" s="4">
        <v>0</v>
      </c>
      <c r="J35" s="4" t="s">
        <v>41</v>
      </c>
      <c r="K35" s="6" t="s">
        <v>42</v>
      </c>
      <c r="L35" s="6" t="s">
        <v>88</v>
      </c>
      <c r="R35" t="s">
        <v>89</v>
      </c>
    </row>
    <row r="36" spans="1:18" x14ac:dyDescent="0.2">
      <c r="A36" s="4" t="s">
        <v>90</v>
      </c>
      <c r="B36" s="4" t="s">
        <v>91</v>
      </c>
      <c r="C36" s="5" t="s">
        <v>92</v>
      </c>
      <c r="D36" s="5">
        <v>100</v>
      </c>
      <c r="E36" s="5"/>
      <c r="F36" s="5"/>
      <c r="G36" s="5"/>
      <c r="H36" s="5">
        <v>1329.45</v>
      </c>
      <c r="I36" s="4">
        <v>0</v>
      </c>
      <c r="J36" s="4" t="s">
        <v>93</v>
      </c>
      <c r="K36" s="6" t="s">
        <v>92</v>
      </c>
      <c r="L36" s="6" t="s">
        <v>94</v>
      </c>
      <c r="R36" t="s">
        <v>95</v>
      </c>
    </row>
    <row r="37" spans="1:18" x14ac:dyDescent="0.2">
      <c r="A37" s="4" t="s">
        <v>96</v>
      </c>
      <c r="B37" s="4" t="s">
        <v>91</v>
      </c>
      <c r="C37" s="5" t="s">
        <v>92</v>
      </c>
      <c r="D37" s="5">
        <v>48</v>
      </c>
      <c r="E37" s="5"/>
      <c r="F37" s="5"/>
      <c r="G37" s="5"/>
      <c r="H37" s="5">
        <v>1477.45</v>
      </c>
      <c r="I37" s="4">
        <v>0</v>
      </c>
      <c r="J37" s="4" t="s">
        <v>93</v>
      </c>
      <c r="K37" s="6" t="s">
        <v>92</v>
      </c>
      <c r="L37" s="6" t="s">
        <v>97</v>
      </c>
      <c r="R37" t="s">
        <v>98</v>
      </c>
    </row>
    <row r="38" spans="1:18" x14ac:dyDescent="0.2">
      <c r="A38" s="4" t="s">
        <v>99</v>
      </c>
      <c r="B38" s="4" t="s">
        <v>91</v>
      </c>
      <c r="C38" s="5" t="s">
        <v>92</v>
      </c>
      <c r="D38" s="5">
        <v>48</v>
      </c>
      <c r="E38" s="5"/>
      <c r="F38" s="5"/>
      <c r="G38" s="5"/>
      <c r="H38" s="5">
        <v>1477.45</v>
      </c>
      <c r="I38" s="4">
        <v>0</v>
      </c>
      <c r="J38" s="4" t="s">
        <v>93</v>
      </c>
      <c r="K38" s="6" t="s">
        <v>92</v>
      </c>
      <c r="L38" s="6" t="s">
        <v>100</v>
      </c>
      <c r="R38" t="s">
        <v>101</v>
      </c>
    </row>
    <row r="39" spans="1:18" x14ac:dyDescent="0.2">
      <c r="A39" s="4" t="s">
        <v>102</v>
      </c>
      <c r="B39" s="4" t="s">
        <v>91</v>
      </c>
      <c r="C39" s="5" t="s">
        <v>92</v>
      </c>
      <c r="D39" s="5">
        <v>50</v>
      </c>
      <c r="E39" s="5"/>
      <c r="F39" s="5"/>
      <c r="G39" s="5"/>
      <c r="H39" s="5">
        <v>1477.45</v>
      </c>
      <c r="I39" s="4">
        <v>0</v>
      </c>
      <c r="J39" s="4" t="s">
        <v>93</v>
      </c>
      <c r="K39" s="6" t="s">
        <v>92</v>
      </c>
      <c r="L39" s="6" t="s">
        <v>103</v>
      </c>
      <c r="R39" t="s">
        <v>104</v>
      </c>
    </row>
    <row r="40" spans="1:18" x14ac:dyDescent="0.2">
      <c r="A40" s="4" t="s">
        <v>105</v>
      </c>
      <c r="B40" s="4" t="s">
        <v>91</v>
      </c>
      <c r="C40" s="5" t="s">
        <v>92</v>
      </c>
      <c r="D40" s="5">
        <v>50</v>
      </c>
      <c r="E40" s="5"/>
      <c r="F40" s="5"/>
      <c r="G40" s="5"/>
      <c r="H40" s="5">
        <v>1477.45</v>
      </c>
      <c r="I40" s="4">
        <v>0</v>
      </c>
      <c r="J40" s="4" t="s">
        <v>93</v>
      </c>
      <c r="K40" s="6" t="s">
        <v>92</v>
      </c>
      <c r="L40" s="6" t="s">
        <v>103</v>
      </c>
      <c r="R40" t="s">
        <v>106</v>
      </c>
    </row>
    <row r="41" spans="1:18" x14ac:dyDescent="0.2">
      <c r="A41" s="4" t="s">
        <v>107</v>
      </c>
      <c r="B41" s="4" t="s">
        <v>91</v>
      </c>
      <c r="C41" s="5" t="s">
        <v>92</v>
      </c>
      <c r="D41" s="5">
        <v>50</v>
      </c>
      <c r="E41" s="5"/>
      <c r="F41" s="5"/>
      <c r="G41" s="5"/>
      <c r="H41" s="5">
        <v>1527.45</v>
      </c>
      <c r="I41" s="4">
        <v>0</v>
      </c>
      <c r="J41" s="4" t="s">
        <v>93</v>
      </c>
      <c r="K41" s="6" t="s">
        <v>92</v>
      </c>
      <c r="L41" s="6" t="s">
        <v>103</v>
      </c>
      <c r="R41" t="s">
        <v>108</v>
      </c>
    </row>
    <row r="42" spans="1:18" x14ac:dyDescent="0.2">
      <c r="A42" s="4" t="s">
        <v>109</v>
      </c>
      <c r="B42" s="4" t="s">
        <v>110</v>
      </c>
      <c r="C42" s="5" t="s">
        <v>19</v>
      </c>
      <c r="D42" s="5">
        <v>2000</v>
      </c>
      <c r="E42" s="5">
        <f>D42</f>
        <v>2000</v>
      </c>
      <c r="F42" s="5"/>
      <c r="G42" s="5"/>
      <c r="H42" s="5">
        <v>2225.59</v>
      </c>
      <c r="I42" s="4">
        <v>0</v>
      </c>
      <c r="J42" s="4" t="s">
        <v>41</v>
      </c>
      <c r="K42" s="6" t="s">
        <v>42</v>
      </c>
      <c r="L42" s="6" t="s">
        <v>111</v>
      </c>
      <c r="R42" t="s">
        <v>112</v>
      </c>
    </row>
    <row r="43" spans="1:18" x14ac:dyDescent="0.2">
      <c r="A43" s="4"/>
      <c r="B43" s="4"/>
      <c r="C43" s="5"/>
      <c r="D43" s="5"/>
      <c r="E43" s="5"/>
      <c r="F43" s="5"/>
      <c r="G43" s="5"/>
      <c r="H43" s="5"/>
      <c r="I43" s="4"/>
      <c r="J43" s="4"/>
      <c r="K43" s="6"/>
      <c r="L43" s="6"/>
    </row>
    <row r="44" spans="1:18" x14ac:dyDescent="0.2">
      <c r="A44" s="4" t="s">
        <v>113</v>
      </c>
      <c r="B44" s="4" t="s">
        <v>114</v>
      </c>
      <c r="C44" s="5" t="s">
        <v>19</v>
      </c>
      <c r="D44" s="5">
        <v>1500</v>
      </c>
      <c r="E44" s="5"/>
      <c r="F44" s="5"/>
      <c r="G44" s="5"/>
      <c r="H44" s="5">
        <v>5124.3599999999997</v>
      </c>
      <c r="I44" s="4">
        <v>0</v>
      </c>
      <c r="J44" s="4" t="s">
        <v>41</v>
      </c>
      <c r="K44" s="6" t="s">
        <v>42</v>
      </c>
      <c r="L44" s="6" t="s">
        <v>115</v>
      </c>
      <c r="R44" t="s">
        <v>116</v>
      </c>
    </row>
    <row r="45" spans="1:18" x14ac:dyDescent="0.2">
      <c r="A45" s="4" t="s">
        <v>117</v>
      </c>
      <c r="B45" s="4" t="s">
        <v>118</v>
      </c>
      <c r="C45" s="5" t="s">
        <v>19</v>
      </c>
      <c r="D45" s="5">
        <v>3510</v>
      </c>
      <c r="E45" s="5"/>
      <c r="F45" s="5"/>
      <c r="G45" s="5"/>
      <c r="H45" s="5">
        <v>3672.36</v>
      </c>
      <c r="I45" s="4">
        <v>0</v>
      </c>
      <c r="J45" s="4" t="s">
        <v>41</v>
      </c>
      <c r="K45" s="6" t="s">
        <v>42</v>
      </c>
      <c r="L45" s="6" t="s">
        <v>119</v>
      </c>
      <c r="R45" t="s">
        <v>120</v>
      </c>
    </row>
    <row r="46" spans="1:18" x14ac:dyDescent="0.2">
      <c r="A46" s="4" t="s">
        <v>121</v>
      </c>
      <c r="B46" s="4" t="s">
        <v>122</v>
      </c>
      <c r="C46" s="5" t="s">
        <v>19</v>
      </c>
      <c r="D46" s="5">
        <v>6000</v>
      </c>
      <c r="E46" s="5">
        <f>D46</f>
        <v>6000</v>
      </c>
      <c r="F46" s="5"/>
      <c r="G46" s="5"/>
      <c r="H46" s="5">
        <v>7347.66</v>
      </c>
      <c r="I46" s="4">
        <v>0</v>
      </c>
      <c r="J46" s="4" t="s">
        <v>41</v>
      </c>
      <c r="K46" s="6" t="s">
        <v>42</v>
      </c>
      <c r="L46" s="6" t="s">
        <v>123</v>
      </c>
      <c r="R46" t="s">
        <v>124</v>
      </c>
    </row>
    <row r="47" spans="1:18" x14ac:dyDescent="0.2">
      <c r="A47" s="4" t="s">
        <v>125</v>
      </c>
      <c r="B47" s="4" t="s">
        <v>126</v>
      </c>
      <c r="C47" s="5" t="s">
        <v>127</v>
      </c>
      <c r="D47" s="5">
        <v>13000</v>
      </c>
      <c r="E47" s="5"/>
      <c r="F47" s="5"/>
      <c r="G47" s="5"/>
      <c r="H47" s="5">
        <v>13251.98</v>
      </c>
      <c r="I47" s="4">
        <v>0</v>
      </c>
      <c r="J47" s="4" t="s">
        <v>128</v>
      </c>
      <c r="K47" s="6" t="s">
        <v>129</v>
      </c>
      <c r="L47" s="6" t="s">
        <v>130</v>
      </c>
      <c r="R47" t="s">
        <v>131</v>
      </c>
    </row>
    <row r="48" spans="1:18" x14ac:dyDescent="0.2">
      <c r="A48" s="4" t="s">
        <v>132</v>
      </c>
      <c r="B48" s="4" t="s">
        <v>133</v>
      </c>
      <c r="C48" s="5" t="s">
        <v>34</v>
      </c>
      <c r="D48" s="5">
        <v>500</v>
      </c>
      <c r="E48" s="5">
        <f>D48</f>
        <v>500</v>
      </c>
      <c r="F48" s="5"/>
      <c r="G48" s="5"/>
      <c r="H48" s="5">
        <v>601.98</v>
      </c>
      <c r="I48" s="4">
        <v>0</v>
      </c>
      <c r="J48" s="4" t="s">
        <v>35</v>
      </c>
      <c r="K48" s="6" t="s">
        <v>36</v>
      </c>
      <c r="L48" s="6" t="s">
        <v>134</v>
      </c>
      <c r="R48" t="s">
        <v>135</v>
      </c>
    </row>
    <row r="49" spans="1:18" x14ac:dyDescent="0.2">
      <c r="A49" s="4"/>
      <c r="B49" s="4"/>
      <c r="C49" s="5"/>
      <c r="D49" s="5"/>
      <c r="E49" s="5"/>
      <c r="F49" s="5"/>
      <c r="G49" s="5"/>
      <c r="H49" s="5"/>
      <c r="I49" s="4"/>
      <c r="J49" s="4"/>
      <c r="K49" s="6"/>
      <c r="L49" s="6"/>
    </row>
    <row r="50" spans="1:18" x14ac:dyDescent="0.2">
      <c r="A50" s="4" t="s">
        <v>136</v>
      </c>
      <c r="B50" s="4" t="s">
        <v>137</v>
      </c>
      <c r="C50" s="5" t="s">
        <v>19</v>
      </c>
      <c r="D50" s="5">
        <v>3509</v>
      </c>
      <c r="E50" s="5"/>
      <c r="F50" s="5">
        <f>$D50</f>
        <v>3509</v>
      </c>
      <c r="G50" s="5"/>
      <c r="H50" s="5">
        <v>3690.49</v>
      </c>
      <c r="I50" s="4">
        <v>0</v>
      </c>
      <c r="J50" s="4" t="s">
        <v>41</v>
      </c>
      <c r="K50" s="6" t="s">
        <v>42</v>
      </c>
      <c r="L50" s="6" t="s">
        <v>138</v>
      </c>
      <c r="R50" t="s">
        <v>139</v>
      </c>
    </row>
    <row r="51" spans="1:18" x14ac:dyDescent="0.2">
      <c r="A51" s="4" t="s">
        <v>140</v>
      </c>
      <c r="B51" s="4" t="s">
        <v>141</v>
      </c>
      <c r="C51" s="5" t="s">
        <v>34</v>
      </c>
      <c r="D51" s="5">
        <v>2000</v>
      </c>
      <c r="E51" s="5">
        <f>D51</f>
        <v>2000</v>
      </c>
      <c r="F51" s="5"/>
      <c r="G51" s="5"/>
      <c r="H51" s="5">
        <v>12003.61</v>
      </c>
      <c r="I51" s="4">
        <v>0</v>
      </c>
      <c r="J51" s="4" t="s">
        <v>35</v>
      </c>
      <c r="K51" s="6" t="s">
        <v>36</v>
      </c>
      <c r="L51" s="6" t="s">
        <v>142</v>
      </c>
      <c r="R51" t="s">
        <v>143</v>
      </c>
    </row>
    <row r="52" spans="1:18" x14ac:dyDescent="0.2">
      <c r="A52" s="4" t="s">
        <v>144</v>
      </c>
      <c r="B52" s="4" t="s">
        <v>141</v>
      </c>
      <c r="C52" s="5" t="s">
        <v>34</v>
      </c>
      <c r="D52" s="5">
        <v>10000</v>
      </c>
      <c r="E52" s="5"/>
      <c r="F52" s="5"/>
      <c r="G52" s="5">
        <f>$D52</f>
        <v>10000</v>
      </c>
      <c r="H52" s="5">
        <v>10003.61</v>
      </c>
      <c r="I52" s="4">
        <v>0</v>
      </c>
      <c r="J52" s="4" t="s">
        <v>35</v>
      </c>
      <c r="K52" s="6" t="s">
        <v>36</v>
      </c>
      <c r="L52" s="8" t="s">
        <v>145</v>
      </c>
      <c r="R52" t="s">
        <v>146</v>
      </c>
    </row>
    <row r="53" spans="1:18" x14ac:dyDescent="0.2">
      <c r="A53" s="4" t="s">
        <v>147</v>
      </c>
      <c r="B53" s="4" t="s">
        <v>148</v>
      </c>
      <c r="C53" s="5" t="s">
        <v>34</v>
      </c>
      <c r="D53" s="5">
        <v>3000</v>
      </c>
      <c r="E53" s="5">
        <f>D53</f>
        <v>3000</v>
      </c>
      <c r="F53" s="5"/>
      <c r="G53" s="5"/>
      <c r="H53" s="5">
        <v>11567.62</v>
      </c>
      <c r="I53" s="4">
        <v>0</v>
      </c>
      <c r="J53" s="4" t="s">
        <v>35</v>
      </c>
      <c r="K53" s="6" t="s">
        <v>36</v>
      </c>
      <c r="L53" s="6" t="s">
        <v>149</v>
      </c>
      <c r="R53" t="s">
        <v>150</v>
      </c>
    </row>
    <row r="54" spans="1:18" x14ac:dyDescent="0.2">
      <c r="A54" s="4" t="s">
        <v>151</v>
      </c>
      <c r="B54" s="4" t="s">
        <v>152</v>
      </c>
      <c r="C54" s="5" t="s">
        <v>34</v>
      </c>
      <c r="D54" s="5">
        <v>250</v>
      </c>
      <c r="E54" s="5"/>
      <c r="F54" s="5"/>
      <c r="G54" s="5"/>
      <c r="H54" s="5">
        <v>11477.12</v>
      </c>
      <c r="I54" s="4">
        <v>0</v>
      </c>
      <c r="J54" s="4" t="s">
        <v>35</v>
      </c>
      <c r="K54" s="6" t="s">
        <v>36</v>
      </c>
      <c r="L54" s="6" t="s">
        <v>153</v>
      </c>
      <c r="R54" t="s">
        <v>154</v>
      </c>
    </row>
    <row r="55" spans="1:18" x14ac:dyDescent="0.2">
      <c r="A55" s="4" t="s">
        <v>155</v>
      </c>
      <c r="B55" s="4" t="s">
        <v>156</v>
      </c>
      <c r="C55" s="5" t="s">
        <v>19</v>
      </c>
      <c r="D55" s="5">
        <v>250</v>
      </c>
      <c r="E55" s="5"/>
      <c r="F55" s="5"/>
      <c r="G55" s="5"/>
      <c r="H55" s="5">
        <v>18576.72</v>
      </c>
      <c r="I55" s="4">
        <v>0</v>
      </c>
      <c r="J55" s="4" t="s">
        <v>41</v>
      </c>
      <c r="K55" s="6" t="s">
        <v>42</v>
      </c>
      <c r="L55" s="6" t="s">
        <v>157</v>
      </c>
      <c r="R55" t="s">
        <v>158</v>
      </c>
    </row>
    <row r="56" spans="1:18" x14ac:dyDescent="0.2">
      <c r="A56" s="4" t="s">
        <v>159</v>
      </c>
      <c r="B56" s="4" t="s">
        <v>160</v>
      </c>
      <c r="C56" s="5" t="s">
        <v>19</v>
      </c>
      <c r="D56" s="5">
        <v>9000</v>
      </c>
      <c r="E56" s="5"/>
      <c r="F56" s="5"/>
      <c r="G56" s="5"/>
      <c r="H56" s="5">
        <v>20967.080000000002</v>
      </c>
      <c r="I56" s="4">
        <v>0</v>
      </c>
      <c r="J56" s="4" t="s">
        <v>41</v>
      </c>
      <c r="K56" s="6" t="s">
        <v>42</v>
      </c>
      <c r="L56" s="6" t="s">
        <v>161</v>
      </c>
      <c r="R56" t="s">
        <v>162</v>
      </c>
    </row>
    <row r="57" spans="1:18" x14ac:dyDescent="0.2">
      <c r="A57" s="4" t="s">
        <v>163</v>
      </c>
      <c r="B57" s="4" t="s">
        <v>164</v>
      </c>
      <c r="C57" s="5" t="s">
        <v>127</v>
      </c>
      <c r="D57" s="5">
        <v>10000</v>
      </c>
      <c r="E57" s="5"/>
      <c r="F57" s="5"/>
      <c r="G57" s="5"/>
      <c r="H57" s="5">
        <v>13422.08</v>
      </c>
      <c r="I57" s="4">
        <v>0</v>
      </c>
      <c r="J57" s="4" t="s">
        <v>128</v>
      </c>
      <c r="K57" s="6" t="s">
        <v>129</v>
      </c>
      <c r="L57" s="6" t="s">
        <v>165</v>
      </c>
      <c r="R57" t="s">
        <v>166</v>
      </c>
    </row>
    <row r="58" spans="1:18" x14ac:dyDescent="0.2">
      <c r="A58" s="4" t="s">
        <v>167</v>
      </c>
      <c r="B58" s="4" t="s">
        <v>168</v>
      </c>
      <c r="C58" s="5" t="s">
        <v>19</v>
      </c>
      <c r="D58" s="5">
        <v>3508</v>
      </c>
      <c r="E58" s="5"/>
      <c r="F58" s="5">
        <f>$D58</f>
        <v>3508</v>
      </c>
      <c r="G58" s="5"/>
      <c r="H58" s="5">
        <v>4707.1499999999996</v>
      </c>
      <c r="I58" s="4">
        <v>0</v>
      </c>
      <c r="J58" s="4" t="s">
        <v>41</v>
      </c>
      <c r="K58" s="6" t="s">
        <v>42</v>
      </c>
      <c r="L58" s="6" t="s">
        <v>169</v>
      </c>
      <c r="R58" t="s">
        <v>170</v>
      </c>
    </row>
    <row r="59" spans="1:18" x14ac:dyDescent="0.2">
      <c r="A59" s="4"/>
      <c r="B59" s="4"/>
      <c r="C59" s="5"/>
      <c r="D59" s="5"/>
      <c r="E59" s="5"/>
      <c r="F59" s="5"/>
      <c r="G59" s="5"/>
      <c r="H59" s="5"/>
      <c r="I59" s="4"/>
      <c r="J59" s="4"/>
      <c r="K59" s="6"/>
      <c r="L59" s="6"/>
    </row>
    <row r="60" spans="1:18" x14ac:dyDescent="0.2">
      <c r="A60" s="4" t="s">
        <v>171</v>
      </c>
      <c r="B60" s="4" t="s">
        <v>172</v>
      </c>
      <c r="C60" s="5" t="s">
        <v>34</v>
      </c>
      <c r="D60" s="5">
        <v>5000</v>
      </c>
      <c r="E60" s="5">
        <f>D60</f>
        <v>5000</v>
      </c>
      <c r="F60" s="5"/>
      <c r="G60" s="5"/>
      <c r="H60" s="5">
        <v>5491.97</v>
      </c>
      <c r="I60" s="4">
        <v>0</v>
      </c>
      <c r="J60" s="4" t="s">
        <v>35</v>
      </c>
      <c r="K60" s="6" t="s">
        <v>36</v>
      </c>
      <c r="L60" s="6" t="s">
        <v>173</v>
      </c>
      <c r="R60" t="s">
        <v>174</v>
      </c>
    </row>
    <row r="61" spans="1:18" x14ac:dyDescent="0.2">
      <c r="A61" s="4" t="s">
        <v>175</v>
      </c>
      <c r="B61" s="4" t="s">
        <v>172</v>
      </c>
      <c r="C61" s="5" t="s">
        <v>34</v>
      </c>
      <c r="D61" s="5">
        <v>450</v>
      </c>
      <c r="E61" s="5"/>
      <c r="F61" s="5"/>
      <c r="G61" s="5"/>
      <c r="H61" s="5">
        <v>491.97</v>
      </c>
      <c r="I61" s="4">
        <v>0</v>
      </c>
      <c r="J61" s="4" t="s">
        <v>35</v>
      </c>
      <c r="K61" s="6" t="s">
        <v>36</v>
      </c>
      <c r="L61" s="6" t="s">
        <v>176</v>
      </c>
      <c r="R61" t="s">
        <v>177</v>
      </c>
    </row>
    <row r="62" spans="1:18" x14ac:dyDescent="0.2">
      <c r="A62" s="4" t="s">
        <v>178</v>
      </c>
      <c r="B62" s="4" t="s">
        <v>172</v>
      </c>
      <c r="C62" s="5" t="s">
        <v>19</v>
      </c>
      <c r="D62" s="5">
        <v>600</v>
      </c>
      <c r="E62" s="5"/>
      <c r="F62" s="5"/>
      <c r="G62" s="5"/>
      <c r="H62" s="5">
        <v>639.80999999999995</v>
      </c>
      <c r="I62" s="4">
        <v>0</v>
      </c>
      <c r="J62" s="4" t="s">
        <v>41</v>
      </c>
      <c r="K62" s="6" t="s">
        <v>42</v>
      </c>
      <c r="L62" s="6" t="s">
        <v>179</v>
      </c>
      <c r="R62" t="s">
        <v>180</v>
      </c>
    </row>
    <row r="63" spans="1:18" x14ac:dyDescent="0.2">
      <c r="A63" s="4" t="s">
        <v>181</v>
      </c>
      <c r="B63" s="4" t="s">
        <v>182</v>
      </c>
      <c r="C63" s="5" t="s">
        <v>34</v>
      </c>
      <c r="D63" s="5">
        <v>800</v>
      </c>
      <c r="E63" s="5"/>
      <c r="F63" s="5"/>
      <c r="G63" s="5"/>
      <c r="H63" s="5">
        <v>1382.21</v>
      </c>
      <c r="I63" s="4">
        <v>0</v>
      </c>
      <c r="J63" s="4" t="s">
        <v>35</v>
      </c>
      <c r="K63" s="6" t="s">
        <v>36</v>
      </c>
      <c r="L63" s="6" t="s">
        <v>183</v>
      </c>
      <c r="R63" t="s">
        <v>184</v>
      </c>
    </row>
    <row r="64" spans="1:18" x14ac:dyDescent="0.2">
      <c r="A64" s="4" t="s">
        <v>185</v>
      </c>
      <c r="B64" s="4" t="s">
        <v>186</v>
      </c>
      <c r="C64" s="5" t="s">
        <v>34</v>
      </c>
      <c r="D64" s="5">
        <v>850</v>
      </c>
      <c r="E64" s="5"/>
      <c r="F64" s="5"/>
      <c r="G64" s="5"/>
      <c r="H64" s="5">
        <v>2732.51</v>
      </c>
      <c r="I64" s="4">
        <v>0</v>
      </c>
      <c r="J64" s="4" t="s">
        <v>35</v>
      </c>
      <c r="K64" s="6" t="s">
        <v>36</v>
      </c>
      <c r="L64" s="6" t="s">
        <v>187</v>
      </c>
      <c r="R64" t="s">
        <v>188</v>
      </c>
    </row>
    <row r="65" spans="1:18" x14ac:dyDescent="0.2">
      <c r="A65" s="4" t="s">
        <v>189</v>
      </c>
      <c r="B65" s="4" t="s">
        <v>186</v>
      </c>
      <c r="C65" s="5" t="s">
        <v>34</v>
      </c>
      <c r="D65" s="5">
        <v>200</v>
      </c>
      <c r="E65" s="5"/>
      <c r="F65" s="5"/>
      <c r="G65" s="5"/>
      <c r="H65" s="5">
        <v>1882.51</v>
      </c>
      <c r="I65" s="4">
        <v>0</v>
      </c>
      <c r="J65" s="4" t="s">
        <v>35</v>
      </c>
      <c r="K65" s="6" t="s">
        <v>36</v>
      </c>
      <c r="L65" s="6" t="s">
        <v>190</v>
      </c>
      <c r="R65" t="s">
        <v>191</v>
      </c>
    </row>
    <row r="66" spans="1:18" x14ac:dyDescent="0.2">
      <c r="A66" s="4" t="s">
        <v>192</v>
      </c>
      <c r="B66" s="4" t="s">
        <v>193</v>
      </c>
      <c r="C66" s="5" t="s">
        <v>34</v>
      </c>
      <c r="D66" s="5">
        <v>3000</v>
      </c>
      <c r="E66" s="5">
        <f>D66</f>
        <v>3000</v>
      </c>
      <c r="F66" s="5"/>
      <c r="G66" s="5"/>
      <c r="H66" s="5">
        <v>3038.51</v>
      </c>
      <c r="I66" s="4">
        <v>0</v>
      </c>
      <c r="J66" s="4" t="s">
        <v>35</v>
      </c>
      <c r="K66" s="6" t="s">
        <v>36</v>
      </c>
      <c r="L66" s="6" t="s">
        <v>194</v>
      </c>
      <c r="R66" t="s">
        <v>195</v>
      </c>
    </row>
    <row r="67" spans="1:18" x14ac:dyDescent="0.2">
      <c r="A67" s="4" t="s">
        <v>196</v>
      </c>
      <c r="B67" s="4" t="s">
        <v>197</v>
      </c>
      <c r="C67" s="5" t="s">
        <v>127</v>
      </c>
      <c r="D67" s="5">
        <v>6000</v>
      </c>
      <c r="E67" s="5"/>
      <c r="F67" s="5"/>
      <c r="G67" s="5"/>
      <c r="H67" s="5">
        <v>6089.54</v>
      </c>
      <c r="I67" s="4">
        <v>0</v>
      </c>
      <c r="J67" s="4" t="s">
        <v>128</v>
      </c>
      <c r="K67" s="6" t="s">
        <v>129</v>
      </c>
      <c r="L67" s="6" t="s">
        <v>198</v>
      </c>
      <c r="R67" t="s">
        <v>199</v>
      </c>
    </row>
    <row r="68" spans="1:18" x14ac:dyDescent="0.2">
      <c r="A68" s="4" t="s">
        <v>200</v>
      </c>
      <c r="B68" s="4" t="s">
        <v>201</v>
      </c>
      <c r="C68" s="5" t="s">
        <v>19</v>
      </c>
      <c r="D68" s="5">
        <v>3500</v>
      </c>
      <c r="E68" s="5"/>
      <c r="F68" s="5">
        <f>$D68</f>
        <v>3500</v>
      </c>
      <c r="G68" s="5"/>
      <c r="H68" s="5">
        <v>3504.57</v>
      </c>
      <c r="I68" s="4">
        <v>0</v>
      </c>
      <c r="J68" s="4" t="s">
        <v>41</v>
      </c>
      <c r="K68" s="6" t="s">
        <v>42</v>
      </c>
      <c r="L68" s="6" t="s">
        <v>202</v>
      </c>
      <c r="R68" t="s">
        <v>203</v>
      </c>
    </row>
    <row r="69" spans="1:18" x14ac:dyDescent="0.2">
      <c r="A69" s="4"/>
      <c r="B69" s="4"/>
      <c r="C69" s="5"/>
      <c r="D69" s="5"/>
      <c r="E69" s="5"/>
      <c r="F69" s="5"/>
      <c r="G69" s="5"/>
      <c r="H69" s="5"/>
      <c r="I69" s="4"/>
      <c r="J69" s="4"/>
      <c r="K69" s="6"/>
      <c r="L69" s="6"/>
    </row>
    <row r="70" spans="1:18" x14ac:dyDescent="0.2">
      <c r="A70" s="4" t="s">
        <v>204</v>
      </c>
      <c r="B70" s="4" t="s">
        <v>205</v>
      </c>
      <c r="C70" s="5" t="s">
        <v>34</v>
      </c>
      <c r="D70" s="5">
        <v>2000</v>
      </c>
      <c r="E70" s="5">
        <f>D70</f>
        <v>2000</v>
      </c>
      <c r="F70" s="5"/>
      <c r="G70" s="5"/>
      <c r="H70" s="5">
        <v>2005.04</v>
      </c>
      <c r="I70" s="4">
        <v>0</v>
      </c>
      <c r="J70" s="4" t="s">
        <v>35</v>
      </c>
      <c r="K70" s="6" t="s">
        <v>36</v>
      </c>
      <c r="L70" s="6" t="s">
        <v>206</v>
      </c>
      <c r="R70" t="s">
        <v>207</v>
      </c>
    </row>
    <row r="71" spans="1:18" x14ac:dyDescent="0.2">
      <c r="A71" s="4" t="s">
        <v>208</v>
      </c>
      <c r="B71" s="4" t="s">
        <v>209</v>
      </c>
      <c r="C71" s="5" t="s">
        <v>34</v>
      </c>
      <c r="D71" s="5">
        <v>1000</v>
      </c>
      <c r="E71" s="5"/>
      <c r="F71" s="5"/>
      <c r="G71" s="5"/>
      <c r="H71" s="5">
        <v>3779.57</v>
      </c>
      <c r="I71" s="4">
        <v>0</v>
      </c>
      <c r="J71" s="4" t="s">
        <v>35</v>
      </c>
      <c r="K71" s="6" t="s">
        <v>36</v>
      </c>
      <c r="L71" s="6" t="s">
        <v>210</v>
      </c>
      <c r="R71" t="s">
        <v>211</v>
      </c>
    </row>
    <row r="72" spans="1:18" x14ac:dyDescent="0.2">
      <c r="A72" s="4" t="s">
        <v>212</v>
      </c>
      <c r="B72" s="4" t="s">
        <v>213</v>
      </c>
      <c r="C72" s="5" t="s">
        <v>34</v>
      </c>
      <c r="D72" s="5">
        <v>3400</v>
      </c>
      <c r="E72" s="5">
        <f>D72</f>
        <v>3400</v>
      </c>
      <c r="F72" s="5"/>
      <c r="G72" s="5"/>
      <c r="H72" s="5">
        <v>6182.24</v>
      </c>
      <c r="I72" s="4">
        <v>0</v>
      </c>
      <c r="J72" s="4" t="s">
        <v>35</v>
      </c>
      <c r="K72" s="6" t="s">
        <v>36</v>
      </c>
      <c r="L72" s="6" t="s">
        <v>214</v>
      </c>
      <c r="R72" t="s">
        <v>215</v>
      </c>
    </row>
    <row r="73" spans="1:18" x14ac:dyDescent="0.2">
      <c r="A73" s="4" t="s">
        <v>216</v>
      </c>
      <c r="B73" s="4" t="s">
        <v>213</v>
      </c>
      <c r="C73" s="5" t="s">
        <v>34</v>
      </c>
      <c r="D73" s="5">
        <v>3000</v>
      </c>
      <c r="E73" s="5">
        <f>D73</f>
        <v>3000</v>
      </c>
      <c r="F73" s="5"/>
      <c r="G73" s="5"/>
      <c r="H73" s="5">
        <v>3032.24</v>
      </c>
      <c r="I73" s="4">
        <v>0</v>
      </c>
      <c r="J73" s="4" t="s">
        <v>35</v>
      </c>
      <c r="K73" s="6" t="s">
        <v>36</v>
      </c>
      <c r="L73" s="6" t="s">
        <v>217</v>
      </c>
      <c r="R73" t="s">
        <v>218</v>
      </c>
    </row>
    <row r="74" spans="1:18" x14ac:dyDescent="0.2">
      <c r="A74" s="4" t="s">
        <v>219</v>
      </c>
      <c r="B74" s="4" t="s">
        <v>220</v>
      </c>
      <c r="C74" s="5" t="s">
        <v>34</v>
      </c>
      <c r="D74" s="5">
        <v>2000</v>
      </c>
      <c r="E74" s="5">
        <f>D74</f>
        <v>2000</v>
      </c>
      <c r="F74" s="5"/>
      <c r="G74" s="5"/>
      <c r="H74" s="5">
        <v>2015.93</v>
      </c>
      <c r="I74" s="4">
        <v>0</v>
      </c>
      <c r="J74" s="4" t="s">
        <v>35</v>
      </c>
      <c r="K74" s="6" t="s">
        <v>36</v>
      </c>
      <c r="L74" s="6" t="s">
        <v>221</v>
      </c>
      <c r="R74" t="s">
        <v>222</v>
      </c>
    </row>
    <row r="75" spans="1:18" x14ac:dyDescent="0.2">
      <c r="A75" s="4" t="s">
        <v>223</v>
      </c>
      <c r="B75" s="4" t="s">
        <v>224</v>
      </c>
      <c r="C75" s="5" t="s">
        <v>19</v>
      </c>
      <c r="D75" s="5">
        <v>500</v>
      </c>
      <c r="E75" s="5"/>
      <c r="F75" s="5"/>
      <c r="G75" s="5"/>
      <c r="H75" s="5">
        <v>551.92999999999995</v>
      </c>
      <c r="I75" s="4">
        <v>0</v>
      </c>
      <c r="J75" s="4" t="s">
        <v>41</v>
      </c>
      <c r="K75" s="6" t="s">
        <v>42</v>
      </c>
      <c r="L75" s="6" t="s">
        <v>225</v>
      </c>
      <c r="R75" t="s">
        <v>226</v>
      </c>
    </row>
    <row r="76" spans="1:18" x14ac:dyDescent="0.2">
      <c r="A76" s="4" t="s">
        <v>227</v>
      </c>
      <c r="B76" s="4" t="s">
        <v>224</v>
      </c>
      <c r="C76" s="5" t="s">
        <v>19</v>
      </c>
      <c r="D76" s="5">
        <v>3500</v>
      </c>
      <c r="E76" s="5"/>
      <c r="F76" s="5">
        <f>$D76</f>
        <v>3500</v>
      </c>
      <c r="G76" s="5"/>
      <c r="H76" s="5">
        <v>5544.6</v>
      </c>
      <c r="I76" s="4">
        <v>0</v>
      </c>
      <c r="J76" s="4" t="s">
        <v>41</v>
      </c>
      <c r="K76" s="6" t="s">
        <v>42</v>
      </c>
      <c r="L76" s="6" t="s">
        <v>228</v>
      </c>
      <c r="R76" t="s">
        <v>229</v>
      </c>
    </row>
    <row r="77" spans="1:18" x14ac:dyDescent="0.2">
      <c r="A77" s="4"/>
      <c r="B77" s="4"/>
      <c r="C77" s="5"/>
      <c r="D77" s="5"/>
      <c r="E77" s="5"/>
      <c r="F77" s="5"/>
      <c r="G77" s="5"/>
      <c r="H77" s="5"/>
      <c r="I77" s="4"/>
      <c r="J77" s="4"/>
      <c r="K77" s="6"/>
      <c r="L77" s="6"/>
    </row>
    <row r="78" spans="1:18" x14ac:dyDescent="0.2">
      <c r="A78" s="4" t="s">
        <v>230</v>
      </c>
      <c r="B78" s="4" t="s">
        <v>231</v>
      </c>
      <c r="C78" s="5" t="s">
        <v>34</v>
      </c>
      <c r="D78" s="5">
        <v>2000</v>
      </c>
      <c r="E78" s="5">
        <f>D78</f>
        <v>2000</v>
      </c>
      <c r="F78" s="5"/>
      <c r="G78" s="5"/>
      <c r="H78" s="5">
        <v>6818.27</v>
      </c>
      <c r="I78" s="4">
        <v>0</v>
      </c>
      <c r="J78" s="4" t="s">
        <v>35</v>
      </c>
      <c r="K78" s="6" t="s">
        <v>36</v>
      </c>
      <c r="L78" s="6" t="s">
        <v>232</v>
      </c>
      <c r="R78" t="s">
        <v>233</v>
      </c>
    </row>
    <row r="79" spans="1:18" x14ac:dyDescent="0.2">
      <c r="A79" s="4" t="s">
        <v>234</v>
      </c>
      <c r="B79" s="4" t="s">
        <v>235</v>
      </c>
      <c r="C79" s="5" t="s">
        <v>127</v>
      </c>
      <c r="D79" s="5">
        <v>1900</v>
      </c>
      <c r="E79" s="5"/>
      <c r="F79" s="5"/>
      <c r="G79" s="5"/>
      <c r="H79" s="5">
        <v>24400.94</v>
      </c>
      <c r="I79" s="4">
        <v>0</v>
      </c>
      <c r="J79" s="4" t="s">
        <v>128</v>
      </c>
      <c r="K79" s="6" t="s">
        <v>129</v>
      </c>
      <c r="L79" s="6" t="s">
        <v>165</v>
      </c>
      <c r="R79" t="s">
        <v>236</v>
      </c>
    </row>
    <row r="80" spans="1:18" x14ac:dyDescent="0.2">
      <c r="A80" s="4" t="s">
        <v>237</v>
      </c>
      <c r="B80" s="4" t="s">
        <v>235</v>
      </c>
      <c r="C80" s="5" t="s">
        <v>127</v>
      </c>
      <c r="D80" s="5">
        <v>17600</v>
      </c>
      <c r="E80" s="5"/>
      <c r="F80" s="5"/>
      <c r="G80" s="5"/>
      <c r="H80" s="5">
        <v>22500.94</v>
      </c>
      <c r="I80" s="4">
        <v>0</v>
      </c>
      <c r="J80" s="4" t="s">
        <v>128</v>
      </c>
      <c r="K80" s="6" t="s">
        <v>129</v>
      </c>
      <c r="L80" s="6" t="s">
        <v>165</v>
      </c>
      <c r="R80" t="s">
        <v>238</v>
      </c>
    </row>
    <row r="81" spans="1:18" x14ac:dyDescent="0.2">
      <c r="A81" s="4" t="s">
        <v>239</v>
      </c>
      <c r="B81" s="4" t="s">
        <v>231</v>
      </c>
      <c r="C81" s="5" t="s">
        <v>34</v>
      </c>
      <c r="D81" s="5">
        <v>500</v>
      </c>
      <c r="E81" s="5"/>
      <c r="F81" s="5"/>
      <c r="G81" s="5"/>
      <c r="H81" s="5">
        <v>6580.26</v>
      </c>
      <c r="I81" s="4">
        <v>0</v>
      </c>
      <c r="J81" s="4" t="s">
        <v>35</v>
      </c>
      <c r="K81" s="6" t="s">
        <v>36</v>
      </c>
      <c r="L81" s="6" t="s">
        <v>240</v>
      </c>
      <c r="R81" t="s">
        <v>241</v>
      </c>
    </row>
    <row r="82" spans="1:18" x14ac:dyDescent="0.2">
      <c r="A82" s="4" t="s">
        <v>242</v>
      </c>
      <c r="B82" s="4" t="s">
        <v>243</v>
      </c>
      <c r="C82" s="5" t="s">
        <v>19</v>
      </c>
      <c r="D82" s="5">
        <v>3500</v>
      </c>
      <c r="E82" s="5"/>
      <c r="F82" s="5">
        <f>$D82</f>
        <v>3500</v>
      </c>
      <c r="G82" s="5"/>
      <c r="H82" s="5">
        <v>6607.73</v>
      </c>
      <c r="I82" s="4">
        <v>0</v>
      </c>
      <c r="J82" s="4" t="s">
        <v>41</v>
      </c>
      <c r="K82" s="6" t="s">
        <v>42</v>
      </c>
      <c r="L82" s="6" t="s">
        <v>244</v>
      </c>
      <c r="R82" t="s">
        <v>245</v>
      </c>
    </row>
    <row r="83" spans="1:18" x14ac:dyDescent="0.2">
      <c r="A83" s="4" t="s">
        <v>246</v>
      </c>
      <c r="B83" s="4" t="s">
        <v>247</v>
      </c>
      <c r="C83" s="5" t="s">
        <v>34</v>
      </c>
      <c r="D83" s="5">
        <v>1317</v>
      </c>
      <c r="E83" s="5"/>
      <c r="F83" s="5"/>
      <c r="G83" s="5"/>
      <c r="H83" s="5">
        <v>9544.7099999999991</v>
      </c>
      <c r="I83" s="4">
        <v>0</v>
      </c>
      <c r="J83" s="4" t="s">
        <v>35</v>
      </c>
      <c r="K83" s="6" t="s">
        <v>36</v>
      </c>
      <c r="L83" s="6" t="s">
        <v>248</v>
      </c>
      <c r="R83" t="s">
        <v>249</v>
      </c>
    </row>
    <row r="84" spans="1:18" x14ac:dyDescent="0.2">
      <c r="A84" s="4" t="s">
        <v>250</v>
      </c>
      <c r="B84" s="4" t="s">
        <v>251</v>
      </c>
      <c r="C84" s="5" t="s">
        <v>34</v>
      </c>
      <c r="D84" s="5">
        <v>3000</v>
      </c>
      <c r="E84" s="5">
        <f>D84</f>
        <v>3000</v>
      </c>
      <c r="F84" s="5"/>
      <c r="G84" s="5"/>
      <c r="H84" s="5">
        <v>17506.759999999998</v>
      </c>
      <c r="I84" s="4">
        <v>0</v>
      </c>
      <c r="J84" s="4" t="s">
        <v>35</v>
      </c>
      <c r="K84" s="6" t="s">
        <v>36</v>
      </c>
      <c r="L84" s="6" t="s">
        <v>252</v>
      </c>
      <c r="R84" t="s">
        <v>253</v>
      </c>
    </row>
    <row r="85" spans="1:18" x14ac:dyDescent="0.2">
      <c r="A85" s="4" t="s">
        <v>254</v>
      </c>
      <c r="B85" s="4" t="s">
        <v>255</v>
      </c>
      <c r="C85" s="5" t="s">
        <v>19</v>
      </c>
      <c r="D85" s="5">
        <v>15000</v>
      </c>
      <c r="E85" s="5"/>
      <c r="F85" s="5"/>
      <c r="G85" s="5"/>
      <c r="H85" s="5">
        <v>16275.76</v>
      </c>
      <c r="I85" s="4">
        <v>0</v>
      </c>
      <c r="J85" s="4" t="s">
        <v>41</v>
      </c>
      <c r="K85" s="6" t="s">
        <v>42</v>
      </c>
      <c r="L85" s="6" t="s">
        <v>256</v>
      </c>
      <c r="R85" t="s">
        <v>257</v>
      </c>
    </row>
    <row r="86" spans="1:18" x14ac:dyDescent="0.2">
      <c r="A86" s="4" t="s">
        <v>258</v>
      </c>
      <c r="B86" s="4" t="s">
        <v>259</v>
      </c>
      <c r="C86" s="5" t="s">
        <v>19</v>
      </c>
      <c r="D86" s="5">
        <v>2800</v>
      </c>
      <c r="E86" s="5">
        <f>D86</f>
        <v>2800</v>
      </c>
      <c r="F86" s="5"/>
      <c r="G86" s="5"/>
      <c r="H86" s="5">
        <v>4861.26</v>
      </c>
      <c r="I86" s="4">
        <v>0</v>
      </c>
      <c r="J86" s="4" t="s">
        <v>41</v>
      </c>
      <c r="K86" s="6" t="s">
        <v>42</v>
      </c>
      <c r="L86" s="6" t="s">
        <v>260</v>
      </c>
      <c r="R86" t="s">
        <v>261</v>
      </c>
    </row>
    <row r="87" spans="1:18" x14ac:dyDescent="0.2">
      <c r="A87" s="4" t="s">
        <v>262</v>
      </c>
      <c r="B87" s="4" t="s">
        <v>259</v>
      </c>
      <c r="C87" s="5" t="s">
        <v>34</v>
      </c>
      <c r="D87" s="5">
        <v>1381</v>
      </c>
      <c r="E87" s="5"/>
      <c r="F87" s="5"/>
      <c r="G87" s="5">
        <f>$D87</f>
        <v>1381</v>
      </c>
      <c r="H87" s="5">
        <v>2189.25</v>
      </c>
      <c r="I87" s="4">
        <v>0</v>
      </c>
      <c r="J87" s="4" t="s">
        <v>35</v>
      </c>
      <c r="K87" s="6" t="s">
        <v>36</v>
      </c>
      <c r="L87" s="6" t="s">
        <v>263</v>
      </c>
      <c r="R87" t="s">
        <v>264</v>
      </c>
    </row>
    <row r="88" spans="1:18" x14ac:dyDescent="0.2">
      <c r="A88" s="4" t="s">
        <v>265</v>
      </c>
      <c r="B88" s="4" t="s">
        <v>266</v>
      </c>
      <c r="C88" s="5" t="s">
        <v>34</v>
      </c>
      <c r="D88" s="5">
        <v>5000</v>
      </c>
      <c r="E88" s="5">
        <f>D88</f>
        <v>5000</v>
      </c>
      <c r="F88" s="5"/>
      <c r="G88" s="5"/>
      <c r="H88" s="5">
        <v>16220.92</v>
      </c>
      <c r="I88" s="4">
        <v>0</v>
      </c>
      <c r="J88" s="4" t="s">
        <v>35</v>
      </c>
      <c r="K88" s="6" t="s">
        <v>36</v>
      </c>
      <c r="L88" s="6" t="s">
        <v>267</v>
      </c>
      <c r="R88" t="s">
        <v>268</v>
      </c>
    </row>
    <row r="89" spans="1:18" x14ac:dyDescent="0.2">
      <c r="A89" s="4" t="s">
        <v>269</v>
      </c>
      <c r="B89" s="4" t="s">
        <v>266</v>
      </c>
      <c r="C89" s="5" t="s">
        <v>19</v>
      </c>
      <c r="D89" s="5">
        <v>10000</v>
      </c>
      <c r="E89" s="5">
        <f>D89</f>
        <v>10000</v>
      </c>
      <c r="F89" s="5"/>
      <c r="G89" s="5"/>
      <c r="H89" s="5">
        <v>11220.92</v>
      </c>
      <c r="I89" s="4">
        <v>0</v>
      </c>
      <c r="J89" s="4" t="s">
        <v>41</v>
      </c>
      <c r="K89" s="6" t="s">
        <v>42</v>
      </c>
      <c r="L89" s="6" t="s">
        <v>270</v>
      </c>
      <c r="R89" t="s">
        <v>271</v>
      </c>
    </row>
    <row r="90" spans="1:18" x14ac:dyDescent="0.2">
      <c r="A90" s="4"/>
      <c r="B90" s="4"/>
      <c r="C90" s="5"/>
      <c r="D90" s="5"/>
      <c r="E90" s="5"/>
      <c r="F90" s="5"/>
      <c r="G90" s="5"/>
      <c r="H90" s="5"/>
      <c r="I90" s="4"/>
      <c r="J90" s="4"/>
      <c r="K90" s="6"/>
      <c r="L90" s="6"/>
    </row>
    <row r="91" spans="1:18" x14ac:dyDescent="0.2">
      <c r="A91" s="4" t="s">
        <v>272</v>
      </c>
      <c r="B91" s="4" t="s">
        <v>273</v>
      </c>
      <c r="C91" s="5" t="s">
        <v>19</v>
      </c>
      <c r="D91" s="5">
        <v>3500</v>
      </c>
      <c r="E91" s="5"/>
      <c r="F91" s="5">
        <f>$D91</f>
        <v>3500</v>
      </c>
      <c r="G91" s="5"/>
      <c r="H91" s="5">
        <v>4846.88</v>
      </c>
      <c r="I91" s="4">
        <v>0</v>
      </c>
      <c r="J91" s="4" t="s">
        <v>41</v>
      </c>
      <c r="K91" s="6" t="s">
        <v>42</v>
      </c>
      <c r="L91" s="6" t="s">
        <v>274</v>
      </c>
      <c r="R91" t="s">
        <v>275</v>
      </c>
    </row>
    <row r="92" spans="1:18" x14ac:dyDescent="0.2">
      <c r="A92" s="4" t="s">
        <v>276</v>
      </c>
      <c r="B92" s="4" t="s">
        <v>273</v>
      </c>
      <c r="C92" s="5" t="s">
        <v>34</v>
      </c>
      <c r="D92" s="5">
        <v>2000</v>
      </c>
      <c r="E92" s="5">
        <f>D92</f>
        <v>2000</v>
      </c>
      <c r="F92" s="5"/>
      <c r="G92" s="5"/>
      <c r="H92" s="5">
        <v>2000.55</v>
      </c>
      <c r="I92" s="4">
        <v>0</v>
      </c>
      <c r="J92" s="4" t="s">
        <v>35</v>
      </c>
      <c r="K92" s="6" t="s">
        <v>36</v>
      </c>
      <c r="L92" s="6" t="s">
        <v>277</v>
      </c>
      <c r="R92" t="s">
        <v>278</v>
      </c>
    </row>
    <row r="93" spans="1:18" x14ac:dyDescent="0.2">
      <c r="A93" s="4" t="s">
        <v>279</v>
      </c>
      <c r="B93" s="4" t="s">
        <v>280</v>
      </c>
      <c r="C93" s="5" t="s">
        <v>34</v>
      </c>
      <c r="D93" s="5">
        <v>1200</v>
      </c>
      <c r="E93" s="5">
        <f>D93</f>
        <v>1200</v>
      </c>
      <c r="F93" s="5"/>
      <c r="G93" s="5"/>
      <c r="H93" s="5">
        <v>1486.37</v>
      </c>
      <c r="I93" s="4">
        <v>0</v>
      </c>
      <c r="J93" s="4" t="s">
        <v>35</v>
      </c>
      <c r="K93" s="6" t="s">
        <v>36</v>
      </c>
      <c r="L93" s="6" t="s">
        <v>281</v>
      </c>
      <c r="R93" t="s">
        <v>282</v>
      </c>
    </row>
    <row r="94" spans="1:18" x14ac:dyDescent="0.2">
      <c r="A94" s="4" t="s">
        <v>283</v>
      </c>
      <c r="B94" s="4" t="s">
        <v>284</v>
      </c>
      <c r="C94" s="5" t="s">
        <v>34</v>
      </c>
      <c r="D94" s="5">
        <v>800</v>
      </c>
      <c r="E94" s="5"/>
      <c r="F94" s="5"/>
      <c r="G94" s="5"/>
      <c r="H94" s="5">
        <v>1500.37</v>
      </c>
      <c r="I94" s="4">
        <v>0</v>
      </c>
      <c r="J94" s="4" t="s">
        <v>35</v>
      </c>
      <c r="K94" s="6" t="s">
        <v>36</v>
      </c>
      <c r="L94" s="6" t="s">
        <v>285</v>
      </c>
      <c r="R94" t="s">
        <v>286</v>
      </c>
    </row>
    <row r="95" spans="1:18" x14ac:dyDescent="0.2">
      <c r="A95" s="4" t="s">
        <v>287</v>
      </c>
      <c r="B95" s="4" t="s">
        <v>288</v>
      </c>
      <c r="C95" s="5" t="s">
        <v>34</v>
      </c>
      <c r="D95" s="5">
        <v>190</v>
      </c>
      <c r="E95" s="5"/>
      <c r="F95" s="5"/>
      <c r="G95" s="5"/>
      <c r="H95" s="5">
        <v>2695.55</v>
      </c>
      <c r="I95" s="4">
        <v>0</v>
      </c>
      <c r="J95" s="4" t="s">
        <v>35</v>
      </c>
      <c r="K95" s="6" t="s">
        <v>36</v>
      </c>
      <c r="L95" s="6" t="s">
        <v>289</v>
      </c>
      <c r="R95" t="s">
        <v>290</v>
      </c>
    </row>
    <row r="96" spans="1:18" x14ac:dyDescent="0.2">
      <c r="A96" s="4" t="s">
        <v>291</v>
      </c>
      <c r="B96" s="4" t="s">
        <v>292</v>
      </c>
      <c r="C96" s="5" t="s">
        <v>34</v>
      </c>
      <c r="D96" s="5">
        <v>5000</v>
      </c>
      <c r="E96" s="5">
        <f>D96</f>
        <v>5000</v>
      </c>
      <c r="F96" s="5"/>
      <c r="G96" s="5"/>
      <c r="H96" s="5">
        <v>5700</v>
      </c>
      <c r="I96" s="4">
        <v>0</v>
      </c>
      <c r="J96" s="4" t="s">
        <v>35</v>
      </c>
      <c r="K96" s="6" t="s">
        <v>36</v>
      </c>
      <c r="L96" s="6" t="s">
        <v>293</v>
      </c>
      <c r="R96" t="s">
        <v>294</v>
      </c>
    </row>
    <row r="97" spans="1:18" x14ac:dyDescent="0.2">
      <c r="A97" s="4" t="s">
        <v>295</v>
      </c>
      <c r="B97" s="4" t="s">
        <v>296</v>
      </c>
      <c r="C97" s="5" t="s">
        <v>34</v>
      </c>
      <c r="D97" s="5">
        <v>700</v>
      </c>
      <c r="E97" s="5"/>
      <c r="F97" s="5"/>
      <c r="G97" s="5"/>
      <c r="H97" s="5">
        <v>700</v>
      </c>
      <c r="I97" s="4">
        <v>0</v>
      </c>
      <c r="J97" s="4" t="s">
        <v>35</v>
      </c>
      <c r="K97" s="6" t="s">
        <v>36</v>
      </c>
      <c r="L97" s="6" t="s">
        <v>297</v>
      </c>
      <c r="R97" t="s">
        <v>298</v>
      </c>
    </row>
    <row r="98" spans="1:18" x14ac:dyDescent="0.2">
      <c r="A98" s="4" t="s">
        <v>299</v>
      </c>
      <c r="B98" s="4" t="s">
        <v>300</v>
      </c>
      <c r="C98" s="5" t="s">
        <v>34</v>
      </c>
      <c r="D98" s="5">
        <v>1500</v>
      </c>
      <c r="E98" s="5">
        <f>D98</f>
        <v>1500</v>
      </c>
      <c r="F98" s="5"/>
      <c r="G98" s="5"/>
      <c r="H98" s="5">
        <v>1501.42</v>
      </c>
      <c r="I98" s="4">
        <v>0</v>
      </c>
      <c r="J98" s="4" t="s">
        <v>35</v>
      </c>
      <c r="K98" s="6" t="s">
        <v>36</v>
      </c>
      <c r="L98" s="6" t="s">
        <v>301</v>
      </c>
      <c r="R98" t="s">
        <v>302</v>
      </c>
    </row>
    <row r="99" spans="1:18" x14ac:dyDescent="0.2">
      <c r="A99" s="4" t="s">
        <v>303</v>
      </c>
      <c r="B99" s="4" t="s">
        <v>304</v>
      </c>
      <c r="C99" s="5" t="s">
        <v>34</v>
      </c>
      <c r="D99" s="5">
        <v>1500</v>
      </c>
      <c r="E99" s="5">
        <f>D99</f>
        <v>1500</v>
      </c>
      <c r="F99" s="5"/>
      <c r="G99" s="5"/>
      <c r="H99" s="5">
        <v>1795.42</v>
      </c>
      <c r="I99" s="4">
        <v>0</v>
      </c>
      <c r="J99" s="4" t="s">
        <v>35</v>
      </c>
      <c r="K99" s="6" t="s">
        <v>36</v>
      </c>
      <c r="L99" s="6" t="s">
        <v>305</v>
      </c>
      <c r="R99" t="s">
        <v>306</v>
      </c>
    </row>
    <row r="100" spans="1:18" x14ac:dyDescent="0.2">
      <c r="A100" s="4"/>
      <c r="B100" s="4"/>
      <c r="C100" s="5"/>
      <c r="D100" s="5"/>
      <c r="E100" s="5"/>
      <c r="F100" s="5"/>
      <c r="G100" s="5"/>
      <c r="H100" s="5"/>
      <c r="I100" s="4"/>
      <c r="J100" s="4"/>
      <c r="K100" s="6"/>
      <c r="L100" s="6"/>
    </row>
    <row r="101" spans="1:18" x14ac:dyDescent="0.2">
      <c r="A101" s="4" t="s">
        <v>307</v>
      </c>
      <c r="B101" s="4" t="s">
        <v>308</v>
      </c>
      <c r="C101" s="5" t="s">
        <v>34</v>
      </c>
      <c r="D101" s="5">
        <v>200</v>
      </c>
      <c r="E101" s="5"/>
      <c r="F101" s="5"/>
      <c r="G101" s="5"/>
      <c r="H101" s="5">
        <v>32356.09</v>
      </c>
      <c r="I101" s="4">
        <v>0</v>
      </c>
      <c r="J101" s="4" t="s">
        <v>35</v>
      </c>
      <c r="K101" s="6" t="s">
        <v>36</v>
      </c>
      <c r="L101" s="6" t="s">
        <v>309</v>
      </c>
      <c r="R101" t="s">
        <v>310</v>
      </c>
    </row>
    <row r="102" spans="1:18" x14ac:dyDescent="0.2">
      <c r="A102" s="4" t="s">
        <v>311</v>
      </c>
      <c r="B102" s="4" t="s">
        <v>308</v>
      </c>
      <c r="C102" s="5" t="s">
        <v>19</v>
      </c>
      <c r="D102" s="5">
        <v>1000</v>
      </c>
      <c r="E102" s="5"/>
      <c r="F102" s="5">
        <f>$D102</f>
        <v>1000</v>
      </c>
      <c r="G102" s="5"/>
      <c r="H102" s="5">
        <v>32156.09</v>
      </c>
      <c r="I102" s="4">
        <v>0</v>
      </c>
      <c r="J102" s="4" t="s">
        <v>41</v>
      </c>
      <c r="K102" s="6" t="s">
        <v>42</v>
      </c>
      <c r="L102" s="6" t="s">
        <v>312</v>
      </c>
      <c r="R102" t="s">
        <v>313</v>
      </c>
    </row>
    <row r="103" spans="1:18" x14ac:dyDescent="0.2">
      <c r="A103" s="4" t="s">
        <v>314</v>
      </c>
      <c r="B103" s="4" t="s">
        <v>308</v>
      </c>
      <c r="C103" s="5" t="s">
        <v>19</v>
      </c>
      <c r="D103" s="5">
        <v>3500</v>
      </c>
      <c r="E103" s="5"/>
      <c r="F103" s="5">
        <f>$D103</f>
        <v>3500</v>
      </c>
      <c r="G103" s="5"/>
      <c r="H103" s="5">
        <v>31156.09</v>
      </c>
      <c r="I103" s="4">
        <v>0</v>
      </c>
      <c r="J103" s="4" t="s">
        <v>41</v>
      </c>
      <c r="K103" s="6" t="s">
        <v>42</v>
      </c>
      <c r="L103" s="6" t="s">
        <v>315</v>
      </c>
      <c r="R103" t="s">
        <v>316</v>
      </c>
    </row>
    <row r="104" spans="1:18" x14ac:dyDescent="0.2">
      <c r="A104" s="4" t="s">
        <v>317</v>
      </c>
      <c r="B104" s="4" t="s">
        <v>318</v>
      </c>
      <c r="C104" s="5" t="s">
        <v>34</v>
      </c>
      <c r="D104" s="5">
        <v>6540</v>
      </c>
      <c r="E104" s="5"/>
      <c r="F104" s="5"/>
      <c r="G104" s="5"/>
      <c r="H104" s="5">
        <v>35587.57</v>
      </c>
      <c r="I104" s="4">
        <v>0</v>
      </c>
      <c r="J104" s="4" t="s">
        <v>35</v>
      </c>
      <c r="K104" s="6" t="s">
        <v>36</v>
      </c>
      <c r="L104" s="6" t="s">
        <v>319</v>
      </c>
      <c r="R104" t="s">
        <v>320</v>
      </c>
    </row>
    <row r="105" spans="1:18" x14ac:dyDescent="0.2">
      <c r="A105" s="4" t="s">
        <v>321</v>
      </c>
      <c r="B105" s="4" t="s">
        <v>322</v>
      </c>
      <c r="C105" s="5" t="s">
        <v>34</v>
      </c>
      <c r="D105" s="5">
        <v>28080</v>
      </c>
      <c r="E105" s="5"/>
      <c r="F105" s="5"/>
      <c r="G105" s="5">
        <f>$D105</f>
        <v>28080</v>
      </c>
      <c r="H105" s="5">
        <v>29656.07</v>
      </c>
      <c r="I105" s="4">
        <v>0</v>
      </c>
      <c r="J105" s="4" t="s">
        <v>323</v>
      </c>
      <c r="K105" s="6" t="s">
        <v>324</v>
      </c>
      <c r="L105" s="8" t="s">
        <v>325</v>
      </c>
      <c r="R105" t="s">
        <v>326</v>
      </c>
    </row>
    <row r="106" spans="1:18" x14ac:dyDescent="0.2">
      <c r="A106" s="4" t="s">
        <v>327</v>
      </c>
      <c r="B106" s="4" t="s">
        <v>328</v>
      </c>
      <c r="C106" s="5" t="s">
        <v>19</v>
      </c>
      <c r="D106" s="5">
        <v>2400</v>
      </c>
      <c r="E106" s="5">
        <f>D106</f>
        <v>2400</v>
      </c>
      <c r="F106" s="5"/>
      <c r="G106" s="5"/>
      <c r="H106" s="5">
        <v>2599.35</v>
      </c>
      <c r="I106" s="4">
        <v>0</v>
      </c>
      <c r="J106" s="4" t="s">
        <v>41</v>
      </c>
      <c r="K106" s="6" t="s">
        <v>42</v>
      </c>
      <c r="L106" s="6" t="s">
        <v>329</v>
      </c>
      <c r="R106" t="s">
        <v>330</v>
      </c>
    </row>
    <row r="107" spans="1:18" x14ac:dyDescent="0.2">
      <c r="A107" s="4" t="s">
        <v>331</v>
      </c>
      <c r="B107" s="4" t="s">
        <v>328</v>
      </c>
      <c r="C107" s="5" t="s">
        <v>34</v>
      </c>
      <c r="D107" s="5">
        <v>5000</v>
      </c>
      <c r="E107" s="5">
        <f>D107</f>
        <v>5000</v>
      </c>
      <c r="F107" s="5"/>
      <c r="G107" s="5"/>
      <c r="H107" s="5">
        <v>5088.66</v>
      </c>
      <c r="I107" s="4">
        <v>0</v>
      </c>
      <c r="J107" s="4" t="s">
        <v>35</v>
      </c>
      <c r="K107" s="6" t="s">
        <v>36</v>
      </c>
      <c r="L107" s="6" t="s">
        <v>332</v>
      </c>
      <c r="R107" t="s">
        <v>333</v>
      </c>
    </row>
    <row r="108" spans="1:18" x14ac:dyDescent="0.2">
      <c r="A108" s="4" t="s">
        <v>334</v>
      </c>
      <c r="B108" s="4" t="s">
        <v>335</v>
      </c>
      <c r="C108" s="5" t="s">
        <v>34</v>
      </c>
      <c r="D108" s="5">
        <v>13000</v>
      </c>
      <c r="E108" s="5"/>
      <c r="F108" s="5"/>
      <c r="G108" s="5">
        <f>$D108</f>
        <v>13000</v>
      </c>
      <c r="H108" s="5">
        <v>14337.82</v>
      </c>
      <c r="I108" s="4">
        <v>0</v>
      </c>
      <c r="J108" s="4" t="s">
        <v>35</v>
      </c>
      <c r="K108" s="6" t="s">
        <v>36</v>
      </c>
      <c r="L108" s="8" t="s">
        <v>336</v>
      </c>
      <c r="R108" t="s">
        <v>337</v>
      </c>
    </row>
    <row r="109" spans="1:18" x14ac:dyDescent="0.2">
      <c r="A109" s="4" t="s">
        <v>338</v>
      </c>
      <c r="B109" s="4" t="s">
        <v>339</v>
      </c>
      <c r="C109" s="5" t="s">
        <v>34</v>
      </c>
      <c r="D109" s="5">
        <v>2500</v>
      </c>
      <c r="E109" s="5"/>
      <c r="F109" s="5"/>
      <c r="G109" s="5"/>
      <c r="H109" s="5">
        <v>2544.5700000000002</v>
      </c>
      <c r="I109" s="4">
        <v>0</v>
      </c>
      <c r="J109" s="4" t="s">
        <v>35</v>
      </c>
      <c r="K109" s="6" t="s">
        <v>36</v>
      </c>
      <c r="L109" s="6" t="s">
        <v>340</v>
      </c>
      <c r="R109" t="s">
        <v>341</v>
      </c>
    </row>
    <row r="110" spans="1:18" x14ac:dyDescent="0.2">
      <c r="A110" s="4" t="s">
        <v>342</v>
      </c>
      <c r="B110" s="4" t="s">
        <v>343</v>
      </c>
      <c r="C110" s="5" t="s">
        <v>19</v>
      </c>
      <c r="D110" s="5">
        <v>649</v>
      </c>
      <c r="E110" s="5"/>
      <c r="F110" s="5"/>
      <c r="G110" s="5"/>
      <c r="H110" s="5">
        <v>1065.07</v>
      </c>
      <c r="I110" s="4">
        <v>0</v>
      </c>
      <c r="J110" s="4" t="s">
        <v>41</v>
      </c>
      <c r="K110" s="6" t="s">
        <v>42</v>
      </c>
      <c r="L110" s="6" t="s">
        <v>344</v>
      </c>
      <c r="R110" t="s">
        <v>345</v>
      </c>
    </row>
    <row r="111" spans="1:18" x14ac:dyDescent="0.2">
      <c r="A111" s="4" t="s">
        <v>346</v>
      </c>
      <c r="B111" s="4" t="s">
        <v>343</v>
      </c>
      <c r="C111" s="5" t="s">
        <v>34</v>
      </c>
      <c r="D111" s="5">
        <v>200</v>
      </c>
      <c r="E111" s="5"/>
      <c r="F111" s="5"/>
      <c r="G111" s="5"/>
      <c r="H111" s="5">
        <v>5053.74</v>
      </c>
      <c r="I111" s="4">
        <v>0</v>
      </c>
      <c r="J111" s="4" t="s">
        <v>35</v>
      </c>
      <c r="K111" s="6" t="s">
        <v>36</v>
      </c>
      <c r="L111" s="6" t="s">
        <v>347</v>
      </c>
      <c r="R111" t="s">
        <v>348</v>
      </c>
    </row>
    <row r="112" spans="1:18" x14ac:dyDescent="0.2">
      <c r="A112" s="4"/>
      <c r="B112" s="4"/>
      <c r="C112" s="5"/>
      <c r="D112" s="5"/>
      <c r="E112" s="5"/>
      <c r="F112" s="5"/>
      <c r="G112" s="5"/>
      <c r="H112" s="5"/>
      <c r="I112" s="4"/>
      <c r="J112" s="4"/>
      <c r="K112" s="6"/>
      <c r="L112" s="6"/>
    </row>
    <row r="113" spans="1:18" x14ac:dyDescent="0.2">
      <c r="A113" s="4" t="s">
        <v>349</v>
      </c>
      <c r="B113" s="4" t="s">
        <v>350</v>
      </c>
      <c r="C113" s="5" t="s">
        <v>19</v>
      </c>
      <c r="D113" s="5">
        <v>1621</v>
      </c>
      <c r="E113" s="5"/>
      <c r="F113" s="5">
        <f>$D113</f>
        <v>1621</v>
      </c>
      <c r="G113" s="5"/>
      <c r="H113" s="5">
        <v>7485.74</v>
      </c>
      <c r="I113" s="4">
        <v>0</v>
      </c>
      <c r="J113" s="4" t="s">
        <v>41</v>
      </c>
      <c r="K113" s="6" t="s">
        <v>42</v>
      </c>
      <c r="L113" s="6" t="s">
        <v>351</v>
      </c>
      <c r="R113" t="s">
        <v>352</v>
      </c>
    </row>
    <row r="114" spans="1:18" x14ac:dyDescent="0.2">
      <c r="A114" s="4" t="s">
        <v>353</v>
      </c>
      <c r="B114" s="4" t="s">
        <v>354</v>
      </c>
      <c r="C114" s="5" t="s">
        <v>34</v>
      </c>
      <c r="D114" s="5">
        <v>5000</v>
      </c>
      <c r="E114" s="5">
        <f>D114</f>
        <v>5000</v>
      </c>
      <c r="F114" s="5"/>
      <c r="G114" s="5"/>
      <c r="H114" s="5">
        <v>17057.900000000001</v>
      </c>
      <c r="I114" s="4">
        <v>0</v>
      </c>
      <c r="J114" s="4" t="s">
        <v>35</v>
      </c>
      <c r="K114" s="6" t="s">
        <v>36</v>
      </c>
      <c r="L114" s="6" t="s">
        <v>355</v>
      </c>
      <c r="R114" t="s">
        <v>356</v>
      </c>
    </row>
    <row r="115" spans="1:18" x14ac:dyDescent="0.2">
      <c r="A115" s="4" t="s">
        <v>357</v>
      </c>
      <c r="B115" s="4" t="s">
        <v>358</v>
      </c>
      <c r="C115" s="5" t="s">
        <v>34</v>
      </c>
      <c r="D115" s="5">
        <v>2400</v>
      </c>
      <c r="E115" s="5"/>
      <c r="F115" s="5"/>
      <c r="G115" s="5">
        <f>$D115</f>
        <v>2400</v>
      </c>
      <c r="H115" s="5">
        <v>12329.22</v>
      </c>
      <c r="I115" s="4">
        <v>0</v>
      </c>
      <c r="J115" s="4" t="s">
        <v>35</v>
      </c>
      <c r="K115" s="6" t="s">
        <v>36</v>
      </c>
      <c r="L115" s="8" t="s">
        <v>359</v>
      </c>
      <c r="R115" t="s">
        <v>360</v>
      </c>
    </row>
    <row r="116" spans="1:18" x14ac:dyDescent="0.2">
      <c r="A116" s="4" t="s">
        <v>361</v>
      </c>
      <c r="B116" s="4" t="s">
        <v>358</v>
      </c>
      <c r="C116" s="5" t="s">
        <v>34</v>
      </c>
      <c r="D116" s="5">
        <v>1129</v>
      </c>
      <c r="E116" s="5"/>
      <c r="F116" s="5"/>
      <c r="G116" s="5">
        <f>$D116</f>
        <v>1129</v>
      </c>
      <c r="H116" s="5">
        <v>9929.2199999999993</v>
      </c>
      <c r="I116" s="4">
        <v>0</v>
      </c>
      <c r="J116" s="4" t="s">
        <v>35</v>
      </c>
      <c r="K116" s="6" t="s">
        <v>36</v>
      </c>
      <c r="L116" s="6" t="s">
        <v>362</v>
      </c>
      <c r="R116" t="s">
        <v>363</v>
      </c>
    </row>
    <row r="117" spans="1:18" x14ac:dyDescent="0.2">
      <c r="A117" s="4" t="s">
        <v>364</v>
      </c>
      <c r="B117" s="4" t="s">
        <v>358</v>
      </c>
      <c r="C117" s="5" t="s">
        <v>34</v>
      </c>
      <c r="D117" s="5">
        <v>2400</v>
      </c>
      <c r="E117" s="5"/>
      <c r="F117" s="5"/>
      <c r="G117" s="5">
        <f>$D117</f>
        <v>2400</v>
      </c>
      <c r="H117" s="5">
        <v>8800.2199999999993</v>
      </c>
      <c r="I117" s="4">
        <v>0</v>
      </c>
      <c r="J117" s="4" t="s">
        <v>35</v>
      </c>
      <c r="K117" s="6" t="s">
        <v>36</v>
      </c>
      <c r="L117" s="8" t="s">
        <v>365</v>
      </c>
      <c r="R117" t="s">
        <v>366</v>
      </c>
    </row>
    <row r="118" spans="1:18" x14ac:dyDescent="0.2">
      <c r="A118" s="4" t="s">
        <v>367</v>
      </c>
      <c r="B118" s="4" t="s">
        <v>358</v>
      </c>
      <c r="C118" s="5" t="s">
        <v>34</v>
      </c>
      <c r="D118" s="5">
        <v>100</v>
      </c>
      <c r="E118" s="5"/>
      <c r="F118" s="5"/>
      <c r="G118" s="5"/>
      <c r="H118" s="5">
        <v>6892.67</v>
      </c>
      <c r="I118" s="4">
        <v>0</v>
      </c>
      <c r="J118" s="4" t="s">
        <v>35</v>
      </c>
      <c r="K118" s="6" t="s">
        <v>36</v>
      </c>
      <c r="L118" s="6" t="s">
        <v>368</v>
      </c>
      <c r="R118" t="s">
        <v>369</v>
      </c>
    </row>
    <row r="119" spans="1:18" x14ac:dyDescent="0.2">
      <c r="A119" s="4" t="s">
        <v>370</v>
      </c>
      <c r="B119" s="4" t="s">
        <v>371</v>
      </c>
      <c r="C119" s="5" t="s">
        <v>19</v>
      </c>
      <c r="D119" s="5">
        <v>1500</v>
      </c>
      <c r="E119" s="5">
        <f>D119</f>
        <v>1500</v>
      </c>
      <c r="F119" s="5"/>
      <c r="G119" s="5"/>
      <c r="H119" s="5">
        <v>7530.64</v>
      </c>
      <c r="I119" s="4">
        <v>0</v>
      </c>
      <c r="J119" s="4" t="s">
        <v>41</v>
      </c>
      <c r="K119" s="6" t="s">
        <v>42</v>
      </c>
      <c r="L119" s="6" t="s">
        <v>372</v>
      </c>
      <c r="R119" t="s">
        <v>373</v>
      </c>
    </row>
    <row r="120" spans="1:18" x14ac:dyDescent="0.2">
      <c r="A120" s="4" t="s">
        <v>374</v>
      </c>
      <c r="B120" s="4" t="s">
        <v>375</v>
      </c>
      <c r="C120" s="5" t="s">
        <v>127</v>
      </c>
      <c r="D120" s="5">
        <v>6000</v>
      </c>
      <c r="E120" s="5"/>
      <c r="F120" s="5"/>
      <c r="G120" s="5"/>
      <c r="H120" s="5">
        <v>9769.93</v>
      </c>
      <c r="I120" s="4">
        <v>0</v>
      </c>
      <c r="J120" s="4" t="s">
        <v>128</v>
      </c>
      <c r="K120" s="6" t="s">
        <v>129</v>
      </c>
      <c r="L120" s="6" t="s">
        <v>165</v>
      </c>
      <c r="R120" t="s">
        <v>376</v>
      </c>
    </row>
    <row r="121" spans="1:18" x14ac:dyDescent="0.2">
      <c r="A121" s="4" t="s">
        <v>377</v>
      </c>
      <c r="B121" s="4" t="s">
        <v>378</v>
      </c>
      <c r="C121" s="5" t="s">
        <v>34</v>
      </c>
      <c r="D121" s="5">
        <v>100</v>
      </c>
      <c r="E121" s="5"/>
      <c r="F121" s="5"/>
      <c r="G121" s="5"/>
      <c r="H121" s="5">
        <v>4419.42</v>
      </c>
      <c r="I121" s="4">
        <v>0</v>
      </c>
      <c r="J121" s="4" t="s">
        <v>35</v>
      </c>
      <c r="K121" s="6" t="s">
        <v>36</v>
      </c>
      <c r="L121" s="6" t="s">
        <v>379</v>
      </c>
      <c r="R121" t="s">
        <v>380</v>
      </c>
    </row>
    <row r="122" spans="1:18" x14ac:dyDescent="0.2">
      <c r="A122" s="4"/>
      <c r="B122" s="4"/>
      <c r="C122" s="5"/>
      <c r="D122" s="5"/>
      <c r="E122" s="5"/>
      <c r="F122" s="5"/>
      <c r="G122" s="5"/>
      <c r="H122" s="5"/>
      <c r="I122" s="4"/>
      <c r="J122" s="4"/>
      <c r="K122" s="6"/>
      <c r="L122" s="6"/>
    </row>
    <row r="123" spans="1:18" x14ac:dyDescent="0.2">
      <c r="A123" s="4" t="s">
        <v>381</v>
      </c>
      <c r="B123" s="4" t="s">
        <v>382</v>
      </c>
      <c r="C123" s="5" t="s">
        <v>19</v>
      </c>
      <c r="D123" s="5">
        <v>2702</v>
      </c>
      <c r="E123" s="5"/>
      <c r="F123" s="5">
        <f>$D123</f>
        <v>2702</v>
      </c>
      <c r="G123" s="5"/>
      <c r="H123" s="5">
        <v>6594.55</v>
      </c>
      <c r="I123" s="4">
        <v>0</v>
      </c>
      <c r="J123" s="4" t="s">
        <v>41</v>
      </c>
      <c r="K123" s="6" t="s">
        <v>42</v>
      </c>
      <c r="L123" s="6" t="s">
        <v>383</v>
      </c>
      <c r="R123" t="s">
        <v>384</v>
      </c>
    </row>
    <row r="124" spans="1:18" x14ac:dyDescent="0.2">
      <c r="A124" s="4" t="s">
        <v>385</v>
      </c>
      <c r="B124" s="4" t="s">
        <v>386</v>
      </c>
      <c r="C124" s="5" t="s">
        <v>34</v>
      </c>
      <c r="D124" s="5">
        <v>5000</v>
      </c>
      <c r="E124" s="5">
        <f>D124</f>
        <v>5000</v>
      </c>
      <c r="F124" s="5"/>
      <c r="G124" s="5"/>
      <c r="H124" s="5">
        <v>11602.72</v>
      </c>
      <c r="I124" s="4">
        <v>0</v>
      </c>
      <c r="J124" s="4" t="s">
        <v>35</v>
      </c>
      <c r="K124" s="6" t="s">
        <v>36</v>
      </c>
      <c r="L124" s="6" t="s">
        <v>387</v>
      </c>
      <c r="R124" t="s">
        <v>388</v>
      </c>
    </row>
    <row r="125" spans="1:18" x14ac:dyDescent="0.2">
      <c r="A125" s="4" t="s">
        <v>389</v>
      </c>
      <c r="B125" s="4" t="s">
        <v>390</v>
      </c>
      <c r="C125" s="5" t="s">
        <v>34</v>
      </c>
      <c r="D125" s="5">
        <v>2120</v>
      </c>
      <c r="E125" s="5"/>
      <c r="F125" s="5"/>
      <c r="G125" s="5">
        <f>$D125</f>
        <v>2120</v>
      </c>
      <c r="H125" s="5">
        <v>8295.31</v>
      </c>
      <c r="I125" s="4">
        <v>0</v>
      </c>
      <c r="J125" s="4" t="s">
        <v>35</v>
      </c>
      <c r="K125" s="6" t="s">
        <v>36</v>
      </c>
      <c r="L125" s="8" t="s">
        <v>391</v>
      </c>
      <c r="R125" t="s">
        <v>392</v>
      </c>
    </row>
    <row r="126" spans="1:18" x14ac:dyDescent="0.2">
      <c r="A126" s="4" t="s">
        <v>393</v>
      </c>
      <c r="B126" s="4" t="s">
        <v>390</v>
      </c>
      <c r="C126" s="5" t="s">
        <v>34</v>
      </c>
      <c r="D126" s="5">
        <v>4800</v>
      </c>
      <c r="E126" s="5"/>
      <c r="F126" s="5"/>
      <c r="G126" s="5">
        <f>$D126</f>
        <v>4800</v>
      </c>
      <c r="H126" s="5">
        <v>6175.31</v>
      </c>
      <c r="I126" s="4">
        <v>0</v>
      </c>
      <c r="J126" s="4" t="s">
        <v>35</v>
      </c>
      <c r="K126" s="6" t="s">
        <v>36</v>
      </c>
      <c r="L126" s="8" t="s">
        <v>394</v>
      </c>
      <c r="R126" t="s">
        <v>395</v>
      </c>
    </row>
    <row r="127" spans="1:18" x14ac:dyDescent="0.2">
      <c r="A127" s="4" t="s">
        <v>396</v>
      </c>
      <c r="B127" s="4" t="s">
        <v>390</v>
      </c>
      <c r="C127" s="5" t="s">
        <v>34</v>
      </c>
      <c r="D127" s="5">
        <v>1368</v>
      </c>
      <c r="E127" s="5"/>
      <c r="F127" s="5"/>
      <c r="G127" s="5">
        <f>$D127</f>
        <v>1368</v>
      </c>
      <c r="H127" s="5">
        <v>1375.31</v>
      </c>
      <c r="I127" s="4">
        <v>0</v>
      </c>
      <c r="J127" s="4" t="s">
        <v>35</v>
      </c>
      <c r="K127" s="6" t="s">
        <v>36</v>
      </c>
      <c r="L127" s="6" t="s">
        <v>397</v>
      </c>
      <c r="R127" t="s">
        <v>398</v>
      </c>
    </row>
    <row r="128" spans="1:18" x14ac:dyDescent="0.2">
      <c r="A128" s="4"/>
      <c r="B128" s="4"/>
      <c r="C128" s="5"/>
      <c r="D128" s="5"/>
      <c r="E128" s="5"/>
      <c r="F128" s="5"/>
      <c r="G128" s="5"/>
      <c r="H128" s="5"/>
      <c r="I128" s="4"/>
      <c r="J128" s="4"/>
      <c r="K128" s="6"/>
      <c r="L128" s="6"/>
    </row>
    <row r="129" spans="1:18" x14ac:dyDescent="0.2">
      <c r="A129" s="4" t="s">
        <v>399</v>
      </c>
      <c r="B129" s="4" t="s">
        <v>400</v>
      </c>
      <c r="C129" s="5" t="s">
        <v>34</v>
      </c>
      <c r="D129" s="5">
        <v>500</v>
      </c>
      <c r="E129" s="5"/>
      <c r="F129" s="5"/>
      <c r="G129" s="5"/>
      <c r="H129" s="5">
        <v>1794.56</v>
      </c>
      <c r="I129" s="4">
        <v>0</v>
      </c>
      <c r="J129" s="4" t="s">
        <v>35</v>
      </c>
      <c r="K129" s="6" t="s">
        <v>36</v>
      </c>
      <c r="L129" s="6" t="s">
        <v>401</v>
      </c>
      <c r="R129" t="s">
        <v>402</v>
      </c>
    </row>
    <row r="130" spans="1:18" x14ac:dyDescent="0.2">
      <c r="A130" s="4" t="s">
        <v>403</v>
      </c>
      <c r="B130" s="4" t="s">
        <v>404</v>
      </c>
      <c r="C130" s="5" t="s">
        <v>19</v>
      </c>
      <c r="D130" s="5">
        <v>2701</v>
      </c>
      <c r="E130" s="5"/>
      <c r="F130" s="5">
        <f>$D130</f>
        <v>2701</v>
      </c>
      <c r="G130" s="5"/>
      <c r="H130" s="5">
        <v>2757.43</v>
      </c>
      <c r="I130" s="4">
        <v>0</v>
      </c>
      <c r="J130" s="4" t="s">
        <v>41</v>
      </c>
      <c r="K130" s="6" t="s">
        <v>42</v>
      </c>
      <c r="L130" s="6" t="s">
        <v>405</v>
      </c>
      <c r="R130" t="s">
        <v>406</v>
      </c>
    </row>
    <row r="131" spans="1:18" x14ac:dyDescent="0.2">
      <c r="A131" s="4" t="s">
        <v>407</v>
      </c>
      <c r="B131" s="4" t="s">
        <v>408</v>
      </c>
      <c r="C131" s="5" t="s">
        <v>34</v>
      </c>
      <c r="D131" s="5">
        <v>80</v>
      </c>
      <c r="E131" s="5"/>
      <c r="F131" s="5"/>
      <c r="G131" s="5"/>
      <c r="H131" s="5">
        <v>248.93</v>
      </c>
      <c r="I131" s="4">
        <v>0</v>
      </c>
      <c r="J131" s="4" t="s">
        <v>35</v>
      </c>
      <c r="K131" s="6" t="s">
        <v>36</v>
      </c>
      <c r="L131" s="6" t="s">
        <v>409</v>
      </c>
      <c r="R131" t="s">
        <v>410</v>
      </c>
    </row>
    <row r="132" spans="1:18" x14ac:dyDescent="0.2">
      <c r="A132" s="4" t="s">
        <v>411</v>
      </c>
      <c r="B132" s="4" t="s">
        <v>412</v>
      </c>
      <c r="C132" s="5" t="s">
        <v>19</v>
      </c>
      <c r="D132" s="5">
        <v>1500</v>
      </c>
      <c r="E132" s="5">
        <f t="shared" ref="E132:E137" si="0">D132</f>
        <v>1500</v>
      </c>
      <c r="F132" s="5"/>
      <c r="G132" s="5"/>
      <c r="H132" s="5">
        <v>1661.56</v>
      </c>
      <c r="I132" s="4">
        <v>0</v>
      </c>
      <c r="J132" s="4" t="s">
        <v>41</v>
      </c>
      <c r="K132" s="6" t="s">
        <v>42</v>
      </c>
      <c r="L132" s="6" t="s">
        <v>413</v>
      </c>
      <c r="R132" t="s">
        <v>414</v>
      </c>
    </row>
    <row r="133" spans="1:18" x14ac:dyDescent="0.2">
      <c r="A133" s="4" t="s">
        <v>415</v>
      </c>
      <c r="B133" s="4" t="s">
        <v>416</v>
      </c>
      <c r="C133" s="5" t="s">
        <v>19</v>
      </c>
      <c r="D133" s="5">
        <v>3000</v>
      </c>
      <c r="E133" s="5">
        <f t="shared" si="0"/>
        <v>3000</v>
      </c>
      <c r="F133" s="5"/>
      <c r="G133" s="5"/>
      <c r="H133" s="5">
        <v>3086.2</v>
      </c>
      <c r="I133" s="4">
        <v>0</v>
      </c>
      <c r="J133" s="4" t="s">
        <v>41</v>
      </c>
      <c r="K133" s="6" t="s">
        <v>42</v>
      </c>
      <c r="L133" s="6" t="s">
        <v>417</v>
      </c>
      <c r="R133" t="s">
        <v>418</v>
      </c>
    </row>
    <row r="134" spans="1:18" x14ac:dyDescent="0.2">
      <c r="A134" s="4" t="s">
        <v>419</v>
      </c>
      <c r="B134" s="4" t="s">
        <v>420</v>
      </c>
      <c r="C134" s="5" t="s">
        <v>19</v>
      </c>
      <c r="D134" s="5">
        <v>3000</v>
      </c>
      <c r="E134" s="5">
        <f t="shared" si="0"/>
        <v>3000</v>
      </c>
      <c r="F134" s="5"/>
      <c r="G134" s="5"/>
      <c r="H134" s="5">
        <v>4033.19</v>
      </c>
      <c r="I134" s="4">
        <v>0</v>
      </c>
      <c r="J134" s="4" t="s">
        <v>41</v>
      </c>
      <c r="K134" s="6" t="s">
        <v>42</v>
      </c>
      <c r="L134" s="6" t="s">
        <v>421</v>
      </c>
      <c r="R134" t="s">
        <v>422</v>
      </c>
    </row>
    <row r="135" spans="1:18" x14ac:dyDescent="0.2">
      <c r="A135" s="4" t="s">
        <v>423</v>
      </c>
      <c r="B135" s="4" t="s">
        <v>424</v>
      </c>
      <c r="C135" s="5" t="s">
        <v>34</v>
      </c>
      <c r="D135" s="5">
        <v>1500</v>
      </c>
      <c r="E135" s="5">
        <f t="shared" si="0"/>
        <v>1500</v>
      </c>
      <c r="F135" s="5"/>
      <c r="G135" s="5"/>
      <c r="H135" s="5">
        <v>4798.4799999999996</v>
      </c>
      <c r="I135" s="4">
        <v>0</v>
      </c>
      <c r="J135" s="4" t="s">
        <v>35</v>
      </c>
      <c r="K135" s="6" t="s">
        <v>36</v>
      </c>
      <c r="L135" s="6" t="s">
        <v>425</v>
      </c>
      <c r="R135" t="s">
        <v>426</v>
      </c>
    </row>
    <row r="136" spans="1:18" x14ac:dyDescent="0.2">
      <c r="A136" s="4" t="s">
        <v>427</v>
      </c>
      <c r="B136" s="4" t="s">
        <v>428</v>
      </c>
      <c r="C136" s="5" t="s">
        <v>34</v>
      </c>
      <c r="D136" s="5">
        <v>1000</v>
      </c>
      <c r="E136" s="5">
        <f t="shared" si="0"/>
        <v>1000</v>
      </c>
      <c r="F136" s="5"/>
      <c r="G136" s="5"/>
      <c r="H136" s="5">
        <v>9523.14</v>
      </c>
      <c r="I136" s="4">
        <v>0</v>
      </c>
      <c r="J136" s="4" t="s">
        <v>35</v>
      </c>
      <c r="K136" s="6" t="s">
        <v>36</v>
      </c>
      <c r="L136" s="6" t="s">
        <v>429</v>
      </c>
      <c r="R136" t="s">
        <v>430</v>
      </c>
    </row>
    <row r="137" spans="1:18" x14ac:dyDescent="0.2">
      <c r="A137" s="4" t="s">
        <v>431</v>
      </c>
      <c r="B137" s="4" t="s">
        <v>432</v>
      </c>
      <c r="C137" s="5" t="s">
        <v>34</v>
      </c>
      <c r="D137" s="5">
        <v>1000</v>
      </c>
      <c r="E137" s="5">
        <f t="shared" si="0"/>
        <v>1000</v>
      </c>
      <c r="F137" s="5"/>
      <c r="G137" s="5"/>
      <c r="H137" s="5">
        <v>16600.02</v>
      </c>
      <c r="I137" s="4">
        <v>0</v>
      </c>
      <c r="J137" s="4" t="s">
        <v>323</v>
      </c>
      <c r="K137" s="6" t="s">
        <v>324</v>
      </c>
      <c r="L137" s="6" t="s">
        <v>433</v>
      </c>
      <c r="R137" t="s">
        <v>434</v>
      </c>
    </row>
    <row r="138" spans="1:18" x14ac:dyDescent="0.2">
      <c r="A138" s="4"/>
      <c r="B138" s="4"/>
      <c r="C138" s="5"/>
      <c r="D138" s="5"/>
      <c r="E138" s="5"/>
      <c r="F138" s="5"/>
      <c r="G138" s="5"/>
      <c r="H138" s="5"/>
      <c r="I138" s="4"/>
      <c r="J138" s="4"/>
      <c r="K138" s="6"/>
      <c r="L138" s="6"/>
    </row>
    <row r="139" spans="1:18" x14ac:dyDescent="0.2">
      <c r="A139" s="4"/>
      <c r="B139" s="4"/>
      <c r="C139" s="5"/>
      <c r="D139" s="5"/>
      <c r="E139" s="5"/>
      <c r="F139" s="5"/>
      <c r="G139" s="5"/>
      <c r="H139" s="5"/>
      <c r="I139" s="4"/>
      <c r="J139" s="4"/>
      <c r="K139" s="6"/>
      <c r="L139" s="6"/>
    </row>
    <row r="140" spans="1:18" x14ac:dyDescent="0.2">
      <c r="A140" s="4"/>
      <c r="B140" s="4"/>
      <c r="C140" s="5"/>
      <c r="D140" s="5"/>
      <c r="E140" s="5"/>
      <c r="F140" s="5"/>
      <c r="G140" s="5"/>
      <c r="H140" s="5"/>
      <c r="I140" s="4"/>
      <c r="J140" s="4"/>
      <c r="K140" s="6"/>
      <c r="L140" s="6"/>
    </row>
    <row r="141" spans="1:18" x14ac:dyDescent="0.2">
      <c r="A141" s="4"/>
      <c r="B141" s="4"/>
      <c r="C141" s="5"/>
      <c r="D141" s="5"/>
      <c r="E141" s="5"/>
      <c r="F141" s="5"/>
      <c r="G141" s="5"/>
      <c r="H141" s="5"/>
      <c r="I141" s="4"/>
      <c r="J141" s="4"/>
      <c r="K141" s="6"/>
      <c r="L141" s="6"/>
    </row>
    <row r="142" spans="1:18" x14ac:dyDescent="0.2">
      <c r="A142" s="4" t="s">
        <v>435</v>
      </c>
      <c r="B142" s="4" t="s">
        <v>436</v>
      </c>
      <c r="C142" s="5" t="s">
        <v>19</v>
      </c>
      <c r="D142" s="5">
        <v>4500</v>
      </c>
      <c r="E142" s="5">
        <f>D142</f>
        <v>4500</v>
      </c>
      <c r="F142" s="5"/>
      <c r="G142" s="5"/>
      <c r="H142" s="5">
        <v>33779.019999999997</v>
      </c>
      <c r="I142" s="4">
        <v>0</v>
      </c>
      <c r="J142" s="4" t="s">
        <v>41</v>
      </c>
      <c r="K142" s="6" t="s">
        <v>42</v>
      </c>
      <c r="L142" s="6" t="s">
        <v>437</v>
      </c>
      <c r="R142" t="s">
        <v>438</v>
      </c>
    </row>
    <row r="143" spans="1:18" x14ac:dyDescent="0.2">
      <c r="A143" s="4" t="s">
        <v>439</v>
      </c>
      <c r="B143" s="4" t="s">
        <v>440</v>
      </c>
      <c r="C143" s="5" t="s">
        <v>19</v>
      </c>
      <c r="D143" s="5">
        <v>2112</v>
      </c>
      <c r="E143" s="5"/>
      <c r="F143" s="5">
        <f>$D143</f>
        <v>2112</v>
      </c>
      <c r="G143" s="5"/>
      <c r="H143" s="5">
        <v>33774.980000000003</v>
      </c>
      <c r="I143" s="4">
        <v>0</v>
      </c>
      <c r="J143" s="4" t="s">
        <v>41</v>
      </c>
      <c r="K143" s="6" t="s">
        <v>42</v>
      </c>
      <c r="L143" s="6" t="s">
        <v>441</v>
      </c>
      <c r="R143" t="s">
        <v>442</v>
      </c>
    </row>
    <row r="144" spans="1:18" x14ac:dyDescent="0.2">
      <c r="A144" s="4" t="s">
        <v>443</v>
      </c>
      <c r="B144" s="4" t="s">
        <v>444</v>
      </c>
      <c r="C144" s="5" t="s">
        <v>34</v>
      </c>
      <c r="D144" s="5">
        <v>1500</v>
      </c>
      <c r="E144" s="5">
        <f>D144</f>
        <v>1500</v>
      </c>
      <c r="F144" s="5"/>
      <c r="G144" s="5"/>
      <c r="H144" s="5">
        <v>31662.98</v>
      </c>
      <c r="I144" s="4">
        <v>0</v>
      </c>
      <c r="J144" s="4" t="s">
        <v>35</v>
      </c>
      <c r="K144" s="6" t="s">
        <v>36</v>
      </c>
      <c r="L144" s="6" t="s">
        <v>445</v>
      </c>
      <c r="R144" t="s">
        <v>446</v>
      </c>
    </row>
    <row r="145" spans="1:18" x14ac:dyDescent="0.2">
      <c r="A145" s="4" t="s">
        <v>447</v>
      </c>
      <c r="B145" s="4" t="s">
        <v>448</v>
      </c>
      <c r="C145" s="5" t="s">
        <v>34</v>
      </c>
      <c r="D145" s="5">
        <v>800</v>
      </c>
      <c r="E145" s="5">
        <f>D145</f>
        <v>800</v>
      </c>
      <c r="F145" s="5"/>
      <c r="G145" s="5"/>
      <c r="H145" s="5">
        <v>38617.69</v>
      </c>
      <c r="I145" s="4">
        <v>0</v>
      </c>
      <c r="J145" s="4" t="s">
        <v>323</v>
      </c>
      <c r="K145" s="6" t="s">
        <v>324</v>
      </c>
      <c r="L145" s="6" t="s">
        <v>449</v>
      </c>
      <c r="R145" t="s">
        <v>450</v>
      </c>
    </row>
    <row r="146" spans="1:18" x14ac:dyDescent="0.2">
      <c r="A146" s="4" t="s">
        <v>451</v>
      </c>
      <c r="B146" s="4" t="s">
        <v>452</v>
      </c>
      <c r="C146" s="5" t="s">
        <v>34</v>
      </c>
      <c r="D146" s="5">
        <v>500</v>
      </c>
      <c r="E146" s="5"/>
      <c r="F146" s="5"/>
      <c r="G146" s="5"/>
      <c r="H146" s="5">
        <v>38153.69</v>
      </c>
      <c r="I146" s="4">
        <v>0</v>
      </c>
      <c r="J146" s="4" t="s">
        <v>35</v>
      </c>
      <c r="K146" s="6" t="s">
        <v>36</v>
      </c>
      <c r="L146" s="6" t="s">
        <v>453</v>
      </c>
      <c r="R146" t="s">
        <v>454</v>
      </c>
    </row>
    <row r="147" spans="1:18" x14ac:dyDescent="0.2">
      <c r="A147" s="4" t="s">
        <v>455</v>
      </c>
      <c r="B147" s="4" t="s">
        <v>456</v>
      </c>
      <c r="C147" s="5" t="s">
        <v>34</v>
      </c>
      <c r="D147" s="5">
        <v>3000</v>
      </c>
      <c r="E147" s="5">
        <f>D147</f>
        <v>3000</v>
      </c>
      <c r="F147" s="5"/>
      <c r="G147" s="5"/>
      <c r="H147" s="5">
        <v>39595.449999999997</v>
      </c>
      <c r="I147" s="4">
        <v>0</v>
      </c>
      <c r="J147" s="4" t="s">
        <v>35</v>
      </c>
      <c r="K147" s="6" t="s">
        <v>36</v>
      </c>
      <c r="L147" s="6" t="s">
        <v>457</v>
      </c>
      <c r="R147" t="s">
        <v>458</v>
      </c>
    </row>
    <row r="148" spans="1:18" x14ac:dyDescent="0.2">
      <c r="A148" s="4" t="s">
        <v>459</v>
      </c>
      <c r="B148" s="4" t="s">
        <v>456</v>
      </c>
      <c r="C148" s="5" t="s">
        <v>34</v>
      </c>
      <c r="D148" s="5">
        <v>2000</v>
      </c>
      <c r="E148" s="5">
        <f>D148</f>
        <v>2000</v>
      </c>
      <c r="F148" s="5"/>
      <c r="G148" s="5"/>
      <c r="H148" s="5">
        <v>36595.449999999997</v>
      </c>
      <c r="I148" s="4">
        <v>0</v>
      </c>
      <c r="J148" s="4" t="s">
        <v>35</v>
      </c>
      <c r="K148" s="6" t="s">
        <v>36</v>
      </c>
      <c r="L148" s="6" t="s">
        <v>460</v>
      </c>
      <c r="R148" t="s">
        <v>461</v>
      </c>
    </row>
    <row r="149" spans="1:18" x14ac:dyDescent="0.2">
      <c r="A149" s="4"/>
      <c r="B149" s="4"/>
      <c r="C149" s="5"/>
      <c r="D149" s="5"/>
      <c r="E149" s="5"/>
      <c r="F149" s="5"/>
      <c r="G149" s="5"/>
      <c r="H149" s="5"/>
      <c r="I149" s="4"/>
      <c r="J149" s="4"/>
      <c r="K149" s="6"/>
      <c r="L149" s="6"/>
    </row>
    <row r="150" spans="1:18" x14ac:dyDescent="0.2">
      <c r="A150" s="4" t="s">
        <v>462</v>
      </c>
      <c r="B150" s="4" t="s">
        <v>463</v>
      </c>
      <c r="C150" s="5" t="s">
        <v>62</v>
      </c>
      <c r="D150" s="7">
        <v>80000</v>
      </c>
      <c r="E150" s="7"/>
      <c r="F150" s="7"/>
      <c r="G150" s="5">
        <f>$D150</f>
        <v>80000</v>
      </c>
      <c r="H150" s="5">
        <v>81667.88</v>
      </c>
      <c r="I150" s="4">
        <v>0</v>
      </c>
      <c r="J150" s="4" t="s">
        <v>41</v>
      </c>
      <c r="K150" s="6" t="s">
        <v>42</v>
      </c>
      <c r="L150" s="8" t="s">
        <v>464</v>
      </c>
      <c r="R150" t="s">
        <v>465</v>
      </c>
    </row>
    <row r="151" spans="1:18" x14ac:dyDescent="0.2">
      <c r="A151" s="4" t="s">
        <v>466</v>
      </c>
      <c r="B151" s="4" t="s">
        <v>467</v>
      </c>
      <c r="C151" s="5" t="s">
        <v>19</v>
      </c>
      <c r="D151" s="5">
        <v>2111</v>
      </c>
      <c r="E151" s="5"/>
      <c r="F151" s="5">
        <f>$D151</f>
        <v>2111</v>
      </c>
      <c r="G151" s="5"/>
      <c r="H151" s="5">
        <v>2724.59</v>
      </c>
      <c r="I151" s="4">
        <v>0</v>
      </c>
      <c r="J151" s="4" t="s">
        <v>41</v>
      </c>
      <c r="K151" s="6" t="s">
        <v>42</v>
      </c>
      <c r="L151" s="6" t="s">
        <v>468</v>
      </c>
      <c r="R151" t="s">
        <v>469</v>
      </c>
    </row>
    <row r="152" spans="1:18" x14ac:dyDescent="0.2">
      <c r="A152" s="4" t="s">
        <v>470</v>
      </c>
      <c r="B152" s="4" t="s">
        <v>471</v>
      </c>
      <c r="C152" s="5" t="s">
        <v>34</v>
      </c>
      <c r="D152" s="5">
        <v>1500</v>
      </c>
      <c r="E152" s="5">
        <f>D152</f>
        <v>1500</v>
      </c>
      <c r="F152" s="5"/>
      <c r="G152" s="5"/>
      <c r="H152" s="5">
        <v>1639.69</v>
      </c>
      <c r="I152" s="4">
        <v>0</v>
      </c>
      <c r="J152" s="4" t="s">
        <v>35</v>
      </c>
      <c r="K152" s="6" t="s">
        <v>36</v>
      </c>
      <c r="L152" s="6" t="s">
        <v>472</v>
      </c>
      <c r="R152" t="s">
        <v>473</v>
      </c>
    </row>
    <row r="153" spans="1:18" x14ac:dyDescent="0.2">
      <c r="A153" s="4" t="s">
        <v>474</v>
      </c>
      <c r="B153" s="4" t="s">
        <v>475</v>
      </c>
      <c r="C153" s="5" t="s">
        <v>34</v>
      </c>
      <c r="D153" s="5">
        <v>1000</v>
      </c>
      <c r="E153" s="5">
        <f>D153</f>
        <v>1000</v>
      </c>
      <c r="F153" s="5"/>
      <c r="G153" s="5"/>
      <c r="H153" s="5">
        <v>1074.19</v>
      </c>
      <c r="I153" s="4">
        <v>0</v>
      </c>
      <c r="J153" s="4" t="s">
        <v>35</v>
      </c>
      <c r="K153" s="6" t="s">
        <v>36</v>
      </c>
      <c r="L153" s="6" t="s">
        <v>476</v>
      </c>
      <c r="R153" t="s">
        <v>477</v>
      </c>
    </row>
    <row r="154" spans="1:18" x14ac:dyDescent="0.2">
      <c r="A154" s="4" t="s">
        <v>478</v>
      </c>
      <c r="B154" s="4" t="s">
        <v>479</v>
      </c>
      <c r="C154" s="5" t="s">
        <v>19</v>
      </c>
      <c r="D154" s="5">
        <v>1500</v>
      </c>
      <c r="E154" s="5">
        <f>D154</f>
        <v>1500</v>
      </c>
      <c r="F154" s="5"/>
      <c r="G154" s="5"/>
      <c r="H154" s="5">
        <v>1608.12</v>
      </c>
      <c r="I154" s="4">
        <v>0</v>
      </c>
      <c r="J154" s="4" t="s">
        <v>41</v>
      </c>
      <c r="K154" s="6" t="s">
        <v>42</v>
      </c>
      <c r="L154" s="6" t="s">
        <v>480</v>
      </c>
      <c r="R154" t="s">
        <v>481</v>
      </c>
    </row>
    <row r="155" spans="1:18" x14ac:dyDescent="0.2">
      <c r="A155" s="4" t="s">
        <v>482</v>
      </c>
      <c r="B155" s="4" t="s">
        <v>483</v>
      </c>
      <c r="C155" s="5" t="s">
        <v>34</v>
      </c>
      <c r="D155" s="5">
        <v>1500</v>
      </c>
      <c r="E155" s="5">
        <f>D155</f>
        <v>1500</v>
      </c>
      <c r="F155" s="5"/>
      <c r="G155" s="5"/>
      <c r="H155" s="5">
        <v>1896.06</v>
      </c>
      <c r="I155" s="4">
        <v>0</v>
      </c>
      <c r="J155" s="4" t="s">
        <v>35</v>
      </c>
      <c r="K155" s="6" t="s">
        <v>36</v>
      </c>
      <c r="L155" s="6" t="s">
        <v>484</v>
      </c>
      <c r="R155" t="s">
        <v>485</v>
      </c>
    </row>
    <row r="156" spans="1:18" x14ac:dyDescent="0.2">
      <c r="A156" s="4" t="s">
        <v>486</v>
      </c>
      <c r="B156" s="4" t="s">
        <v>487</v>
      </c>
      <c r="C156" s="5" t="s">
        <v>34</v>
      </c>
      <c r="D156" s="5">
        <v>440</v>
      </c>
      <c r="E156" s="5"/>
      <c r="F156" s="5"/>
      <c r="G156" s="5"/>
      <c r="H156" s="5">
        <v>584.05999999999995</v>
      </c>
      <c r="I156" s="4">
        <v>0</v>
      </c>
      <c r="J156" s="4" t="s">
        <v>35</v>
      </c>
      <c r="K156" s="6" t="s">
        <v>36</v>
      </c>
      <c r="L156" s="6" t="s">
        <v>488</v>
      </c>
      <c r="R156" t="s">
        <v>489</v>
      </c>
    </row>
    <row r="157" spans="1:18" x14ac:dyDescent="0.2">
      <c r="A157" s="4" t="s">
        <v>490</v>
      </c>
      <c r="B157" s="4" t="s">
        <v>487</v>
      </c>
      <c r="C157" s="5" t="s">
        <v>34</v>
      </c>
      <c r="D157" s="5">
        <v>435</v>
      </c>
      <c r="E157" s="5"/>
      <c r="F157" s="5"/>
      <c r="G157" s="5"/>
      <c r="H157" s="5">
        <v>571.95000000000005</v>
      </c>
      <c r="I157" s="4">
        <v>0</v>
      </c>
      <c r="J157" s="4" t="s">
        <v>35</v>
      </c>
      <c r="K157" s="6" t="s">
        <v>36</v>
      </c>
      <c r="L157" s="6" t="s">
        <v>491</v>
      </c>
      <c r="R157" t="s">
        <v>492</v>
      </c>
    </row>
    <row r="158" spans="1:18" x14ac:dyDescent="0.2">
      <c r="A158" s="4" t="s">
        <v>493</v>
      </c>
      <c r="B158" s="4" t="s">
        <v>494</v>
      </c>
      <c r="C158" s="5" t="s">
        <v>34</v>
      </c>
      <c r="D158" s="5">
        <v>170</v>
      </c>
      <c r="E158" s="5">
        <f>D158</f>
        <v>170</v>
      </c>
      <c r="F158" s="5"/>
      <c r="G158" s="5"/>
      <c r="H158" s="5">
        <v>206.45</v>
      </c>
      <c r="I158" s="4">
        <v>0</v>
      </c>
      <c r="J158" s="4" t="s">
        <v>35</v>
      </c>
      <c r="K158" s="6" t="s">
        <v>36</v>
      </c>
      <c r="L158" s="6" t="s">
        <v>495</v>
      </c>
      <c r="R158" t="s">
        <v>496</v>
      </c>
    </row>
    <row r="159" spans="1:18" x14ac:dyDescent="0.2">
      <c r="A159" s="4" t="s">
        <v>497</v>
      </c>
      <c r="B159" s="4" t="s">
        <v>498</v>
      </c>
      <c r="C159" s="5" t="s">
        <v>127</v>
      </c>
      <c r="D159" s="5">
        <v>1010</v>
      </c>
      <c r="E159" s="5"/>
      <c r="F159" s="5"/>
      <c r="G159" s="5"/>
      <c r="H159" s="5">
        <v>1016.08</v>
      </c>
      <c r="I159" s="4">
        <v>0</v>
      </c>
      <c r="J159" s="4" t="s">
        <v>128</v>
      </c>
      <c r="K159" s="6" t="s">
        <v>129</v>
      </c>
      <c r="L159" s="6" t="s">
        <v>499</v>
      </c>
      <c r="R159" t="s">
        <v>500</v>
      </c>
    </row>
    <row r="160" spans="1:18" x14ac:dyDescent="0.2">
      <c r="A160" s="4"/>
      <c r="B160" s="4"/>
      <c r="C160" s="5"/>
      <c r="D160" s="5"/>
      <c r="E160" s="5"/>
      <c r="F160" s="5"/>
      <c r="G160" s="5"/>
      <c r="H160" s="5"/>
      <c r="I160" s="4"/>
      <c r="J160" s="4"/>
      <c r="K160" s="6"/>
      <c r="L160" s="6"/>
    </row>
    <row r="161" spans="1:18" x14ac:dyDescent="0.2">
      <c r="A161" s="4" t="s">
        <v>501</v>
      </c>
      <c r="B161" s="4" t="s">
        <v>502</v>
      </c>
      <c r="C161" s="5" t="s">
        <v>34</v>
      </c>
      <c r="D161" s="5">
        <v>1000</v>
      </c>
      <c r="E161" s="5">
        <f>D161</f>
        <v>1000</v>
      </c>
      <c r="F161" s="5"/>
      <c r="G161" s="5"/>
      <c r="H161" s="5">
        <v>1183.1099999999999</v>
      </c>
      <c r="I161" s="4">
        <v>0</v>
      </c>
      <c r="J161" s="4" t="s">
        <v>35</v>
      </c>
      <c r="K161" s="6" t="s">
        <v>36</v>
      </c>
      <c r="L161" s="6" t="s">
        <v>503</v>
      </c>
      <c r="R161" t="s">
        <v>504</v>
      </c>
    </row>
    <row r="162" spans="1:18" x14ac:dyDescent="0.2">
      <c r="A162" s="4" t="s">
        <v>505</v>
      </c>
      <c r="B162" s="4" t="s">
        <v>502</v>
      </c>
      <c r="C162" s="5" t="s">
        <v>34</v>
      </c>
      <c r="D162" s="5">
        <v>5000</v>
      </c>
      <c r="E162" s="5"/>
      <c r="F162" s="5"/>
      <c r="G162" s="5"/>
      <c r="H162" s="5">
        <v>5552.11</v>
      </c>
      <c r="I162" s="4">
        <v>0</v>
      </c>
      <c r="J162" s="4" t="s">
        <v>35</v>
      </c>
      <c r="K162" s="6" t="s">
        <v>36</v>
      </c>
      <c r="L162" s="6" t="s">
        <v>506</v>
      </c>
      <c r="R162" t="s">
        <v>507</v>
      </c>
    </row>
    <row r="163" spans="1:18" x14ac:dyDescent="0.2">
      <c r="A163" s="4" t="s">
        <v>508</v>
      </c>
      <c r="B163" s="4" t="s">
        <v>509</v>
      </c>
      <c r="C163" s="5" t="s">
        <v>19</v>
      </c>
      <c r="D163" s="5">
        <v>2110</v>
      </c>
      <c r="E163" s="5"/>
      <c r="F163" s="5">
        <f>$D163</f>
        <v>2110</v>
      </c>
      <c r="G163" s="5"/>
      <c r="H163" s="5">
        <v>3158.09</v>
      </c>
      <c r="I163" s="4">
        <v>0</v>
      </c>
      <c r="J163" s="4" t="s">
        <v>41</v>
      </c>
      <c r="K163" s="6" t="s">
        <v>42</v>
      </c>
      <c r="L163" s="6" t="s">
        <v>510</v>
      </c>
      <c r="R163" t="s">
        <v>511</v>
      </c>
    </row>
    <row r="164" spans="1:18" x14ac:dyDescent="0.2">
      <c r="A164" s="4" t="s">
        <v>512</v>
      </c>
      <c r="B164" s="4" t="s">
        <v>513</v>
      </c>
      <c r="C164" s="5" t="s">
        <v>19</v>
      </c>
      <c r="D164" s="5">
        <v>900</v>
      </c>
      <c r="E164" s="5">
        <f>D164</f>
        <v>900</v>
      </c>
      <c r="F164" s="5"/>
      <c r="G164" s="5"/>
      <c r="H164" s="5">
        <v>1106.5899999999999</v>
      </c>
      <c r="I164" s="4">
        <v>0</v>
      </c>
      <c r="J164" s="4" t="s">
        <v>41</v>
      </c>
      <c r="K164" s="6" t="s">
        <v>42</v>
      </c>
      <c r="L164" s="6" t="s">
        <v>514</v>
      </c>
      <c r="R164" t="s">
        <v>515</v>
      </c>
    </row>
    <row r="165" spans="1:18" x14ac:dyDescent="0.2">
      <c r="A165" s="4" t="s">
        <v>516</v>
      </c>
      <c r="B165" s="4" t="s">
        <v>517</v>
      </c>
      <c r="C165" s="5" t="s">
        <v>34</v>
      </c>
      <c r="D165" s="5">
        <v>1000</v>
      </c>
      <c r="E165" s="5">
        <f>D165</f>
        <v>1000</v>
      </c>
      <c r="F165" s="5"/>
      <c r="G165" s="5"/>
      <c r="H165" s="5">
        <v>2392.5300000000002</v>
      </c>
      <c r="I165" s="4">
        <v>0</v>
      </c>
      <c r="J165" s="4" t="s">
        <v>323</v>
      </c>
      <c r="K165" s="6" t="s">
        <v>324</v>
      </c>
      <c r="L165" s="6" t="s">
        <v>518</v>
      </c>
      <c r="R165" t="s">
        <v>519</v>
      </c>
    </row>
    <row r="166" spans="1:18" x14ac:dyDescent="0.2">
      <c r="A166" s="4" t="s">
        <v>520</v>
      </c>
      <c r="B166" s="4" t="s">
        <v>517</v>
      </c>
      <c r="C166" s="5" t="s">
        <v>19</v>
      </c>
      <c r="D166" s="5">
        <v>1000</v>
      </c>
      <c r="E166" s="5">
        <f>D166</f>
        <v>1000</v>
      </c>
      <c r="F166" s="5"/>
      <c r="G166" s="5"/>
      <c r="H166" s="5">
        <v>1392.53</v>
      </c>
      <c r="I166" s="4">
        <v>0</v>
      </c>
      <c r="J166" s="4" t="s">
        <v>41</v>
      </c>
      <c r="K166" s="6" t="s">
        <v>42</v>
      </c>
      <c r="L166" s="6" t="s">
        <v>521</v>
      </c>
      <c r="R166" t="s">
        <v>522</v>
      </c>
    </row>
    <row r="167" spans="1:18" x14ac:dyDescent="0.2">
      <c r="A167" s="4" t="s">
        <v>523</v>
      </c>
      <c r="B167" s="4" t="s">
        <v>524</v>
      </c>
      <c r="C167" s="5" t="s">
        <v>34</v>
      </c>
      <c r="D167" s="5">
        <v>500</v>
      </c>
      <c r="E167" s="5">
        <f>D167</f>
        <v>500</v>
      </c>
      <c r="F167" s="5"/>
      <c r="G167" s="5"/>
      <c r="H167" s="5">
        <v>692.53</v>
      </c>
      <c r="I167" s="4">
        <v>0</v>
      </c>
      <c r="J167" s="4" t="s">
        <v>35</v>
      </c>
      <c r="K167" s="6" t="s">
        <v>36</v>
      </c>
      <c r="L167" s="6" t="s">
        <v>525</v>
      </c>
      <c r="R167" t="s">
        <v>526</v>
      </c>
    </row>
    <row r="168" spans="1:18" x14ac:dyDescent="0.2">
      <c r="A168" s="4" t="s">
        <v>527</v>
      </c>
      <c r="B168" s="4" t="s">
        <v>528</v>
      </c>
      <c r="C168" s="5" t="s">
        <v>19</v>
      </c>
      <c r="D168" s="5">
        <v>1000</v>
      </c>
      <c r="E168" s="5">
        <f>D168</f>
        <v>1000</v>
      </c>
      <c r="F168" s="5"/>
      <c r="G168" s="5"/>
      <c r="H168" s="5">
        <v>1361.73</v>
      </c>
      <c r="I168" s="4">
        <v>0</v>
      </c>
      <c r="J168" s="4" t="s">
        <v>41</v>
      </c>
      <c r="K168" s="6" t="s">
        <v>42</v>
      </c>
      <c r="L168" s="6" t="s">
        <v>529</v>
      </c>
      <c r="R168" t="s">
        <v>530</v>
      </c>
    </row>
    <row r="169" spans="1:18" x14ac:dyDescent="0.2">
      <c r="A169" s="4" t="s">
        <v>531</v>
      </c>
      <c r="B169" s="4" t="s">
        <v>532</v>
      </c>
      <c r="C169" s="5" t="s">
        <v>34</v>
      </c>
      <c r="D169" s="5">
        <v>300</v>
      </c>
      <c r="E169" s="5"/>
      <c r="F169" s="5"/>
      <c r="G169" s="5"/>
      <c r="H169" s="5">
        <v>871.72</v>
      </c>
      <c r="I169" s="4">
        <v>0</v>
      </c>
      <c r="J169" s="4" t="s">
        <v>35</v>
      </c>
      <c r="K169" s="6" t="s">
        <v>36</v>
      </c>
      <c r="L169" s="6" t="s">
        <v>533</v>
      </c>
      <c r="R169" t="s">
        <v>534</v>
      </c>
    </row>
    <row r="170" spans="1:18" x14ac:dyDescent="0.2">
      <c r="A170" s="4" t="s">
        <v>535</v>
      </c>
      <c r="B170" s="4" t="s">
        <v>536</v>
      </c>
      <c r="C170" s="5" t="s">
        <v>19</v>
      </c>
      <c r="D170" s="5">
        <v>1000</v>
      </c>
      <c r="E170" s="5">
        <f>D170</f>
        <v>1000</v>
      </c>
      <c r="F170" s="5"/>
      <c r="G170" s="5"/>
      <c r="H170" s="5">
        <v>1153.68</v>
      </c>
      <c r="I170" s="4">
        <v>0</v>
      </c>
      <c r="J170" s="4" t="s">
        <v>41</v>
      </c>
      <c r="K170" s="6" t="s">
        <v>42</v>
      </c>
      <c r="L170" s="6" t="s">
        <v>537</v>
      </c>
      <c r="R170" t="s">
        <v>538</v>
      </c>
    </row>
    <row r="171" spans="1:18" x14ac:dyDescent="0.2">
      <c r="A171" s="4" t="s">
        <v>539</v>
      </c>
      <c r="B171" s="4" t="s">
        <v>540</v>
      </c>
      <c r="C171" s="5" t="s">
        <v>34</v>
      </c>
      <c r="D171" s="5">
        <v>600</v>
      </c>
      <c r="E171" s="5">
        <f>D171</f>
        <v>600</v>
      </c>
      <c r="F171" s="5"/>
      <c r="G171" s="5"/>
      <c r="H171" s="5">
        <v>774.68</v>
      </c>
      <c r="I171" s="4">
        <v>0</v>
      </c>
      <c r="J171" s="4" t="s">
        <v>35</v>
      </c>
      <c r="K171" s="6" t="s">
        <v>36</v>
      </c>
      <c r="L171" s="6" t="s">
        <v>541</v>
      </c>
      <c r="R171" t="s">
        <v>542</v>
      </c>
    </row>
    <row r="172" spans="1:18" x14ac:dyDescent="0.2">
      <c r="A172" s="4" t="s">
        <v>543</v>
      </c>
      <c r="B172" s="4" t="s">
        <v>544</v>
      </c>
      <c r="C172" s="5" t="s">
        <v>34</v>
      </c>
      <c r="D172" s="5">
        <v>550</v>
      </c>
      <c r="E172" s="5"/>
      <c r="F172" s="5"/>
      <c r="G172" s="5"/>
      <c r="H172" s="5">
        <v>1443.68</v>
      </c>
      <c r="I172" s="4">
        <v>0</v>
      </c>
      <c r="J172" s="4" t="s">
        <v>35</v>
      </c>
      <c r="K172" s="6" t="s">
        <v>36</v>
      </c>
      <c r="L172" s="6" t="s">
        <v>545</v>
      </c>
      <c r="R172" t="s">
        <v>546</v>
      </c>
    </row>
    <row r="173" spans="1:18" x14ac:dyDescent="0.2">
      <c r="A173" s="4" t="s">
        <v>547</v>
      </c>
      <c r="B173" s="4" t="s">
        <v>540</v>
      </c>
      <c r="C173" s="5" t="s">
        <v>127</v>
      </c>
      <c r="D173" s="5">
        <v>3900</v>
      </c>
      <c r="E173" s="5"/>
      <c r="F173" s="5"/>
      <c r="G173" s="5"/>
      <c r="H173" s="5">
        <v>4392.95</v>
      </c>
      <c r="I173" s="4">
        <v>0</v>
      </c>
      <c r="J173" s="4" t="s">
        <v>128</v>
      </c>
      <c r="K173" s="6" t="s">
        <v>129</v>
      </c>
      <c r="L173" s="6" t="s">
        <v>165</v>
      </c>
      <c r="R173" t="s">
        <v>548</v>
      </c>
    </row>
    <row r="174" spans="1:18" x14ac:dyDescent="0.2">
      <c r="A174" s="4" t="s">
        <v>549</v>
      </c>
      <c r="B174" s="4" t="s">
        <v>544</v>
      </c>
      <c r="C174" s="5" t="s">
        <v>127</v>
      </c>
      <c r="D174" s="5">
        <v>1570</v>
      </c>
      <c r="E174" s="5"/>
      <c r="F174" s="5"/>
      <c r="G174" s="5"/>
      <c r="H174" s="5">
        <v>6260.23</v>
      </c>
      <c r="I174" s="4">
        <v>0</v>
      </c>
      <c r="J174" s="4" t="s">
        <v>128</v>
      </c>
      <c r="K174" s="6" t="s">
        <v>129</v>
      </c>
      <c r="L174" s="6" t="s">
        <v>550</v>
      </c>
      <c r="R174" t="s">
        <v>551</v>
      </c>
    </row>
    <row r="175" spans="1:18" x14ac:dyDescent="0.2">
      <c r="A175" s="4" t="s">
        <v>552</v>
      </c>
      <c r="B175" s="4" t="s">
        <v>544</v>
      </c>
      <c r="C175" s="5" t="s">
        <v>127</v>
      </c>
      <c r="D175" s="5">
        <v>4400</v>
      </c>
      <c r="E175" s="5"/>
      <c r="F175" s="5"/>
      <c r="G175" s="5"/>
      <c r="H175" s="5">
        <v>4690.2299999999996</v>
      </c>
      <c r="I175" s="4">
        <v>0</v>
      </c>
      <c r="J175" s="4" t="s">
        <v>128</v>
      </c>
      <c r="K175" s="6" t="s">
        <v>129</v>
      </c>
      <c r="L175" s="6" t="s">
        <v>550</v>
      </c>
      <c r="R175" t="s">
        <v>553</v>
      </c>
    </row>
    <row r="176" spans="1:18" x14ac:dyDescent="0.2">
      <c r="A176" s="4"/>
      <c r="B176" s="4"/>
      <c r="C176" s="5"/>
      <c r="D176" s="5"/>
      <c r="E176" s="5"/>
      <c r="F176" s="5"/>
      <c r="G176" s="5"/>
      <c r="H176" s="5"/>
      <c r="I176" s="4"/>
      <c r="J176" s="4"/>
      <c r="K176" s="6"/>
      <c r="L176" s="6"/>
    </row>
    <row r="177" spans="1:18" x14ac:dyDescent="0.2">
      <c r="A177" s="4" t="s">
        <v>554</v>
      </c>
      <c r="B177" s="4" t="s">
        <v>555</v>
      </c>
      <c r="C177" s="5" t="s">
        <v>34</v>
      </c>
      <c r="D177" s="5">
        <v>1650</v>
      </c>
      <c r="E177" s="5"/>
      <c r="F177" s="5"/>
      <c r="G177" s="5"/>
      <c r="H177" s="5">
        <v>2778.48</v>
      </c>
      <c r="I177" s="4">
        <v>0</v>
      </c>
      <c r="J177" s="4" t="s">
        <v>35</v>
      </c>
      <c r="K177" s="6" t="s">
        <v>36</v>
      </c>
      <c r="L177" s="6" t="s">
        <v>556</v>
      </c>
      <c r="R177" t="s">
        <v>557</v>
      </c>
    </row>
    <row r="178" spans="1:18" x14ac:dyDescent="0.2">
      <c r="A178" s="4" t="s">
        <v>558</v>
      </c>
      <c r="B178" s="4" t="s">
        <v>559</v>
      </c>
      <c r="C178" s="5" t="s">
        <v>19</v>
      </c>
      <c r="D178" s="5">
        <v>2109</v>
      </c>
      <c r="E178" s="5"/>
      <c r="F178" s="5">
        <f>$D178</f>
        <v>2109</v>
      </c>
      <c r="G178" s="5"/>
      <c r="H178" s="5">
        <v>2187.48</v>
      </c>
      <c r="I178" s="4">
        <v>0</v>
      </c>
      <c r="J178" s="4" t="s">
        <v>41</v>
      </c>
      <c r="K178" s="6" t="s">
        <v>42</v>
      </c>
      <c r="L178" s="6" t="s">
        <v>560</v>
      </c>
      <c r="R178" t="s">
        <v>561</v>
      </c>
    </row>
    <row r="179" spans="1:18" x14ac:dyDescent="0.2">
      <c r="A179" s="4" t="s">
        <v>562</v>
      </c>
      <c r="B179" s="4" t="s">
        <v>563</v>
      </c>
      <c r="C179" s="5" t="s">
        <v>19</v>
      </c>
      <c r="D179" s="5">
        <v>5000</v>
      </c>
      <c r="E179" s="5"/>
      <c r="F179" s="5"/>
      <c r="G179" s="5"/>
      <c r="H179" s="5">
        <v>6386.07</v>
      </c>
      <c r="I179" s="4">
        <v>0</v>
      </c>
      <c r="J179" s="4" t="s">
        <v>41</v>
      </c>
      <c r="K179" s="6" t="s">
        <v>42</v>
      </c>
      <c r="L179" s="6" t="s">
        <v>564</v>
      </c>
      <c r="R179" t="s">
        <v>565</v>
      </c>
    </row>
    <row r="180" spans="1:18" x14ac:dyDescent="0.2">
      <c r="A180" s="4" t="s">
        <v>566</v>
      </c>
      <c r="B180" s="4" t="s">
        <v>567</v>
      </c>
      <c r="C180" s="5" t="s">
        <v>34</v>
      </c>
      <c r="D180" s="5">
        <v>1500</v>
      </c>
      <c r="E180" s="5">
        <f>D180</f>
        <v>1500</v>
      </c>
      <c r="F180" s="5"/>
      <c r="G180" s="5"/>
      <c r="H180" s="5">
        <v>1619.57</v>
      </c>
      <c r="I180" s="4">
        <v>0</v>
      </c>
      <c r="J180" s="4" t="s">
        <v>35</v>
      </c>
      <c r="K180" s="6" t="s">
        <v>36</v>
      </c>
      <c r="L180" s="6" t="s">
        <v>568</v>
      </c>
      <c r="R180" t="s">
        <v>569</v>
      </c>
    </row>
    <row r="181" spans="1:18" x14ac:dyDescent="0.2">
      <c r="A181" s="4" t="s">
        <v>570</v>
      </c>
      <c r="B181" s="4" t="s">
        <v>571</v>
      </c>
      <c r="C181" s="5" t="s">
        <v>19</v>
      </c>
      <c r="D181" s="5">
        <v>950</v>
      </c>
      <c r="E181" s="5"/>
      <c r="F181" s="5"/>
      <c r="G181" s="5"/>
      <c r="H181" s="5">
        <v>1164.92</v>
      </c>
      <c r="I181" s="4">
        <v>0</v>
      </c>
      <c r="J181" s="4" t="s">
        <v>41</v>
      </c>
      <c r="K181" s="6" t="s">
        <v>42</v>
      </c>
      <c r="L181" s="6" t="s">
        <v>572</v>
      </c>
      <c r="R181" t="s">
        <v>573</v>
      </c>
    </row>
    <row r="182" spans="1:18" x14ac:dyDescent="0.2">
      <c r="A182" s="4" t="s">
        <v>574</v>
      </c>
      <c r="B182" s="4" t="s">
        <v>575</v>
      </c>
      <c r="C182" s="5" t="s">
        <v>92</v>
      </c>
      <c r="D182" s="5">
        <v>5</v>
      </c>
      <c r="E182" s="5"/>
      <c r="F182" s="5"/>
      <c r="G182" s="5"/>
      <c r="H182" s="5">
        <v>2970.07</v>
      </c>
      <c r="I182" s="4">
        <v>0</v>
      </c>
      <c r="J182" s="4" t="s">
        <v>93</v>
      </c>
      <c r="K182" s="6" t="s">
        <v>92</v>
      </c>
      <c r="L182" s="6" t="s">
        <v>576</v>
      </c>
      <c r="R182" t="s">
        <v>577</v>
      </c>
    </row>
    <row r="183" spans="1:18" x14ac:dyDescent="0.2">
      <c r="A183" s="4" t="s">
        <v>578</v>
      </c>
      <c r="B183" s="4" t="s">
        <v>579</v>
      </c>
      <c r="C183" s="5" t="s">
        <v>127</v>
      </c>
      <c r="D183" s="5">
        <v>3500</v>
      </c>
      <c r="E183" s="5"/>
      <c r="F183" s="5"/>
      <c r="G183" s="5"/>
      <c r="H183" s="5">
        <v>4638.59</v>
      </c>
      <c r="I183" s="4">
        <v>0</v>
      </c>
      <c r="J183" s="4" t="s">
        <v>128</v>
      </c>
      <c r="K183" s="6" t="s">
        <v>129</v>
      </c>
      <c r="L183" s="6" t="s">
        <v>130</v>
      </c>
      <c r="R183" t="s">
        <v>580</v>
      </c>
    </row>
    <row r="184" spans="1:18" x14ac:dyDescent="0.2">
      <c r="A184" s="4" t="s">
        <v>581</v>
      </c>
      <c r="B184" s="4" t="s">
        <v>582</v>
      </c>
      <c r="C184" s="5" t="s">
        <v>34</v>
      </c>
      <c r="D184" s="5">
        <v>440</v>
      </c>
      <c r="E184" s="5"/>
      <c r="F184" s="5"/>
      <c r="G184" s="5"/>
      <c r="H184" s="5">
        <v>1138.5899999999999</v>
      </c>
      <c r="I184" s="4">
        <v>0</v>
      </c>
      <c r="J184" s="4" t="s">
        <v>35</v>
      </c>
      <c r="K184" s="6" t="s">
        <v>36</v>
      </c>
      <c r="L184" s="6" t="s">
        <v>583</v>
      </c>
      <c r="R184" t="s">
        <v>584</v>
      </c>
    </row>
    <row r="185" spans="1:18" x14ac:dyDescent="0.2">
      <c r="A185" s="4" t="s">
        <v>585</v>
      </c>
      <c r="B185" s="4" t="s">
        <v>586</v>
      </c>
      <c r="C185" s="5" t="s">
        <v>19</v>
      </c>
      <c r="D185" s="5">
        <v>2108</v>
      </c>
      <c r="E185" s="5"/>
      <c r="F185" s="5"/>
      <c r="G185" s="5"/>
      <c r="H185" s="5">
        <v>2176.8200000000002</v>
      </c>
      <c r="I185" s="4">
        <v>0</v>
      </c>
      <c r="J185" s="4" t="s">
        <v>41</v>
      </c>
      <c r="K185" s="6" t="s">
        <v>42</v>
      </c>
      <c r="L185" s="6" t="s">
        <v>587</v>
      </c>
      <c r="R185" t="s">
        <v>588</v>
      </c>
    </row>
    <row r="186" spans="1:18" x14ac:dyDescent="0.2">
      <c r="A186" s="4"/>
      <c r="B186" s="4"/>
      <c r="C186" s="5"/>
      <c r="D186" s="5"/>
      <c r="E186" s="5"/>
      <c r="F186" s="5"/>
      <c r="G186" s="5"/>
      <c r="H186" s="5"/>
      <c r="I186" s="4"/>
      <c r="J186" s="4"/>
      <c r="K186" s="6"/>
      <c r="L186" s="6"/>
    </row>
    <row r="187" spans="1:18" x14ac:dyDescent="0.2">
      <c r="A187" s="4" t="s">
        <v>589</v>
      </c>
      <c r="B187" s="4" t="s">
        <v>590</v>
      </c>
      <c r="C187" s="5" t="s">
        <v>19</v>
      </c>
      <c r="D187" s="5">
        <v>1500</v>
      </c>
      <c r="E187" s="5">
        <f>D187</f>
        <v>1500</v>
      </c>
      <c r="F187" s="5"/>
      <c r="G187" s="5"/>
      <c r="H187" s="5">
        <v>1716.11</v>
      </c>
      <c r="I187" s="4">
        <v>0</v>
      </c>
      <c r="J187" s="4" t="s">
        <v>41</v>
      </c>
      <c r="K187" s="6" t="s">
        <v>42</v>
      </c>
      <c r="L187" s="6" t="s">
        <v>591</v>
      </c>
      <c r="R187" t="s">
        <v>592</v>
      </c>
    </row>
    <row r="188" spans="1:18" x14ac:dyDescent="0.2">
      <c r="A188" s="4" t="s">
        <v>593</v>
      </c>
      <c r="B188" s="4" t="s">
        <v>594</v>
      </c>
      <c r="C188" s="5" t="s">
        <v>19</v>
      </c>
      <c r="D188" s="5">
        <v>700</v>
      </c>
      <c r="E188" s="5">
        <f>D188</f>
        <v>700</v>
      </c>
      <c r="F188" s="5"/>
      <c r="G188" s="5"/>
      <c r="H188" s="5">
        <v>783.86</v>
      </c>
      <c r="I188" s="4">
        <v>0</v>
      </c>
      <c r="J188" s="4" t="s">
        <v>41</v>
      </c>
      <c r="K188" s="6" t="s">
        <v>42</v>
      </c>
      <c r="L188" s="6" t="s">
        <v>595</v>
      </c>
      <c r="R188" t="s">
        <v>596</v>
      </c>
    </row>
    <row r="189" spans="1:18" x14ac:dyDescent="0.2">
      <c r="A189" s="4" t="s">
        <v>597</v>
      </c>
      <c r="B189" s="4" t="s">
        <v>598</v>
      </c>
      <c r="C189" s="5" t="s">
        <v>19</v>
      </c>
      <c r="D189" s="5">
        <v>1000</v>
      </c>
      <c r="E189" s="5">
        <f>D189</f>
        <v>1000</v>
      </c>
      <c r="F189" s="5"/>
      <c r="G189" s="5"/>
      <c r="H189" s="5">
        <v>1645.05</v>
      </c>
      <c r="I189" s="4">
        <v>0</v>
      </c>
      <c r="J189" s="4" t="s">
        <v>41</v>
      </c>
      <c r="K189" s="6" t="s">
        <v>42</v>
      </c>
      <c r="L189" s="6" t="s">
        <v>599</v>
      </c>
      <c r="R189" t="s">
        <v>600</v>
      </c>
    </row>
    <row r="190" spans="1:18" x14ac:dyDescent="0.2">
      <c r="A190" s="4" t="s">
        <v>601</v>
      </c>
      <c r="B190" s="4" t="s">
        <v>602</v>
      </c>
      <c r="C190" s="5" t="s">
        <v>19</v>
      </c>
      <c r="D190" s="5">
        <v>1000</v>
      </c>
      <c r="E190" s="5">
        <f>D190</f>
        <v>1000</v>
      </c>
      <c r="F190" s="5"/>
      <c r="G190" s="5"/>
      <c r="H190" s="5">
        <v>1212.45</v>
      </c>
      <c r="I190" s="4">
        <v>0</v>
      </c>
      <c r="J190" s="4" t="s">
        <v>41</v>
      </c>
      <c r="K190" s="6" t="s">
        <v>42</v>
      </c>
      <c r="L190" s="6" t="s">
        <v>603</v>
      </c>
      <c r="R190" t="s">
        <v>604</v>
      </c>
    </row>
    <row r="191" spans="1:18" x14ac:dyDescent="0.2">
      <c r="A191" s="4" t="s">
        <v>605</v>
      </c>
      <c r="B191" s="4" t="s">
        <v>606</v>
      </c>
      <c r="C191" s="5" t="s">
        <v>19</v>
      </c>
      <c r="D191" s="5">
        <v>700</v>
      </c>
      <c r="E191" s="5">
        <f>D191</f>
        <v>700</v>
      </c>
      <c r="F191" s="5"/>
      <c r="G191" s="5"/>
      <c r="H191" s="5">
        <v>753.09</v>
      </c>
      <c r="I191" s="4">
        <v>0</v>
      </c>
      <c r="J191" s="4" t="s">
        <v>41</v>
      </c>
      <c r="K191" s="6" t="s">
        <v>42</v>
      </c>
      <c r="L191" s="6" t="s">
        <v>607</v>
      </c>
      <c r="R191" t="s">
        <v>608</v>
      </c>
    </row>
    <row r="192" spans="1:18" x14ac:dyDescent="0.2">
      <c r="A192" s="4" t="s">
        <v>609</v>
      </c>
      <c r="B192" s="4" t="s">
        <v>610</v>
      </c>
      <c r="C192" s="5" t="s">
        <v>19</v>
      </c>
      <c r="D192" s="5">
        <v>400</v>
      </c>
      <c r="E192" s="5"/>
      <c r="F192" s="5"/>
      <c r="G192" s="5"/>
      <c r="H192" s="5">
        <v>404.39</v>
      </c>
      <c r="I192" s="4">
        <v>0</v>
      </c>
      <c r="J192" s="4" t="s">
        <v>41</v>
      </c>
      <c r="K192" s="6" t="s">
        <v>42</v>
      </c>
      <c r="L192" s="6" t="s">
        <v>611</v>
      </c>
      <c r="R192" t="s">
        <v>612</v>
      </c>
    </row>
    <row r="193" spans="1:18" x14ac:dyDescent="0.2">
      <c r="A193" s="4" t="s">
        <v>613</v>
      </c>
      <c r="B193" s="4" t="s">
        <v>614</v>
      </c>
      <c r="C193" s="5" t="s">
        <v>19</v>
      </c>
      <c r="D193" s="5">
        <v>600</v>
      </c>
      <c r="E193" s="5">
        <f>D193</f>
        <v>600</v>
      </c>
      <c r="F193" s="5"/>
      <c r="G193" s="5"/>
      <c r="H193" s="5">
        <v>605.6</v>
      </c>
      <c r="I193" s="4">
        <v>0</v>
      </c>
      <c r="J193" s="4" t="s">
        <v>41</v>
      </c>
      <c r="K193" s="6" t="s">
        <v>42</v>
      </c>
      <c r="L193" s="6" t="s">
        <v>615</v>
      </c>
      <c r="R193" t="s">
        <v>616</v>
      </c>
    </row>
    <row r="194" spans="1:18" x14ac:dyDescent="0.2">
      <c r="A194" s="4"/>
      <c r="B194" s="4"/>
      <c r="C194" s="5"/>
      <c r="D194" s="5"/>
      <c r="E194" s="5"/>
      <c r="F194" s="5"/>
      <c r="G194" s="5"/>
      <c r="H194" s="5"/>
      <c r="I194" s="4"/>
      <c r="J194" s="4"/>
      <c r="K194" s="6"/>
      <c r="L194" s="6"/>
    </row>
    <row r="195" spans="1:18" x14ac:dyDescent="0.2">
      <c r="A195" s="4" t="s">
        <v>617</v>
      </c>
      <c r="B195" s="4" t="s">
        <v>618</v>
      </c>
      <c r="C195" s="5" t="s">
        <v>19</v>
      </c>
      <c r="D195" s="5">
        <v>2107</v>
      </c>
      <c r="E195" s="5"/>
      <c r="F195" s="5">
        <f>$D195</f>
        <v>2107</v>
      </c>
      <c r="G195" s="5"/>
      <c r="H195" s="5">
        <v>2227.79</v>
      </c>
      <c r="I195" s="4">
        <v>0</v>
      </c>
      <c r="J195" s="4" t="s">
        <v>41</v>
      </c>
      <c r="K195" s="6" t="s">
        <v>42</v>
      </c>
      <c r="L195" s="6" t="s">
        <v>619</v>
      </c>
      <c r="R195" t="s">
        <v>620</v>
      </c>
    </row>
    <row r="196" spans="1:18" x14ac:dyDescent="0.2">
      <c r="A196" s="4" t="s">
        <v>621</v>
      </c>
      <c r="B196" s="4" t="s">
        <v>622</v>
      </c>
      <c r="C196" s="5" t="s">
        <v>19</v>
      </c>
      <c r="D196" s="5">
        <v>600</v>
      </c>
      <c r="E196" s="5">
        <f>D196</f>
        <v>600</v>
      </c>
      <c r="F196" s="5"/>
      <c r="G196" s="5"/>
      <c r="H196" s="5">
        <v>753.79</v>
      </c>
      <c r="I196" s="4">
        <v>0</v>
      </c>
      <c r="J196" s="4" t="s">
        <v>41</v>
      </c>
      <c r="K196" s="6" t="s">
        <v>42</v>
      </c>
      <c r="L196" s="6" t="s">
        <v>623</v>
      </c>
      <c r="R196" t="s">
        <v>624</v>
      </c>
    </row>
    <row r="197" spans="1:18" x14ac:dyDescent="0.2">
      <c r="A197" s="4" t="s">
        <v>625</v>
      </c>
      <c r="B197" s="4" t="s">
        <v>626</v>
      </c>
      <c r="C197" s="5" t="s">
        <v>34</v>
      </c>
      <c r="D197" s="5">
        <v>500</v>
      </c>
      <c r="E197" s="5">
        <f>D197</f>
        <v>500</v>
      </c>
      <c r="F197" s="5"/>
      <c r="G197" s="5"/>
      <c r="H197" s="5">
        <v>533.75</v>
      </c>
      <c r="I197" s="4">
        <v>0</v>
      </c>
      <c r="J197" s="4" t="s">
        <v>35</v>
      </c>
      <c r="K197" s="6" t="s">
        <v>36</v>
      </c>
      <c r="L197" s="6" t="s">
        <v>627</v>
      </c>
      <c r="R197" t="s">
        <v>628</v>
      </c>
    </row>
    <row r="198" spans="1:18" x14ac:dyDescent="0.2">
      <c r="A198" s="4" t="s">
        <v>629</v>
      </c>
      <c r="B198" s="4" t="s">
        <v>630</v>
      </c>
      <c r="C198" s="5" t="s">
        <v>34</v>
      </c>
      <c r="D198" s="5">
        <v>500</v>
      </c>
      <c r="E198" s="5">
        <f>D198</f>
        <v>500</v>
      </c>
      <c r="F198" s="5"/>
      <c r="G198" s="5"/>
      <c r="H198" s="5">
        <v>503.5</v>
      </c>
      <c r="I198" s="4">
        <v>0</v>
      </c>
      <c r="J198" s="4" t="s">
        <v>35</v>
      </c>
      <c r="K198" s="6" t="s">
        <v>36</v>
      </c>
      <c r="L198" s="6" t="s">
        <v>631</v>
      </c>
      <c r="R198" t="s">
        <v>632</v>
      </c>
    </row>
    <row r="199" spans="1:18" x14ac:dyDescent="0.2">
      <c r="A199" s="4" t="s">
        <v>633</v>
      </c>
      <c r="B199" s="4" t="s">
        <v>634</v>
      </c>
      <c r="C199" s="5" t="s">
        <v>34</v>
      </c>
      <c r="D199" s="5">
        <v>500</v>
      </c>
      <c r="E199" s="5">
        <f>D199</f>
        <v>500</v>
      </c>
      <c r="F199" s="5"/>
      <c r="G199" s="5"/>
      <c r="H199" s="5">
        <v>500</v>
      </c>
      <c r="I199" s="4">
        <v>0</v>
      </c>
      <c r="J199" s="4" t="s">
        <v>323</v>
      </c>
      <c r="K199" s="6" t="s">
        <v>324</v>
      </c>
      <c r="L199" s="6" t="s">
        <v>635</v>
      </c>
      <c r="R199" t="s">
        <v>636</v>
      </c>
    </row>
    <row r="200" spans="1:18" x14ac:dyDescent="0.2">
      <c r="A200" s="4" t="s">
        <v>637</v>
      </c>
      <c r="B200" s="4" t="s">
        <v>634</v>
      </c>
      <c r="C200" s="5" t="s">
        <v>34</v>
      </c>
      <c r="D200" s="5">
        <v>500</v>
      </c>
      <c r="E200" s="5">
        <f>D200</f>
        <v>500</v>
      </c>
      <c r="F200" s="5"/>
      <c r="G200" s="5"/>
      <c r="H200" s="5">
        <v>609.33000000000004</v>
      </c>
      <c r="I200" s="4">
        <v>0</v>
      </c>
      <c r="J200" s="4" t="s">
        <v>35</v>
      </c>
      <c r="K200" s="6" t="s">
        <v>36</v>
      </c>
      <c r="L200" s="6" t="s">
        <v>638</v>
      </c>
      <c r="R200" t="s">
        <v>639</v>
      </c>
    </row>
    <row r="201" spans="1:18" x14ac:dyDescent="0.2">
      <c r="A201" s="4" t="s">
        <v>640</v>
      </c>
      <c r="B201" s="4" t="s">
        <v>634</v>
      </c>
      <c r="C201" s="5" t="s">
        <v>34</v>
      </c>
      <c r="D201" s="5">
        <v>150</v>
      </c>
      <c r="E201" s="5"/>
      <c r="F201" s="5"/>
      <c r="G201" s="5"/>
      <c r="H201" s="5">
        <v>419.83</v>
      </c>
      <c r="I201" s="4">
        <v>0</v>
      </c>
      <c r="J201" s="4" t="s">
        <v>35</v>
      </c>
      <c r="K201" s="6" t="s">
        <v>36</v>
      </c>
      <c r="L201" s="6" t="s">
        <v>641</v>
      </c>
      <c r="R201" t="s">
        <v>642</v>
      </c>
    </row>
    <row r="202" spans="1:18" x14ac:dyDescent="0.2">
      <c r="A202" s="4" t="s">
        <v>643</v>
      </c>
      <c r="B202" s="4" t="s">
        <v>634</v>
      </c>
      <c r="C202" s="5" t="s">
        <v>34</v>
      </c>
      <c r="D202" s="5">
        <v>600</v>
      </c>
      <c r="E202" s="5">
        <f>D202</f>
        <v>600</v>
      </c>
      <c r="F202" s="5"/>
      <c r="G202" s="5"/>
      <c r="H202" s="5">
        <v>653.83000000000004</v>
      </c>
      <c r="I202" s="4">
        <v>0</v>
      </c>
      <c r="J202" s="4" t="s">
        <v>35</v>
      </c>
      <c r="K202" s="6" t="s">
        <v>36</v>
      </c>
      <c r="L202" s="6" t="s">
        <v>644</v>
      </c>
      <c r="R202" t="s">
        <v>645</v>
      </c>
    </row>
    <row r="203" spans="1:18" x14ac:dyDescent="0.2">
      <c r="A203" s="4" t="s">
        <v>646</v>
      </c>
      <c r="B203" s="4" t="s">
        <v>634</v>
      </c>
      <c r="C203" s="5" t="s">
        <v>34</v>
      </c>
      <c r="D203" s="5">
        <v>80</v>
      </c>
      <c r="E203" s="5"/>
      <c r="F203" s="5"/>
      <c r="G203" s="5"/>
      <c r="H203" s="5">
        <v>153.83000000000001</v>
      </c>
      <c r="I203" s="4">
        <v>0</v>
      </c>
      <c r="J203" s="4" t="s">
        <v>35</v>
      </c>
      <c r="K203" s="6" t="s">
        <v>36</v>
      </c>
      <c r="L203" s="6" t="s">
        <v>647</v>
      </c>
      <c r="R203" t="s">
        <v>648</v>
      </c>
    </row>
    <row r="204" spans="1:18" x14ac:dyDescent="0.2">
      <c r="A204" s="4" t="s">
        <v>649</v>
      </c>
      <c r="B204" s="4" t="s">
        <v>650</v>
      </c>
      <c r="C204" s="5" t="s">
        <v>19</v>
      </c>
      <c r="D204" s="5">
        <v>500</v>
      </c>
      <c r="E204" s="5"/>
      <c r="F204" s="5">
        <f>$D204</f>
        <v>500</v>
      </c>
      <c r="G204" s="5"/>
      <c r="H204" s="5">
        <v>867.48</v>
      </c>
      <c r="I204" s="4">
        <v>0</v>
      </c>
      <c r="J204" s="4" t="s">
        <v>41</v>
      </c>
      <c r="K204" s="6" t="s">
        <v>42</v>
      </c>
      <c r="L204" s="6" t="s">
        <v>651</v>
      </c>
      <c r="R204" t="s">
        <v>652</v>
      </c>
    </row>
    <row r="205" spans="1:18" x14ac:dyDescent="0.2">
      <c r="A205" s="4" t="s">
        <v>653</v>
      </c>
      <c r="B205" s="4" t="s">
        <v>650</v>
      </c>
      <c r="C205" s="5" t="s">
        <v>34</v>
      </c>
      <c r="D205" s="5">
        <v>600</v>
      </c>
      <c r="E205" s="5">
        <f>D205</f>
        <v>600</v>
      </c>
      <c r="F205" s="5"/>
      <c r="G205" s="5"/>
      <c r="H205" s="5">
        <v>617.48</v>
      </c>
      <c r="I205" s="4">
        <v>0</v>
      </c>
      <c r="J205" s="4" t="s">
        <v>35</v>
      </c>
      <c r="K205" s="6" t="s">
        <v>36</v>
      </c>
      <c r="L205" s="6" t="s">
        <v>654</v>
      </c>
      <c r="R205" t="s">
        <v>655</v>
      </c>
    </row>
    <row r="206" spans="1:18" x14ac:dyDescent="0.2">
      <c r="A206" s="4" t="s">
        <v>656</v>
      </c>
      <c r="B206" s="4" t="s">
        <v>657</v>
      </c>
      <c r="C206" s="5" t="s">
        <v>19</v>
      </c>
      <c r="D206" s="5">
        <v>500</v>
      </c>
      <c r="E206" s="5">
        <f>D206</f>
        <v>500</v>
      </c>
      <c r="F206" s="5"/>
      <c r="G206" s="5"/>
      <c r="H206" s="5">
        <v>917.48</v>
      </c>
      <c r="I206" s="4">
        <v>0</v>
      </c>
      <c r="J206" s="4" t="s">
        <v>41</v>
      </c>
      <c r="K206" s="6" t="s">
        <v>42</v>
      </c>
      <c r="L206" s="6" t="s">
        <v>658</v>
      </c>
      <c r="R206" t="s">
        <v>659</v>
      </c>
    </row>
    <row r="207" spans="1:18" x14ac:dyDescent="0.2">
      <c r="A207" s="4" t="s">
        <v>660</v>
      </c>
      <c r="B207" s="4" t="s">
        <v>657</v>
      </c>
      <c r="C207" s="5" t="s">
        <v>34</v>
      </c>
      <c r="D207" s="5">
        <v>500</v>
      </c>
      <c r="E207" s="5">
        <f>D207</f>
        <v>500</v>
      </c>
      <c r="F207" s="5"/>
      <c r="G207" s="5"/>
      <c r="H207" s="5">
        <v>515.48</v>
      </c>
      <c r="I207" s="4">
        <v>0</v>
      </c>
      <c r="J207" s="4" t="s">
        <v>35</v>
      </c>
      <c r="K207" s="6" t="s">
        <v>36</v>
      </c>
      <c r="L207" s="6" t="s">
        <v>661</v>
      </c>
      <c r="R207" t="s">
        <v>662</v>
      </c>
    </row>
    <row r="208" spans="1:18" x14ac:dyDescent="0.2">
      <c r="A208" s="4"/>
      <c r="B208" s="4"/>
      <c r="C208" s="5"/>
      <c r="D208" s="5"/>
      <c r="E208" s="5"/>
      <c r="F208" s="5"/>
      <c r="G208" s="5"/>
      <c r="H208" s="5"/>
      <c r="I208" s="4"/>
      <c r="J208" s="4"/>
      <c r="K208" s="6"/>
      <c r="L208" s="6"/>
    </row>
    <row r="209" spans="1:18" x14ac:dyDescent="0.2">
      <c r="A209" s="4" t="s">
        <v>663</v>
      </c>
      <c r="B209" s="4" t="s">
        <v>664</v>
      </c>
      <c r="C209" s="5" t="s">
        <v>19</v>
      </c>
      <c r="D209" s="5">
        <v>1506</v>
      </c>
      <c r="E209" s="5"/>
      <c r="F209" s="5">
        <f>$D209</f>
        <v>1506</v>
      </c>
      <c r="G209" s="5"/>
      <c r="H209" s="5">
        <v>1738.97</v>
      </c>
      <c r="I209" s="4">
        <v>0</v>
      </c>
      <c r="J209" s="4" t="s">
        <v>41</v>
      </c>
      <c r="K209" s="6" t="s">
        <v>42</v>
      </c>
      <c r="L209" s="6" t="s">
        <v>665</v>
      </c>
      <c r="R209" t="s">
        <v>666</v>
      </c>
    </row>
    <row r="210" spans="1:18" x14ac:dyDescent="0.2">
      <c r="A210" s="4" t="s">
        <v>667</v>
      </c>
      <c r="B210" s="4" t="s">
        <v>664</v>
      </c>
      <c r="C210" s="5" t="s">
        <v>34</v>
      </c>
      <c r="D210" s="5">
        <v>500</v>
      </c>
      <c r="E210" s="5">
        <f>D210</f>
        <v>500</v>
      </c>
      <c r="F210" s="5"/>
      <c r="G210" s="5"/>
      <c r="H210" s="5">
        <v>521.47</v>
      </c>
      <c r="I210" s="4">
        <v>0</v>
      </c>
      <c r="J210" s="4" t="s">
        <v>35</v>
      </c>
      <c r="K210" s="6" t="s">
        <v>36</v>
      </c>
      <c r="L210" s="6" t="s">
        <v>668</v>
      </c>
      <c r="R210" t="s">
        <v>669</v>
      </c>
    </row>
    <row r="211" spans="1:18" x14ac:dyDescent="0.2">
      <c r="A211" s="4" t="s">
        <v>670</v>
      </c>
      <c r="B211" s="4" t="s">
        <v>671</v>
      </c>
      <c r="C211" s="5" t="s">
        <v>34</v>
      </c>
      <c r="D211" s="5">
        <v>600</v>
      </c>
      <c r="E211" s="5">
        <f>D211</f>
        <v>600</v>
      </c>
      <c r="F211" s="5"/>
      <c r="G211" s="5"/>
      <c r="H211" s="5">
        <v>600.72</v>
      </c>
      <c r="I211" s="4">
        <v>0</v>
      </c>
      <c r="J211" s="4" t="s">
        <v>35</v>
      </c>
      <c r="K211" s="6" t="s">
        <v>36</v>
      </c>
      <c r="L211" s="6" t="s">
        <v>672</v>
      </c>
      <c r="R211" t="s">
        <v>673</v>
      </c>
    </row>
    <row r="212" spans="1:18" x14ac:dyDescent="0.2">
      <c r="A212" s="4" t="s">
        <v>674</v>
      </c>
      <c r="B212" s="4" t="s">
        <v>671</v>
      </c>
      <c r="C212" s="5" t="s">
        <v>19</v>
      </c>
      <c r="D212" s="5">
        <v>100</v>
      </c>
      <c r="E212" s="5"/>
      <c r="F212" s="5"/>
      <c r="G212" s="5"/>
      <c r="H212" s="5">
        <v>100.72</v>
      </c>
      <c r="I212" s="4">
        <v>0</v>
      </c>
      <c r="J212" s="4" t="s">
        <v>41</v>
      </c>
      <c r="K212" s="6" t="s">
        <v>42</v>
      </c>
      <c r="L212" s="6" t="s">
        <v>675</v>
      </c>
      <c r="R212" t="s">
        <v>676</v>
      </c>
    </row>
    <row r="213" spans="1:18" x14ac:dyDescent="0.2">
      <c r="A213" s="4" t="s">
        <v>677</v>
      </c>
      <c r="B213" s="4" t="s">
        <v>678</v>
      </c>
      <c r="C213" s="5" t="s">
        <v>19</v>
      </c>
      <c r="D213" s="5">
        <v>400</v>
      </c>
      <c r="E213" s="5">
        <f t="shared" ref="E213:E221" si="1">D213</f>
        <v>400</v>
      </c>
      <c r="F213" s="5"/>
      <c r="G213" s="5"/>
      <c r="H213" s="5">
        <v>402.72</v>
      </c>
      <c r="I213" s="4">
        <v>0</v>
      </c>
      <c r="J213" s="4" t="s">
        <v>41</v>
      </c>
      <c r="K213" s="6" t="s">
        <v>42</v>
      </c>
      <c r="L213" s="6" t="s">
        <v>679</v>
      </c>
      <c r="R213" t="s">
        <v>680</v>
      </c>
    </row>
    <row r="214" spans="1:18" x14ac:dyDescent="0.2">
      <c r="A214" s="4" t="s">
        <v>681</v>
      </c>
      <c r="B214" s="4" t="s">
        <v>682</v>
      </c>
      <c r="C214" s="5" t="s">
        <v>34</v>
      </c>
      <c r="D214" s="5">
        <v>600</v>
      </c>
      <c r="E214" s="5">
        <f t="shared" si="1"/>
        <v>600</v>
      </c>
      <c r="F214" s="5"/>
      <c r="G214" s="5"/>
      <c r="H214" s="5">
        <v>603.41</v>
      </c>
      <c r="I214" s="4">
        <v>0</v>
      </c>
      <c r="J214" s="4" t="s">
        <v>35</v>
      </c>
      <c r="K214" s="6" t="s">
        <v>36</v>
      </c>
      <c r="L214" s="6" t="s">
        <v>683</v>
      </c>
      <c r="R214" t="s">
        <v>684</v>
      </c>
    </row>
    <row r="215" spans="1:18" x14ac:dyDescent="0.2">
      <c r="A215" s="4" t="s">
        <v>685</v>
      </c>
      <c r="B215" s="4" t="s">
        <v>686</v>
      </c>
      <c r="C215" s="5" t="s">
        <v>34</v>
      </c>
      <c r="D215" s="5">
        <v>500</v>
      </c>
      <c r="E215" s="5">
        <f t="shared" si="1"/>
        <v>500</v>
      </c>
      <c r="F215" s="5"/>
      <c r="G215" s="5"/>
      <c r="H215" s="5">
        <v>781.91</v>
      </c>
      <c r="I215" s="4">
        <v>0</v>
      </c>
      <c r="J215" s="4" t="s">
        <v>35</v>
      </c>
      <c r="K215" s="6" t="s">
        <v>36</v>
      </c>
      <c r="L215" s="6" t="s">
        <v>687</v>
      </c>
      <c r="R215" t="s">
        <v>688</v>
      </c>
    </row>
    <row r="216" spans="1:18" x14ac:dyDescent="0.2">
      <c r="A216" s="4" t="s">
        <v>689</v>
      </c>
      <c r="B216" s="4" t="s">
        <v>690</v>
      </c>
      <c r="C216" s="5" t="s">
        <v>34</v>
      </c>
      <c r="D216" s="5">
        <v>600</v>
      </c>
      <c r="E216" s="5">
        <f t="shared" si="1"/>
        <v>600</v>
      </c>
      <c r="F216" s="5"/>
      <c r="G216" s="5"/>
      <c r="H216" s="5">
        <v>618.65</v>
      </c>
      <c r="I216" s="4">
        <v>0</v>
      </c>
      <c r="J216" s="4" t="s">
        <v>35</v>
      </c>
      <c r="K216" s="6" t="s">
        <v>36</v>
      </c>
      <c r="L216" s="6" t="s">
        <v>691</v>
      </c>
      <c r="R216" t="s">
        <v>692</v>
      </c>
    </row>
    <row r="217" spans="1:18" x14ac:dyDescent="0.2">
      <c r="A217" s="4" t="s">
        <v>693</v>
      </c>
      <c r="B217" s="4" t="s">
        <v>694</v>
      </c>
      <c r="C217" s="5" t="s">
        <v>34</v>
      </c>
      <c r="D217" s="5">
        <v>500</v>
      </c>
      <c r="E217" s="5">
        <f t="shared" si="1"/>
        <v>500</v>
      </c>
      <c r="F217" s="5"/>
      <c r="G217" s="5"/>
      <c r="H217" s="5">
        <v>502.77</v>
      </c>
      <c r="I217" s="4">
        <v>0</v>
      </c>
      <c r="J217" s="4" t="s">
        <v>35</v>
      </c>
      <c r="K217" s="6" t="s">
        <v>36</v>
      </c>
      <c r="L217" s="6" t="s">
        <v>695</v>
      </c>
      <c r="R217" t="s">
        <v>696</v>
      </c>
    </row>
    <row r="218" spans="1:18" x14ac:dyDescent="0.2">
      <c r="A218" s="4" t="s">
        <v>697</v>
      </c>
      <c r="B218" s="4" t="s">
        <v>698</v>
      </c>
      <c r="C218" s="5" t="s">
        <v>34</v>
      </c>
      <c r="D218" s="5">
        <v>500</v>
      </c>
      <c r="E218" s="5">
        <f t="shared" si="1"/>
        <v>500</v>
      </c>
      <c r="F218" s="5"/>
      <c r="G218" s="5"/>
      <c r="H218" s="5">
        <v>526.66999999999996</v>
      </c>
      <c r="I218" s="4">
        <v>0</v>
      </c>
      <c r="J218" s="4" t="s">
        <v>35</v>
      </c>
      <c r="K218" s="6" t="s">
        <v>36</v>
      </c>
      <c r="L218" s="6" t="s">
        <v>699</v>
      </c>
      <c r="R218" t="s">
        <v>700</v>
      </c>
    </row>
    <row r="219" spans="1:18" x14ac:dyDescent="0.2">
      <c r="A219" s="4" t="s">
        <v>701</v>
      </c>
      <c r="B219" s="4" t="s">
        <v>702</v>
      </c>
      <c r="C219" s="5" t="s">
        <v>34</v>
      </c>
      <c r="D219" s="5">
        <v>500</v>
      </c>
      <c r="E219" s="5">
        <f t="shared" si="1"/>
        <v>500</v>
      </c>
      <c r="F219" s="5"/>
      <c r="G219" s="5"/>
      <c r="H219" s="5">
        <v>500.67</v>
      </c>
      <c r="I219" s="4">
        <v>0</v>
      </c>
      <c r="J219" s="4" t="s">
        <v>35</v>
      </c>
      <c r="K219" s="6" t="s">
        <v>36</v>
      </c>
      <c r="L219" s="6" t="s">
        <v>703</v>
      </c>
      <c r="R219" t="s">
        <v>704</v>
      </c>
    </row>
    <row r="220" spans="1:18" x14ac:dyDescent="0.2">
      <c r="A220" s="4" t="s">
        <v>705</v>
      </c>
      <c r="B220" s="4" t="s">
        <v>702</v>
      </c>
      <c r="C220" s="5" t="s">
        <v>34</v>
      </c>
      <c r="D220" s="5">
        <v>500</v>
      </c>
      <c r="E220" s="5">
        <f t="shared" si="1"/>
        <v>500</v>
      </c>
      <c r="F220" s="5"/>
      <c r="G220" s="5"/>
      <c r="H220" s="5">
        <v>504.67</v>
      </c>
      <c r="I220" s="4">
        <v>0</v>
      </c>
      <c r="J220" s="4" t="s">
        <v>35</v>
      </c>
      <c r="K220" s="6" t="s">
        <v>36</v>
      </c>
      <c r="L220" s="6" t="s">
        <v>706</v>
      </c>
      <c r="R220" t="s">
        <v>707</v>
      </c>
    </row>
    <row r="221" spans="1:18" x14ac:dyDescent="0.2">
      <c r="A221" s="4" t="s">
        <v>708</v>
      </c>
      <c r="B221" s="4" t="s">
        <v>709</v>
      </c>
      <c r="C221" s="5" t="s">
        <v>34</v>
      </c>
      <c r="D221" s="5">
        <v>500</v>
      </c>
      <c r="E221" s="5">
        <f t="shared" si="1"/>
        <v>500</v>
      </c>
      <c r="F221" s="5"/>
      <c r="G221" s="5"/>
      <c r="H221" s="5">
        <v>506.57</v>
      </c>
      <c r="I221" s="4">
        <v>0</v>
      </c>
      <c r="J221" s="4" t="s">
        <v>35</v>
      </c>
      <c r="K221" s="6" t="s">
        <v>36</v>
      </c>
      <c r="L221" s="6" t="s">
        <v>710</v>
      </c>
      <c r="R221" t="s">
        <v>711</v>
      </c>
    </row>
    <row r="222" spans="1:18" x14ac:dyDescent="0.2">
      <c r="A222" s="4"/>
      <c r="B222" s="4"/>
      <c r="C222" s="5"/>
      <c r="D222" s="5"/>
      <c r="E222" s="5"/>
      <c r="F222" s="5"/>
      <c r="G222" s="5"/>
      <c r="H222" s="5"/>
      <c r="I222" s="4"/>
      <c r="J222" s="4"/>
      <c r="K222" s="6"/>
      <c r="L222" s="6"/>
    </row>
    <row r="223" spans="1:18" x14ac:dyDescent="0.2">
      <c r="A223" s="4" t="s">
        <v>712</v>
      </c>
      <c r="B223" s="4" t="s">
        <v>713</v>
      </c>
      <c r="C223" s="5" t="s">
        <v>19</v>
      </c>
      <c r="D223" s="5">
        <v>1505</v>
      </c>
      <c r="E223" s="5"/>
      <c r="F223" s="5">
        <f>$D223</f>
        <v>1505</v>
      </c>
      <c r="G223" s="5"/>
      <c r="H223" s="5">
        <v>1645.98</v>
      </c>
      <c r="I223" s="4">
        <v>0</v>
      </c>
      <c r="J223" s="4" t="s">
        <v>41</v>
      </c>
      <c r="K223" s="6" t="s">
        <v>42</v>
      </c>
      <c r="L223" s="6" t="s">
        <v>714</v>
      </c>
      <c r="R223" t="s">
        <v>715</v>
      </c>
    </row>
    <row r="224" spans="1:18" x14ac:dyDescent="0.2">
      <c r="A224" s="4" t="s">
        <v>716</v>
      </c>
      <c r="B224" s="4" t="s">
        <v>717</v>
      </c>
      <c r="C224" s="5" t="s">
        <v>34</v>
      </c>
      <c r="D224" s="5">
        <v>500</v>
      </c>
      <c r="E224" s="5">
        <f>D224</f>
        <v>500</v>
      </c>
      <c r="F224" s="5"/>
      <c r="G224" s="5"/>
      <c r="H224" s="5">
        <v>500</v>
      </c>
      <c r="I224" s="4">
        <v>0</v>
      </c>
      <c r="J224" s="4" t="s">
        <v>35</v>
      </c>
      <c r="K224" s="6" t="s">
        <v>36</v>
      </c>
      <c r="L224" s="6" t="s">
        <v>718</v>
      </c>
      <c r="R224" t="s">
        <v>719</v>
      </c>
    </row>
    <row r="225" spans="1:18" x14ac:dyDescent="0.2">
      <c r="A225" s="4" t="s">
        <v>720</v>
      </c>
      <c r="B225" s="4" t="s">
        <v>721</v>
      </c>
      <c r="C225" s="5" t="s">
        <v>19</v>
      </c>
      <c r="D225" s="5">
        <v>1000</v>
      </c>
      <c r="E225" s="5">
        <f>D225</f>
        <v>1000</v>
      </c>
      <c r="F225" s="5"/>
      <c r="G225" s="5"/>
      <c r="H225" s="5">
        <v>1101.8699999999999</v>
      </c>
      <c r="I225" s="4">
        <v>0</v>
      </c>
      <c r="J225" s="4" t="s">
        <v>722</v>
      </c>
      <c r="K225" s="6" t="s">
        <v>723</v>
      </c>
      <c r="L225" s="6" t="s">
        <v>724</v>
      </c>
      <c r="R225" t="s">
        <v>725</v>
      </c>
    </row>
    <row r="226" spans="1:18" x14ac:dyDescent="0.2">
      <c r="A226" s="4" t="s">
        <v>726</v>
      </c>
      <c r="B226" s="4" t="s">
        <v>727</v>
      </c>
      <c r="C226" s="5" t="s">
        <v>19</v>
      </c>
      <c r="D226" s="5">
        <v>500</v>
      </c>
      <c r="E226" s="5">
        <f>D226</f>
        <v>500</v>
      </c>
      <c r="F226" s="5"/>
      <c r="G226" s="5"/>
      <c r="H226" s="5">
        <v>683.06</v>
      </c>
      <c r="I226" s="4">
        <v>0</v>
      </c>
      <c r="J226" s="4" t="s">
        <v>722</v>
      </c>
      <c r="K226" s="6" t="s">
        <v>723</v>
      </c>
      <c r="L226" s="6" t="s">
        <v>728</v>
      </c>
      <c r="R226" t="s">
        <v>729</v>
      </c>
    </row>
    <row r="227" spans="1:18" x14ac:dyDescent="0.2">
      <c r="A227" s="4" t="s">
        <v>730</v>
      </c>
      <c r="B227" s="4" t="s">
        <v>731</v>
      </c>
      <c r="C227" s="5" t="s">
        <v>19</v>
      </c>
      <c r="D227" s="5">
        <v>150</v>
      </c>
      <c r="E227" s="5"/>
      <c r="F227" s="5"/>
      <c r="G227" s="5"/>
      <c r="H227" s="5">
        <v>206.56</v>
      </c>
      <c r="I227" s="4">
        <v>0</v>
      </c>
      <c r="J227" s="4" t="s">
        <v>41</v>
      </c>
      <c r="K227" s="6" t="s">
        <v>42</v>
      </c>
      <c r="L227" s="6" t="s">
        <v>732</v>
      </c>
      <c r="R227" t="s">
        <v>733</v>
      </c>
    </row>
    <row r="228" spans="1:18" x14ac:dyDescent="0.2">
      <c r="A228" s="4" t="s">
        <v>734</v>
      </c>
      <c r="B228" s="4" t="s">
        <v>735</v>
      </c>
      <c r="C228" s="5" t="s">
        <v>34</v>
      </c>
      <c r="D228" s="5">
        <v>44</v>
      </c>
      <c r="E228" s="5"/>
      <c r="F228" s="5"/>
      <c r="G228" s="5"/>
      <c r="H228" s="5">
        <v>481.15</v>
      </c>
      <c r="I228" s="4">
        <v>0</v>
      </c>
      <c r="J228" s="4" t="s">
        <v>35</v>
      </c>
      <c r="K228" s="6" t="s">
        <v>36</v>
      </c>
      <c r="L228" s="6" t="s">
        <v>736</v>
      </c>
      <c r="R228" t="s">
        <v>737</v>
      </c>
    </row>
    <row r="229" spans="1:18" x14ac:dyDescent="0.2">
      <c r="A229" s="4" t="s">
        <v>738</v>
      </c>
      <c r="B229" s="4" t="s">
        <v>735</v>
      </c>
      <c r="C229" s="5" t="s">
        <v>34</v>
      </c>
      <c r="D229" s="5">
        <v>145</v>
      </c>
      <c r="E229" s="5"/>
      <c r="F229" s="5"/>
      <c r="G229" s="5"/>
      <c r="H229" s="5">
        <v>821.65</v>
      </c>
      <c r="I229" s="4">
        <v>0</v>
      </c>
      <c r="J229" s="4" t="s">
        <v>35</v>
      </c>
      <c r="K229" s="6" t="s">
        <v>36</v>
      </c>
      <c r="L229" s="6" t="s">
        <v>739</v>
      </c>
      <c r="R229" t="s">
        <v>740</v>
      </c>
    </row>
    <row r="230" spans="1:18" x14ac:dyDescent="0.2">
      <c r="A230" s="4" t="s">
        <v>741</v>
      </c>
      <c r="B230" s="4" t="s">
        <v>735</v>
      </c>
      <c r="C230" s="5" t="s">
        <v>19</v>
      </c>
      <c r="D230" s="5">
        <v>250</v>
      </c>
      <c r="E230" s="5"/>
      <c r="F230" s="5">
        <f>$D230</f>
        <v>250</v>
      </c>
      <c r="G230" s="5"/>
      <c r="H230" s="5">
        <v>951.15</v>
      </c>
      <c r="I230" s="4">
        <v>0</v>
      </c>
      <c r="J230" s="4" t="s">
        <v>722</v>
      </c>
      <c r="K230" s="6" t="s">
        <v>723</v>
      </c>
      <c r="L230" s="6" t="s">
        <v>742</v>
      </c>
      <c r="R230" t="s">
        <v>743</v>
      </c>
    </row>
    <row r="231" spans="1:18" x14ac:dyDescent="0.2">
      <c r="A231" s="4"/>
      <c r="B231" s="4"/>
      <c r="C231" s="5"/>
      <c r="D231" s="5"/>
      <c r="E231" s="5"/>
      <c r="F231" s="5"/>
      <c r="G231" s="5"/>
      <c r="H231" s="5"/>
      <c r="I231" s="4"/>
      <c r="J231" s="4"/>
      <c r="K231" s="6"/>
      <c r="L231" s="6"/>
    </row>
    <row r="232" spans="1:18" x14ac:dyDescent="0.2">
      <c r="A232" s="4" t="s">
        <v>744</v>
      </c>
      <c r="B232" s="4" t="s">
        <v>745</v>
      </c>
      <c r="C232" s="5" t="s">
        <v>127</v>
      </c>
      <c r="D232" s="5">
        <v>4350</v>
      </c>
      <c r="E232" s="5"/>
      <c r="F232" s="5"/>
      <c r="G232" s="5"/>
      <c r="H232" s="5">
        <v>5661.2</v>
      </c>
      <c r="I232" s="4">
        <v>0</v>
      </c>
      <c r="J232" s="4" t="s">
        <v>128</v>
      </c>
      <c r="K232" s="6" t="s">
        <v>129</v>
      </c>
      <c r="L232" s="6" t="s">
        <v>746</v>
      </c>
      <c r="R232" t="s">
        <v>747</v>
      </c>
    </row>
    <row r="233" spans="1:18" x14ac:dyDescent="0.2">
      <c r="A233" s="4" t="s">
        <v>748</v>
      </c>
      <c r="B233" s="4" t="s">
        <v>749</v>
      </c>
      <c r="C233" s="5" t="s">
        <v>19</v>
      </c>
      <c r="D233" s="5">
        <v>1504</v>
      </c>
      <c r="E233" s="5"/>
      <c r="F233" s="5">
        <f>$D233</f>
        <v>1504</v>
      </c>
      <c r="G233" s="5"/>
      <c r="H233" s="5">
        <v>1825.7</v>
      </c>
      <c r="I233" s="4">
        <v>0</v>
      </c>
      <c r="J233" s="4" t="s">
        <v>722</v>
      </c>
      <c r="K233" s="6" t="s">
        <v>723</v>
      </c>
      <c r="L233" s="6" t="s">
        <v>750</v>
      </c>
      <c r="R233" t="s">
        <v>751</v>
      </c>
    </row>
    <row r="234" spans="1:18" x14ac:dyDescent="0.2">
      <c r="A234" s="4" t="s">
        <v>752</v>
      </c>
      <c r="B234" s="4" t="s">
        <v>753</v>
      </c>
      <c r="C234" s="5" t="s">
        <v>19</v>
      </c>
      <c r="D234" s="5">
        <v>500</v>
      </c>
      <c r="E234" s="5">
        <f>D234</f>
        <v>500</v>
      </c>
      <c r="F234" s="5"/>
      <c r="G234" s="5"/>
      <c r="H234" s="5">
        <v>506.69</v>
      </c>
      <c r="I234" s="4">
        <v>0</v>
      </c>
      <c r="J234" s="4" t="s">
        <v>722</v>
      </c>
      <c r="K234" s="6" t="s">
        <v>723</v>
      </c>
      <c r="L234" s="6" t="s">
        <v>754</v>
      </c>
      <c r="R234" t="s">
        <v>755</v>
      </c>
    </row>
    <row r="235" spans="1:18" x14ac:dyDescent="0.2">
      <c r="A235" s="4" t="s">
        <v>756</v>
      </c>
      <c r="B235" s="4" t="s">
        <v>757</v>
      </c>
      <c r="C235" s="5" t="s">
        <v>34</v>
      </c>
      <c r="D235" s="5">
        <v>500</v>
      </c>
      <c r="E235" s="5">
        <f>D235</f>
        <v>500</v>
      </c>
      <c r="F235" s="5"/>
      <c r="G235" s="5"/>
      <c r="H235" s="5">
        <v>561.69000000000005</v>
      </c>
      <c r="I235" s="4">
        <v>0</v>
      </c>
      <c r="J235" s="4" t="s">
        <v>35</v>
      </c>
      <c r="K235" s="6" t="s">
        <v>36</v>
      </c>
      <c r="L235" s="6" t="s">
        <v>758</v>
      </c>
      <c r="R235" t="s">
        <v>759</v>
      </c>
    </row>
    <row r="236" spans="1:18" x14ac:dyDescent="0.2">
      <c r="A236" s="4" t="s">
        <v>760</v>
      </c>
      <c r="B236" s="4" t="s">
        <v>757</v>
      </c>
      <c r="C236" s="5" t="s">
        <v>19</v>
      </c>
      <c r="D236" s="5">
        <v>2500</v>
      </c>
      <c r="E236" s="5">
        <f>D236</f>
        <v>2500</v>
      </c>
      <c r="F236" s="5"/>
      <c r="G236" s="5"/>
      <c r="H236" s="5">
        <v>2684.44</v>
      </c>
      <c r="I236" s="4">
        <v>0</v>
      </c>
      <c r="J236" s="4" t="s">
        <v>722</v>
      </c>
      <c r="K236" s="6" t="s">
        <v>723</v>
      </c>
      <c r="L236" s="6" t="s">
        <v>761</v>
      </c>
      <c r="R236" t="s">
        <v>762</v>
      </c>
    </row>
    <row r="237" spans="1:18" x14ac:dyDescent="0.2">
      <c r="A237" s="4" t="s">
        <v>763</v>
      </c>
      <c r="B237" s="4" t="s">
        <v>764</v>
      </c>
      <c r="C237" s="5" t="s">
        <v>19</v>
      </c>
      <c r="D237" s="5">
        <v>500</v>
      </c>
      <c r="E237" s="5">
        <f>D237</f>
        <v>500</v>
      </c>
      <c r="F237" s="5"/>
      <c r="G237" s="5"/>
      <c r="H237" s="5">
        <v>621.94000000000005</v>
      </c>
      <c r="I237" s="4">
        <v>0</v>
      </c>
      <c r="J237" s="4" t="s">
        <v>765</v>
      </c>
      <c r="K237" s="6" t="s">
        <v>42</v>
      </c>
      <c r="L237" s="6" t="s">
        <v>766</v>
      </c>
      <c r="R237" t="s">
        <v>767</v>
      </c>
    </row>
    <row r="238" spans="1:18" x14ac:dyDescent="0.2">
      <c r="A238" s="4" t="s">
        <v>768</v>
      </c>
      <c r="B238" s="4" t="s">
        <v>769</v>
      </c>
      <c r="C238" s="5" t="s">
        <v>34</v>
      </c>
      <c r="D238" s="5">
        <v>110</v>
      </c>
      <c r="E238" s="5"/>
      <c r="F238" s="5"/>
      <c r="G238" s="5"/>
      <c r="H238" s="5">
        <v>452.49</v>
      </c>
      <c r="I238" s="4">
        <v>0</v>
      </c>
      <c r="J238" s="4" t="s">
        <v>35</v>
      </c>
      <c r="K238" s="6" t="s">
        <v>36</v>
      </c>
      <c r="L238" s="6" t="s">
        <v>770</v>
      </c>
      <c r="R238" t="s">
        <v>771</v>
      </c>
    </row>
    <row r="239" spans="1:18" x14ac:dyDescent="0.2">
      <c r="A239" s="4" t="s">
        <v>772</v>
      </c>
      <c r="B239" s="4" t="s">
        <v>769</v>
      </c>
      <c r="C239" s="5" t="s">
        <v>19</v>
      </c>
      <c r="D239" s="5">
        <v>500</v>
      </c>
      <c r="E239" s="5">
        <f>D239</f>
        <v>500</v>
      </c>
      <c r="F239" s="5"/>
      <c r="G239" s="5"/>
      <c r="H239" s="5">
        <v>606.99</v>
      </c>
      <c r="I239" s="4">
        <v>0</v>
      </c>
      <c r="J239" s="4" t="s">
        <v>722</v>
      </c>
      <c r="K239" s="6" t="s">
        <v>723</v>
      </c>
      <c r="L239" s="6" t="s">
        <v>773</v>
      </c>
      <c r="R239" t="s">
        <v>774</v>
      </c>
    </row>
    <row r="240" spans="1:18" x14ac:dyDescent="0.2">
      <c r="A240" s="4" t="s">
        <v>775</v>
      </c>
      <c r="B240" s="4" t="s">
        <v>776</v>
      </c>
      <c r="C240" s="5" t="s">
        <v>34</v>
      </c>
      <c r="D240" s="5">
        <v>500</v>
      </c>
      <c r="E240" s="5">
        <f>D240</f>
        <v>500</v>
      </c>
      <c r="F240" s="5"/>
      <c r="G240" s="5"/>
      <c r="H240" s="5">
        <v>872.47</v>
      </c>
      <c r="I240" s="4">
        <v>0</v>
      </c>
      <c r="J240" s="4" t="s">
        <v>35</v>
      </c>
      <c r="K240" s="6" t="s">
        <v>36</v>
      </c>
      <c r="L240" s="6" t="s">
        <v>777</v>
      </c>
      <c r="R240" t="s">
        <v>778</v>
      </c>
    </row>
    <row r="241" spans="1:18" x14ac:dyDescent="0.2">
      <c r="A241" s="4" t="s">
        <v>779</v>
      </c>
      <c r="B241" s="4" t="s">
        <v>780</v>
      </c>
      <c r="C241" s="5" t="s">
        <v>19</v>
      </c>
      <c r="D241" s="5">
        <v>65</v>
      </c>
      <c r="E241" s="5"/>
      <c r="F241" s="5"/>
      <c r="G241" s="5"/>
      <c r="H241" s="5">
        <v>1824</v>
      </c>
      <c r="I241" s="4">
        <v>0</v>
      </c>
      <c r="J241" s="4" t="s">
        <v>765</v>
      </c>
      <c r="K241" s="6" t="s">
        <v>42</v>
      </c>
      <c r="L241" s="6" t="s">
        <v>781</v>
      </c>
      <c r="R241" t="s">
        <v>782</v>
      </c>
    </row>
    <row r="242" spans="1:18" x14ac:dyDescent="0.2">
      <c r="A242" s="4" t="s">
        <v>783</v>
      </c>
      <c r="B242" s="4" t="s">
        <v>784</v>
      </c>
      <c r="C242" s="5" t="s">
        <v>34</v>
      </c>
      <c r="D242" s="5">
        <v>1500</v>
      </c>
      <c r="E242" s="5">
        <f>D242</f>
        <v>1500</v>
      </c>
      <c r="F242" s="5"/>
      <c r="G242" s="5"/>
      <c r="H242" s="5">
        <v>2275</v>
      </c>
      <c r="I242" s="4">
        <v>0</v>
      </c>
      <c r="J242" s="4" t="s">
        <v>35</v>
      </c>
      <c r="K242" s="6" t="s">
        <v>36</v>
      </c>
      <c r="L242" s="6" t="s">
        <v>785</v>
      </c>
      <c r="R242" t="s">
        <v>786</v>
      </c>
    </row>
    <row r="243" spans="1:18" x14ac:dyDescent="0.2">
      <c r="A243" s="4" t="s">
        <v>787</v>
      </c>
      <c r="B243" s="4" t="s">
        <v>788</v>
      </c>
      <c r="C243" s="5" t="s">
        <v>19</v>
      </c>
      <c r="D243" s="5">
        <v>500</v>
      </c>
      <c r="E243" s="5"/>
      <c r="F243" s="5">
        <f>$D243</f>
        <v>500</v>
      </c>
      <c r="G243" s="5"/>
      <c r="H243" s="5">
        <v>775</v>
      </c>
      <c r="I243" s="4">
        <v>0</v>
      </c>
      <c r="J243" s="4" t="s">
        <v>722</v>
      </c>
      <c r="K243" s="6" t="s">
        <v>723</v>
      </c>
      <c r="L243" s="6" t="s">
        <v>789</v>
      </c>
      <c r="R243" t="s">
        <v>790</v>
      </c>
    </row>
    <row r="244" spans="1:18" x14ac:dyDescent="0.2">
      <c r="A244" s="4"/>
      <c r="B244" s="4"/>
      <c r="C244" s="5"/>
      <c r="D244" s="5"/>
      <c r="E244" s="5"/>
      <c r="F244" s="5"/>
      <c r="G244" s="5"/>
      <c r="H244" s="5"/>
      <c r="I244" s="4"/>
      <c r="J244" s="4"/>
      <c r="K244" s="6"/>
      <c r="L244" s="6"/>
    </row>
    <row r="245" spans="1:18" x14ac:dyDescent="0.2">
      <c r="A245" s="4" t="s">
        <v>791</v>
      </c>
      <c r="B245" s="4" t="s">
        <v>792</v>
      </c>
      <c r="C245" s="5" t="s">
        <v>19</v>
      </c>
      <c r="D245" s="5">
        <v>1500</v>
      </c>
      <c r="E245" s="5"/>
      <c r="F245" s="5"/>
      <c r="G245" s="5"/>
      <c r="H245" s="5">
        <v>2012.5</v>
      </c>
      <c r="I245" s="4">
        <v>0</v>
      </c>
      <c r="J245" s="4" t="s">
        <v>41</v>
      </c>
      <c r="K245" s="6" t="s">
        <v>42</v>
      </c>
      <c r="L245" s="6" t="s">
        <v>793</v>
      </c>
      <c r="R245" t="s">
        <v>794</v>
      </c>
    </row>
    <row r="246" spans="1:18" x14ac:dyDescent="0.2">
      <c r="A246" s="4" t="s">
        <v>795</v>
      </c>
      <c r="B246" s="4" t="s">
        <v>792</v>
      </c>
      <c r="C246" s="5" t="s">
        <v>34</v>
      </c>
      <c r="D246" s="5">
        <v>500</v>
      </c>
      <c r="E246" s="5">
        <f>D246</f>
        <v>500</v>
      </c>
      <c r="F246" s="5"/>
      <c r="G246" s="5"/>
      <c r="H246" s="5">
        <v>512.5</v>
      </c>
      <c r="I246" s="4">
        <v>0</v>
      </c>
      <c r="J246" s="4" t="s">
        <v>35</v>
      </c>
      <c r="K246" s="6" t="s">
        <v>36</v>
      </c>
      <c r="L246" s="6" t="s">
        <v>796</v>
      </c>
      <c r="R246" t="s">
        <v>797</v>
      </c>
    </row>
    <row r="247" spans="1:18" x14ac:dyDescent="0.2">
      <c r="A247" s="4" t="s">
        <v>798</v>
      </c>
      <c r="B247" s="4" t="s">
        <v>799</v>
      </c>
      <c r="C247" s="5" t="s">
        <v>34</v>
      </c>
      <c r="D247" s="5">
        <v>600</v>
      </c>
      <c r="E247" s="5">
        <f>D247</f>
        <v>600</v>
      </c>
      <c r="F247" s="5"/>
      <c r="G247" s="5"/>
      <c r="H247" s="5">
        <v>1444.5</v>
      </c>
      <c r="I247" s="4">
        <v>0</v>
      </c>
      <c r="J247" s="4" t="s">
        <v>35</v>
      </c>
      <c r="K247" s="6" t="s">
        <v>36</v>
      </c>
      <c r="L247" s="6" t="s">
        <v>800</v>
      </c>
      <c r="R247" t="s">
        <v>801</v>
      </c>
    </row>
    <row r="248" spans="1:18" x14ac:dyDescent="0.2">
      <c r="A248" s="4" t="s">
        <v>802</v>
      </c>
      <c r="B248" s="4" t="s">
        <v>799</v>
      </c>
      <c r="C248" s="5" t="s">
        <v>19</v>
      </c>
      <c r="D248" s="5">
        <v>1503</v>
      </c>
      <c r="E248" s="5"/>
      <c r="F248" s="5">
        <f>$D248</f>
        <v>1503</v>
      </c>
      <c r="G248" s="5"/>
      <c r="H248" s="5">
        <v>1511.5</v>
      </c>
      <c r="I248" s="4">
        <v>0</v>
      </c>
      <c r="J248" s="4" t="s">
        <v>722</v>
      </c>
      <c r="K248" s="6" t="s">
        <v>723</v>
      </c>
      <c r="L248" s="6" t="s">
        <v>803</v>
      </c>
      <c r="R248" t="s">
        <v>804</v>
      </c>
    </row>
    <row r="249" spans="1:18" x14ac:dyDescent="0.2">
      <c r="A249" s="4" t="s">
        <v>805</v>
      </c>
      <c r="B249" s="4" t="s">
        <v>806</v>
      </c>
      <c r="C249" s="5" t="s">
        <v>19</v>
      </c>
      <c r="D249" s="5">
        <v>100</v>
      </c>
      <c r="E249" s="5"/>
      <c r="F249" s="5"/>
      <c r="G249" s="5"/>
      <c r="H249" s="5">
        <v>332.5</v>
      </c>
      <c r="I249" s="4">
        <v>0</v>
      </c>
      <c r="J249" s="4" t="s">
        <v>765</v>
      </c>
      <c r="K249" s="6" t="s">
        <v>42</v>
      </c>
      <c r="L249" s="6" t="s">
        <v>807</v>
      </c>
      <c r="R249" t="s">
        <v>808</v>
      </c>
    </row>
    <row r="250" spans="1:18" x14ac:dyDescent="0.2">
      <c r="A250" s="4" t="s">
        <v>809</v>
      </c>
      <c r="B250" s="4" t="s">
        <v>810</v>
      </c>
      <c r="C250" s="5" t="s">
        <v>34</v>
      </c>
      <c r="D250" s="5">
        <v>200</v>
      </c>
      <c r="E250" s="5">
        <f t="shared" ref="E250:E259" si="2">D250</f>
        <v>200</v>
      </c>
      <c r="F250" s="5"/>
      <c r="G250" s="5"/>
      <c r="H250" s="5">
        <v>405.5</v>
      </c>
      <c r="I250" s="4">
        <v>0</v>
      </c>
      <c r="J250" s="4" t="s">
        <v>35</v>
      </c>
      <c r="K250" s="6" t="s">
        <v>36</v>
      </c>
      <c r="L250" s="6" t="s">
        <v>811</v>
      </c>
      <c r="R250" t="s">
        <v>812</v>
      </c>
    </row>
    <row r="251" spans="1:18" x14ac:dyDescent="0.2">
      <c r="A251" s="4" t="s">
        <v>813</v>
      </c>
      <c r="B251" s="4" t="s">
        <v>810</v>
      </c>
      <c r="C251" s="5" t="s">
        <v>34</v>
      </c>
      <c r="D251" s="5">
        <v>200</v>
      </c>
      <c r="E251" s="5">
        <f t="shared" si="2"/>
        <v>200</v>
      </c>
      <c r="F251" s="5"/>
      <c r="G251" s="5"/>
      <c r="H251" s="5">
        <v>205.5</v>
      </c>
      <c r="I251" s="4">
        <v>0</v>
      </c>
      <c r="J251" s="4" t="s">
        <v>35</v>
      </c>
      <c r="K251" s="6" t="s">
        <v>36</v>
      </c>
      <c r="L251" s="6" t="s">
        <v>814</v>
      </c>
      <c r="R251" t="s">
        <v>815</v>
      </c>
    </row>
    <row r="252" spans="1:18" x14ac:dyDescent="0.2">
      <c r="A252" s="4" t="s">
        <v>816</v>
      </c>
      <c r="B252" s="4" t="s">
        <v>817</v>
      </c>
      <c r="C252" s="5" t="s">
        <v>19</v>
      </c>
      <c r="D252" s="5">
        <v>100</v>
      </c>
      <c r="E252" s="5">
        <f t="shared" si="2"/>
        <v>100</v>
      </c>
      <c r="F252" s="5"/>
      <c r="G252" s="5"/>
      <c r="H252" s="5">
        <v>100</v>
      </c>
      <c r="I252" s="4">
        <v>0</v>
      </c>
      <c r="J252" s="4" t="s">
        <v>722</v>
      </c>
      <c r="K252" s="6" t="s">
        <v>723</v>
      </c>
      <c r="L252" s="6" t="s">
        <v>818</v>
      </c>
      <c r="R252" t="s">
        <v>819</v>
      </c>
    </row>
    <row r="253" spans="1:18" x14ac:dyDescent="0.2">
      <c r="A253" s="4" t="s">
        <v>820</v>
      </c>
      <c r="B253" s="4" t="s">
        <v>821</v>
      </c>
      <c r="C253" s="5" t="s">
        <v>19</v>
      </c>
      <c r="D253" s="5">
        <v>300</v>
      </c>
      <c r="E253" s="5">
        <f t="shared" si="2"/>
        <v>300</v>
      </c>
      <c r="F253" s="5"/>
      <c r="G253" s="5"/>
      <c r="H253" s="5">
        <v>1148.25</v>
      </c>
      <c r="I253" s="4">
        <v>0</v>
      </c>
      <c r="J253" s="4" t="s">
        <v>765</v>
      </c>
      <c r="K253" s="6" t="s">
        <v>42</v>
      </c>
      <c r="L253" s="6" t="s">
        <v>822</v>
      </c>
      <c r="R253" t="s">
        <v>823</v>
      </c>
    </row>
    <row r="254" spans="1:18" x14ac:dyDescent="0.2">
      <c r="A254" s="4" t="s">
        <v>824</v>
      </c>
      <c r="B254" s="4" t="s">
        <v>825</v>
      </c>
      <c r="C254" s="5" t="s">
        <v>19</v>
      </c>
      <c r="D254" s="5">
        <v>2500</v>
      </c>
      <c r="E254" s="5">
        <f t="shared" si="2"/>
        <v>2500</v>
      </c>
      <c r="F254" s="5"/>
      <c r="G254" s="5"/>
      <c r="H254" s="5">
        <v>4011.5</v>
      </c>
      <c r="I254" s="4">
        <v>0</v>
      </c>
      <c r="J254" s="4" t="s">
        <v>722</v>
      </c>
      <c r="K254" s="6" t="s">
        <v>723</v>
      </c>
      <c r="L254" s="6" t="s">
        <v>826</v>
      </c>
      <c r="R254" t="s">
        <v>827</v>
      </c>
    </row>
    <row r="255" spans="1:18" x14ac:dyDescent="0.2">
      <c r="A255" s="4" t="s">
        <v>828</v>
      </c>
      <c r="B255" s="4" t="s">
        <v>825</v>
      </c>
      <c r="C255" s="5" t="s">
        <v>19</v>
      </c>
      <c r="D255" s="5">
        <v>1500</v>
      </c>
      <c r="E255" s="5">
        <f t="shared" si="2"/>
        <v>1500</v>
      </c>
      <c r="F255" s="5"/>
      <c r="G255" s="5"/>
      <c r="H255" s="5">
        <v>1511.5</v>
      </c>
      <c r="I255" s="4">
        <v>0</v>
      </c>
      <c r="J255" s="4" t="s">
        <v>722</v>
      </c>
      <c r="K255" s="6" t="s">
        <v>723</v>
      </c>
      <c r="L255" s="6" t="s">
        <v>829</v>
      </c>
      <c r="R255" t="s">
        <v>830</v>
      </c>
    </row>
    <row r="256" spans="1:18" x14ac:dyDescent="0.2">
      <c r="A256" s="4" t="s">
        <v>831</v>
      </c>
      <c r="B256" s="4" t="s">
        <v>832</v>
      </c>
      <c r="C256" s="5" t="s">
        <v>34</v>
      </c>
      <c r="D256" s="5">
        <v>1600</v>
      </c>
      <c r="E256" s="5">
        <f t="shared" si="2"/>
        <v>1600</v>
      </c>
      <c r="F256" s="5"/>
      <c r="G256" s="5"/>
      <c r="H256" s="5">
        <v>1600</v>
      </c>
      <c r="I256" s="4">
        <v>0</v>
      </c>
      <c r="J256" s="4" t="s">
        <v>35</v>
      </c>
      <c r="K256" s="6" t="s">
        <v>36</v>
      </c>
      <c r="L256" s="6" t="s">
        <v>833</v>
      </c>
      <c r="R256" t="s">
        <v>834</v>
      </c>
    </row>
    <row r="257" spans="1:18" x14ac:dyDescent="0.2">
      <c r="A257" s="4" t="s">
        <v>835</v>
      </c>
      <c r="B257" s="4" t="s">
        <v>836</v>
      </c>
      <c r="C257" s="5" t="s">
        <v>19</v>
      </c>
      <c r="D257" s="5">
        <v>550</v>
      </c>
      <c r="E257" s="5">
        <f t="shared" si="2"/>
        <v>550</v>
      </c>
      <c r="F257" s="5"/>
      <c r="G257" s="5"/>
      <c r="H257" s="5">
        <v>551.04999999999995</v>
      </c>
      <c r="I257" s="4">
        <v>0</v>
      </c>
      <c r="J257" s="4" t="s">
        <v>722</v>
      </c>
      <c r="K257" s="6" t="s">
        <v>723</v>
      </c>
      <c r="L257" s="6" t="s">
        <v>837</v>
      </c>
      <c r="R257" t="s">
        <v>838</v>
      </c>
    </row>
    <row r="258" spans="1:18" x14ac:dyDescent="0.2">
      <c r="A258" s="4" t="s">
        <v>839</v>
      </c>
      <c r="B258" s="4" t="s">
        <v>840</v>
      </c>
      <c r="C258" s="5" t="s">
        <v>19</v>
      </c>
      <c r="D258" s="5">
        <v>550</v>
      </c>
      <c r="E258" s="5">
        <f t="shared" si="2"/>
        <v>550</v>
      </c>
      <c r="F258" s="5"/>
      <c r="G258" s="5"/>
      <c r="H258" s="5">
        <v>779.84</v>
      </c>
      <c r="I258" s="4">
        <v>0</v>
      </c>
      <c r="J258" s="4" t="s">
        <v>722</v>
      </c>
      <c r="K258" s="6" t="s">
        <v>723</v>
      </c>
      <c r="L258" s="6" t="s">
        <v>841</v>
      </c>
      <c r="R258" t="s">
        <v>842</v>
      </c>
    </row>
    <row r="259" spans="1:18" x14ac:dyDescent="0.2">
      <c r="A259" s="4" t="s">
        <v>843</v>
      </c>
      <c r="B259" s="4" t="s">
        <v>840</v>
      </c>
      <c r="C259" s="5" t="s">
        <v>19</v>
      </c>
      <c r="D259" s="5">
        <v>500</v>
      </c>
      <c r="E259" s="5">
        <f t="shared" si="2"/>
        <v>500</v>
      </c>
      <c r="F259" s="5"/>
      <c r="G259" s="5"/>
      <c r="H259" s="5">
        <v>552.59</v>
      </c>
      <c r="I259" s="4">
        <v>0</v>
      </c>
      <c r="J259" s="4" t="s">
        <v>722</v>
      </c>
      <c r="K259" s="6" t="s">
        <v>723</v>
      </c>
      <c r="L259" s="6" t="s">
        <v>844</v>
      </c>
      <c r="R259" t="s">
        <v>845</v>
      </c>
    </row>
    <row r="260" spans="1:18" x14ac:dyDescent="0.2">
      <c r="A260" s="4" t="s">
        <v>846</v>
      </c>
      <c r="B260" s="4" t="s">
        <v>847</v>
      </c>
      <c r="C260" s="5" t="s">
        <v>34</v>
      </c>
      <c r="D260" s="5">
        <v>180</v>
      </c>
      <c r="E260" s="5"/>
      <c r="F260" s="5"/>
      <c r="G260" s="5"/>
      <c r="H260" s="5">
        <v>1044.53</v>
      </c>
      <c r="I260" s="4">
        <v>0</v>
      </c>
      <c r="J260" s="4" t="s">
        <v>35</v>
      </c>
      <c r="K260" s="6" t="s">
        <v>36</v>
      </c>
      <c r="L260" s="6" t="s">
        <v>848</v>
      </c>
      <c r="R260" t="s">
        <v>849</v>
      </c>
    </row>
    <row r="261" spans="1:18" x14ac:dyDescent="0.2">
      <c r="A261" s="4" t="s">
        <v>850</v>
      </c>
      <c r="B261" s="4" t="s">
        <v>851</v>
      </c>
      <c r="C261" s="5" t="s">
        <v>19</v>
      </c>
      <c r="D261" s="5">
        <v>1100</v>
      </c>
      <c r="E261" s="5">
        <f>D261</f>
        <v>1100</v>
      </c>
      <c r="F261" s="5"/>
      <c r="G261" s="5"/>
      <c r="H261" s="5">
        <v>2323.2199999999998</v>
      </c>
      <c r="I261" s="4">
        <v>0</v>
      </c>
      <c r="J261" s="4" t="s">
        <v>722</v>
      </c>
      <c r="K261" s="6" t="s">
        <v>723</v>
      </c>
      <c r="L261" s="6" t="s">
        <v>852</v>
      </c>
      <c r="R261" t="s">
        <v>853</v>
      </c>
    </row>
    <row r="262" spans="1:18" x14ac:dyDescent="0.2">
      <c r="A262" s="4"/>
      <c r="B262" s="4"/>
      <c r="C262" s="5"/>
      <c r="D262" s="5"/>
      <c r="E262" s="5"/>
      <c r="F262" s="5"/>
      <c r="G262" s="5"/>
      <c r="H262" s="5"/>
      <c r="I262" s="4"/>
      <c r="J262" s="4"/>
      <c r="K262" s="6"/>
      <c r="L262" s="6"/>
    </row>
    <row r="263" spans="1:18" x14ac:dyDescent="0.2">
      <c r="A263" s="4" t="s">
        <v>854</v>
      </c>
      <c r="B263" s="4" t="s">
        <v>855</v>
      </c>
      <c r="C263" s="5" t="s">
        <v>19</v>
      </c>
      <c r="D263" s="5">
        <v>500</v>
      </c>
      <c r="E263" s="5">
        <f>D263</f>
        <v>500</v>
      </c>
      <c r="F263" s="5"/>
      <c r="G263" s="5"/>
      <c r="H263" s="5">
        <v>10281.700000000001</v>
      </c>
      <c r="I263" s="4">
        <v>0</v>
      </c>
      <c r="J263" s="4" t="s">
        <v>722</v>
      </c>
      <c r="K263" s="6" t="s">
        <v>723</v>
      </c>
      <c r="L263" s="6" t="s">
        <v>856</v>
      </c>
      <c r="R263" t="s">
        <v>857</v>
      </c>
    </row>
    <row r="264" spans="1:18" x14ac:dyDescent="0.2">
      <c r="A264" s="4" t="s">
        <v>858</v>
      </c>
      <c r="B264" s="4" t="s">
        <v>859</v>
      </c>
      <c r="C264" s="5" t="s">
        <v>34</v>
      </c>
      <c r="D264" s="5">
        <v>500</v>
      </c>
      <c r="E264" s="5">
        <f>D264</f>
        <v>500</v>
      </c>
      <c r="F264" s="5"/>
      <c r="G264" s="5"/>
      <c r="H264" s="5">
        <v>10173.700000000001</v>
      </c>
      <c r="I264" s="4">
        <v>0</v>
      </c>
      <c r="J264" s="4" t="s">
        <v>35</v>
      </c>
      <c r="K264" s="6" t="s">
        <v>36</v>
      </c>
      <c r="L264" s="6" t="s">
        <v>860</v>
      </c>
      <c r="R264" t="s">
        <v>861</v>
      </c>
    </row>
    <row r="265" spans="1:18" x14ac:dyDescent="0.2">
      <c r="A265" s="4" t="s">
        <v>862</v>
      </c>
      <c r="B265" s="4" t="s">
        <v>863</v>
      </c>
      <c r="C265" s="5" t="s">
        <v>19</v>
      </c>
      <c r="D265" s="5">
        <v>65</v>
      </c>
      <c r="E265" s="5"/>
      <c r="F265" s="5"/>
      <c r="G265" s="5"/>
      <c r="H265" s="5">
        <v>10366.450000000001</v>
      </c>
      <c r="I265" s="4">
        <v>0</v>
      </c>
      <c r="J265" s="4" t="s">
        <v>765</v>
      </c>
      <c r="K265" s="6" t="s">
        <v>42</v>
      </c>
      <c r="L265" s="6" t="s">
        <v>864</v>
      </c>
      <c r="R265" t="s">
        <v>865</v>
      </c>
    </row>
    <row r="266" spans="1:18" x14ac:dyDescent="0.2">
      <c r="A266" s="4" t="s">
        <v>866</v>
      </c>
      <c r="B266" s="4" t="s">
        <v>867</v>
      </c>
      <c r="C266" s="5" t="s">
        <v>19</v>
      </c>
      <c r="D266" s="5">
        <v>920</v>
      </c>
      <c r="E266" s="5"/>
      <c r="F266" s="5"/>
      <c r="G266" s="5"/>
      <c r="H266" s="5">
        <v>11502.29</v>
      </c>
      <c r="I266" s="4">
        <v>0</v>
      </c>
      <c r="J266" s="4" t="s">
        <v>765</v>
      </c>
      <c r="K266" s="6" t="s">
        <v>42</v>
      </c>
      <c r="L266" s="6" t="s">
        <v>868</v>
      </c>
      <c r="R266" t="s">
        <v>869</v>
      </c>
    </row>
    <row r="267" spans="1:18" x14ac:dyDescent="0.2">
      <c r="A267" s="4" t="s">
        <v>870</v>
      </c>
      <c r="B267" s="4" t="s">
        <v>867</v>
      </c>
      <c r="C267" s="5" t="s">
        <v>19</v>
      </c>
      <c r="D267" s="5">
        <v>650</v>
      </c>
      <c r="E267" s="5">
        <f>D267</f>
        <v>650</v>
      </c>
      <c r="F267" s="5"/>
      <c r="G267" s="5"/>
      <c r="H267" s="5">
        <v>10643.29</v>
      </c>
      <c r="I267" s="4">
        <v>0</v>
      </c>
      <c r="J267" s="4" t="s">
        <v>722</v>
      </c>
      <c r="K267" s="6" t="s">
        <v>723</v>
      </c>
      <c r="L267" s="6" t="s">
        <v>871</v>
      </c>
      <c r="R267" t="s">
        <v>872</v>
      </c>
    </row>
    <row r="268" spans="1:18" x14ac:dyDescent="0.2">
      <c r="A268" s="4" t="s">
        <v>873</v>
      </c>
      <c r="B268" s="4" t="s">
        <v>867</v>
      </c>
      <c r="C268" s="5" t="s">
        <v>19</v>
      </c>
      <c r="D268" s="5">
        <v>600</v>
      </c>
      <c r="E268" s="5">
        <f>D268</f>
        <v>600</v>
      </c>
      <c r="F268" s="5"/>
      <c r="G268" s="5"/>
      <c r="H268" s="5">
        <v>10738.38</v>
      </c>
      <c r="I268" s="4">
        <v>0</v>
      </c>
      <c r="J268" s="4" t="s">
        <v>722</v>
      </c>
      <c r="K268" s="6" t="s">
        <v>723</v>
      </c>
      <c r="L268" s="6" t="s">
        <v>874</v>
      </c>
      <c r="R268" t="s">
        <v>875</v>
      </c>
    </row>
    <row r="269" spans="1:18" x14ac:dyDescent="0.2">
      <c r="A269" s="4" t="s">
        <v>876</v>
      </c>
      <c r="B269" s="4" t="s">
        <v>877</v>
      </c>
      <c r="C269" s="5" t="s">
        <v>19</v>
      </c>
      <c r="D269" s="5">
        <v>1000</v>
      </c>
      <c r="E269" s="5">
        <f>D269</f>
        <v>1000</v>
      </c>
      <c r="F269" s="5"/>
      <c r="G269" s="5"/>
      <c r="H269" s="5">
        <v>11349.93</v>
      </c>
      <c r="I269" s="4">
        <v>0</v>
      </c>
      <c r="J269" s="4" t="s">
        <v>722</v>
      </c>
      <c r="K269" s="6" t="s">
        <v>723</v>
      </c>
      <c r="L269" s="6" t="s">
        <v>878</v>
      </c>
      <c r="R269" t="s">
        <v>879</v>
      </c>
    </row>
    <row r="270" spans="1:18" x14ac:dyDescent="0.2">
      <c r="A270" s="4" t="s">
        <v>880</v>
      </c>
      <c r="B270" s="4" t="s">
        <v>881</v>
      </c>
      <c r="C270" s="5" t="s">
        <v>34</v>
      </c>
      <c r="D270" s="5">
        <v>500</v>
      </c>
      <c r="E270" s="5">
        <f>D270</f>
        <v>500</v>
      </c>
      <c r="F270" s="5"/>
      <c r="G270" s="5"/>
      <c r="H270" s="5">
        <v>10933.54</v>
      </c>
      <c r="I270" s="4">
        <v>0</v>
      </c>
      <c r="J270" s="4" t="s">
        <v>323</v>
      </c>
      <c r="K270" s="6" t="s">
        <v>324</v>
      </c>
      <c r="L270" s="6" t="s">
        <v>882</v>
      </c>
      <c r="R270" t="s">
        <v>883</v>
      </c>
    </row>
    <row r="271" spans="1:18" x14ac:dyDescent="0.2">
      <c r="A271" s="4" t="s">
        <v>884</v>
      </c>
      <c r="B271" s="4" t="s">
        <v>885</v>
      </c>
      <c r="C271" s="5" t="s">
        <v>19</v>
      </c>
      <c r="D271" s="5">
        <v>200</v>
      </c>
      <c r="E271" s="5"/>
      <c r="F271" s="5"/>
      <c r="G271" s="5"/>
      <c r="H271" s="5">
        <v>10433.540000000001</v>
      </c>
      <c r="I271" s="4">
        <v>0</v>
      </c>
      <c r="J271" s="4" t="s">
        <v>765</v>
      </c>
      <c r="K271" s="6" t="s">
        <v>42</v>
      </c>
      <c r="L271" s="6" t="s">
        <v>886</v>
      </c>
      <c r="R271" t="s">
        <v>887</v>
      </c>
    </row>
    <row r="272" spans="1:18" x14ac:dyDescent="0.2">
      <c r="A272" s="4" t="s">
        <v>888</v>
      </c>
      <c r="B272" s="4" t="s">
        <v>885</v>
      </c>
      <c r="C272" s="5" t="s">
        <v>19</v>
      </c>
      <c r="D272" s="5">
        <v>1361</v>
      </c>
      <c r="E272" s="5"/>
      <c r="F272" s="5"/>
      <c r="G272" s="5"/>
      <c r="H272" s="5">
        <v>10787.54</v>
      </c>
      <c r="I272" s="4">
        <v>0</v>
      </c>
      <c r="J272" s="4" t="s">
        <v>765</v>
      </c>
      <c r="K272" s="6" t="s">
        <v>42</v>
      </c>
      <c r="L272" s="6" t="s">
        <v>889</v>
      </c>
      <c r="R272" t="s">
        <v>890</v>
      </c>
    </row>
    <row r="273" spans="1:18" x14ac:dyDescent="0.2">
      <c r="A273" s="4"/>
      <c r="B273" s="4"/>
      <c r="C273" s="5"/>
      <c r="D273" s="5"/>
      <c r="E273" s="5"/>
      <c r="F273" s="5"/>
      <c r="G273" s="5"/>
      <c r="H273" s="5"/>
      <c r="I273" s="4"/>
      <c r="J273" s="4"/>
      <c r="K273" s="6"/>
      <c r="L273" s="6"/>
    </row>
    <row r="274" spans="1:18" x14ac:dyDescent="0.2">
      <c r="A274" s="4" t="s">
        <v>891</v>
      </c>
      <c r="B274" s="4" t="s">
        <v>892</v>
      </c>
      <c r="C274" s="5" t="s">
        <v>19</v>
      </c>
      <c r="D274" s="5">
        <v>80</v>
      </c>
      <c r="E274" s="5"/>
      <c r="F274" s="5"/>
      <c r="G274" s="5"/>
      <c r="H274" s="5">
        <v>10864.54</v>
      </c>
      <c r="I274" s="4">
        <v>0</v>
      </c>
      <c r="J274" s="4" t="s">
        <v>765</v>
      </c>
      <c r="K274" s="6" t="s">
        <v>42</v>
      </c>
      <c r="L274" s="6" t="s">
        <v>893</v>
      </c>
      <c r="R274" t="s">
        <v>894</v>
      </c>
    </row>
    <row r="275" spans="1:18" x14ac:dyDescent="0.2">
      <c r="A275" s="4" t="s">
        <v>895</v>
      </c>
      <c r="B275" s="4" t="s">
        <v>896</v>
      </c>
      <c r="C275" s="5" t="s">
        <v>34</v>
      </c>
      <c r="D275" s="5">
        <v>641</v>
      </c>
      <c r="E275" s="5"/>
      <c r="F275" s="5"/>
      <c r="G275" s="5"/>
      <c r="H275" s="5">
        <v>11564.04</v>
      </c>
      <c r="I275" s="4">
        <v>0</v>
      </c>
      <c r="J275" s="4" t="s">
        <v>35</v>
      </c>
      <c r="K275" s="6" t="s">
        <v>36</v>
      </c>
      <c r="L275" s="6" t="s">
        <v>897</v>
      </c>
      <c r="R275" t="s">
        <v>898</v>
      </c>
    </row>
    <row r="276" spans="1:18" x14ac:dyDescent="0.2">
      <c r="A276" s="4" t="s">
        <v>899</v>
      </c>
      <c r="B276" s="4" t="s">
        <v>900</v>
      </c>
      <c r="C276" s="5" t="s">
        <v>19</v>
      </c>
      <c r="D276" s="5">
        <v>1501</v>
      </c>
      <c r="E276" s="5"/>
      <c r="F276" s="5">
        <f>$D276</f>
        <v>1501</v>
      </c>
      <c r="G276" s="5"/>
      <c r="H276" s="5">
        <v>11280.85</v>
      </c>
      <c r="I276" s="4">
        <v>0</v>
      </c>
      <c r="J276" s="4" t="s">
        <v>722</v>
      </c>
      <c r="K276" s="6" t="s">
        <v>723</v>
      </c>
      <c r="L276" s="6" t="s">
        <v>901</v>
      </c>
      <c r="R276" t="s">
        <v>902</v>
      </c>
    </row>
    <row r="277" spans="1:18" x14ac:dyDescent="0.2">
      <c r="A277" s="4" t="s">
        <v>903</v>
      </c>
      <c r="B277" s="4" t="s">
        <v>904</v>
      </c>
      <c r="C277" s="5" t="s">
        <v>34</v>
      </c>
      <c r="D277" s="5">
        <v>200</v>
      </c>
      <c r="E277" s="5">
        <f>D277</f>
        <v>200</v>
      </c>
      <c r="F277" s="5"/>
      <c r="G277" s="5"/>
      <c r="H277" s="5">
        <v>10176.450000000001</v>
      </c>
      <c r="I277" s="4">
        <v>0</v>
      </c>
      <c r="J277" s="4" t="s">
        <v>35</v>
      </c>
      <c r="K277" s="6" t="s">
        <v>36</v>
      </c>
      <c r="L277" s="6" t="s">
        <v>905</v>
      </c>
      <c r="R277" t="s">
        <v>906</v>
      </c>
    </row>
    <row r="278" spans="1:18" x14ac:dyDescent="0.2">
      <c r="A278" s="4" t="s">
        <v>907</v>
      </c>
      <c r="B278" s="4" t="s">
        <v>904</v>
      </c>
      <c r="C278" s="5" t="s">
        <v>34</v>
      </c>
      <c r="D278" s="5">
        <v>200</v>
      </c>
      <c r="E278" s="5">
        <f>D278</f>
        <v>200</v>
      </c>
      <c r="F278" s="5"/>
      <c r="G278" s="5"/>
      <c r="H278" s="5">
        <v>9976.4500000000007</v>
      </c>
      <c r="I278" s="4">
        <v>0</v>
      </c>
      <c r="J278" s="4" t="s">
        <v>35</v>
      </c>
      <c r="K278" s="6" t="s">
        <v>36</v>
      </c>
      <c r="L278" s="6" t="s">
        <v>908</v>
      </c>
      <c r="R278" t="s">
        <v>909</v>
      </c>
    </row>
    <row r="279" spans="1:18" x14ac:dyDescent="0.2">
      <c r="A279" s="4" t="s">
        <v>910</v>
      </c>
      <c r="B279" s="4" t="s">
        <v>911</v>
      </c>
      <c r="C279" s="5" t="s">
        <v>19</v>
      </c>
      <c r="D279" s="5">
        <v>200</v>
      </c>
      <c r="E279" s="5">
        <f>D279</f>
        <v>200</v>
      </c>
      <c r="F279" s="5"/>
      <c r="G279" s="5"/>
      <c r="H279" s="5">
        <v>10135.450000000001</v>
      </c>
      <c r="I279" s="4">
        <v>0</v>
      </c>
      <c r="J279" s="4" t="s">
        <v>722</v>
      </c>
      <c r="K279" s="6" t="s">
        <v>723</v>
      </c>
      <c r="L279" s="6" t="s">
        <v>912</v>
      </c>
      <c r="R279" t="s">
        <v>913</v>
      </c>
    </row>
    <row r="280" spans="1:18" x14ac:dyDescent="0.2">
      <c r="A280" s="4" t="s">
        <v>914</v>
      </c>
      <c r="B280" s="4" t="s">
        <v>915</v>
      </c>
      <c r="C280" s="5" t="s">
        <v>19</v>
      </c>
      <c r="D280" s="5">
        <v>500</v>
      </c>
      <c r="E280" s="5">
        <f>D280</f>
        <v>500</v>
      </c>
      <c r="F280" s="5"/>
      <c r="G280" s="5"/>
      <c r="H280" s="5">
        <v>12075.19</v>
      </c>
      <c r="I280" s="4">
        <v>0</v>
      </c>
      <c r="J280" s="4" t="s">
        <v>722</v>
      </c>
      <c r="K280" s="6" t="s">
        <v>723</v>
      </c>
      <c r="L280" s="6" t="s">
        <v>916</v>
      </c>
      <c r="R280" t="s">
        <v>917</v>
      </c>
    </row>
    <row r="281" spans="1:18" x14ac:dyDescent="0.2">
      <c r="A281" s="4" t="s">
        <v>918</v>
      </c>
      <c r="B281" s="4" t="s">
        <v>919</v>
      </c>
      <c r="C281" s="5" t="s">
        <v>19</v>
      </c>
      <c r="D281" s="5">
        <v>500</v>
      </c>
      <c r="E281" s="5">
        <f>D281</f>
        <v>500</v>
      </c>
      <c r="F281" s="5"/>
      <c r="G281" s="5"/>
      <c r="H281" s="5">
        <v>12175.45</v>
      </c>
      <c r="I281" s="4">
        <v>0</v>
      </c>
      <c r="J281" s="4" t="s">
        <v>722</v>
      </c>
      <c r="K281" s="6" t="s">
        <v>723</v>
      </c>
      <c r="L281" s="6" t="s">
        <v>920</v>
      </c>
      <c r="R281" t="s">
        <v>921</v>
      </c>
    </row>
    <row r="282" spans="1:18" x14ac:dyDescent="0.2">
      <c r="A282" s="4"/>
      <c r="B282" s="4"/>
      <c r="C282" s="5"/>
      <c r="D282" s="5"/>
      <c r="E282" s="5"/>
      <c r="F282" s="5"/>
      <c r="G282" s="5"/>
      <c r="H282" s="5"/>
      <c r="I282" s="4"/>
      <c r="J282" s="4"/>
      <c r="K282" s="6"/>
      <c r="L282" s="6"/>
    </row>
    <row r="283" spans="1:18" x14ac:dyDescent="0.2">
      <c r="A283" s="4"/>
      <c r="B283" s="4"/>
      <c r="C283" s="5"/>
      <c r="D283" s="5"/>
      <c r="E283" s="5"/>
      <c r="F283" s="5"/>
      <c r="G283" s="5"/>
      <c r="H283" s="5"/>
      <c r="I283" s="4"/>
      <c r="J283" s="4"/>
      <c r="K283" s="6"/>
      <c r="L283" s="6"/>
    </row>
    <row r="284" spans="1:18" x14ac:dyDescent="0.2">
      <c r="A284" s="4"/>
      <c r="B284" s="4"/>
      <c r="C284" s="5"/>
      <c r="D284" s="5"/>
      <c r="E284" s="5"/>
      <c r="F284" s="5"/>
      <c r="G284" s="5"/>
      <c r="H284" s="5"/>
      <c r="I284" s="4"/>
      <c r="J284" s="4"/>
      <c r="K284" s="6"/>
      <c r="L284" s="6"/>
    </row>
    <row r="286" spans="1:18" x14ac:dyDescent="0.2">
      <c r="A286" s="4" t="s">
        <v>922</v>
      </c>
      <c r="B286" s="4" t="s">
        <v>923</v>
      </c>
      <c r="C286" s="5" t="s">
        <v>62</v>
      </c>
      <c r="D286" s="5">
        <v>6000</v>
      </c>
      <c r="E286" s="5"/>
      <c r="F286" s="5"/>
      <c r="G286" s="5">
        <f>$D286</f>
        <v>6000</v>
      </c>
      <c r="H286" s="5">
        <v>12179.53</v>
      </c>
      <c r="I286" s="4">
        <v>0</v>
      </c>
      <c r="J286" s="4" t="s">
        <v>41</v>
      </c>
      <c r="K286" s="6" t="s">
        <v>42</v>
      </c>
      <c r="L286" s="8" t="s">
        <v>924</v>
      </c>
      <c r="R286" t="s">
        <v>925</v>
      </c>
    </row>
    <row r="287" spans="1:18" x14ac:dyDescent="0.2">
      <c r="A287" s="4" t="s">
        <v>926</v>
      </c>
      <c r="B287" s="4" t="s">
        <v>923</v>
      </c>
      <c r="C287" s="5" t="s">
        <v>62</v>
      </c>
      <c r="D287" s="5">
        <v>4800</v>
      </c>
      <c r="E287" s="5"/>
      <c r="F287" s="5"/>
      <c r="G287" s="5">
        <f>$D287</f>
        <v>4800</v>
      </c>
      <c r="H287" s="5">
        <v>6179.53</v>
      </c>
      <c r="I287" s="4">
        <v>0</v>
      </c>
      <c r="J287" s="4" t="s">
        <v>41</v>
      </c>
      <c r="K287" s="6" t="s">
        <v>42</v>
      </c>
      <c r="L287" s="8" t="s">
        <v>927</v>
      </c>
      <c r="R287" t="s">
        <v>928</v>
      </c>
    </row>
    <row r="288" spans="1:18" x14ac:dyDescent="0.2">
      <c r="A288" s="4" t="s">
        <v>929</v>
      </c>
      <c r="B288" s="4" t="s">
        <v>923</v>
      </c>
      <c r="C288" s="5" t="s">
        <v>19</v>
      </c>
      <c r="D288" s="5">
        <v>1212</v>
      </c>
      <c r="E288" s="5"/>
      <c r="F288" s="5">
        <f>$D288</f>
        <v>1212</v>
      </c>
      <c r="G288" s="5"/>
      <c r="H288" s="5">
        <v>1379.53</v>
      </c>
      <c r="I288" s="4">
        <v>0</v>
      </c>
      <c r="J288" s="4" t="s">
        <v>722</v>
      </c>
      <c r="K288" s="6" t="s">
        <v>723</v>
      </c>
      <c r="L288" s="6" t="s">
        <v>930</v>
      </c>
      <c r="R288" t="s">
        <v>931</v>
      </c>
    </row>
    <row r="289" spans="1:18" x14ac:dyDescent="0.2">
      <c r="A289" s="4" t="s">
        <v>932</v>
      </c>
      <c r="B289" s="4" t="s">
        <v>923</v>
      </c>
      <c r="C289" s="5" t="s">
        <v>19</v>
      </c>
      <c r="D289" s="5">
        <v>320</v>
      </c>
      <c r="E289" s="5">
        <f>D289</f>
        <v>320</v>
      </c>
      <c r="F289" s="5"/>
      <c r="G289" s="5"/>
      <c r="H289" s="5">
        <v>417.09</v>
      </c>
      <c r="I289" s="4">
        <v>0</v>
      </c>
      <c r="J289" s="4" t="s">
        <v>722</v>
      </c>
      <c r="K289" s="6" t="s">
        <v>723</v>
      </c>
      <c r="L289" s="6" t="s">
        <v>933</v>
      </c>
      <c r="R289" t="s">
        <v>934</v>
      </c>
    </row>
    <row r="290" spans="1:18" x14ac:dyDescent="0.2">
      <c r="A290" s="4" t="s">
        <v>935</v>
      </c>
      <c r="B290" s="4" t="s">
        <v>936</v>
      </c>
      <c r="C290" s="5" t="s">
        <v>19</v>
      </c>
      <c r="D290" s="5">
        <v>300</v>
      </c>
      <c r="E290" s="5"/>
      <c r="F290" s="5">
        <f>$D290</f>
        <v>300</v>
      </c>
      <c r="G290" s="5"/>
      <c r="H290" s="5">
        <v>414.8</v>
      </c>
      <c r="I290" s="4">
        <v>0</v>
      </c>
      <c r="J290" s="4" t="s">
        <v>722</v>
      </c>
      <c r="K290" s="6" t="s">
        <v>723</v>
      </c>
      <c r="L290" s="6" t="s">
        <v>937</v>
      </c>
      <c r="R290" t="s">
        <v>938</v>
      </c>
    </row>
    <row r="291" spans="1:18" x14ac:dyDescent="0.2">
      <c r="A291" s="4" t="s">
        <v>939</v>
      </c>
      <c r="B291" s="4" t="s">
        <v>940</v>
      </c>
      <c r="C291" s="5" t="s">
        <v>19</v>
      </c>
      <c r="D291" s="5">
        <v>500</v>
      </c>
      <c r="E291" s="5">
        <f>D291</f>
        <v>500</v>
      </c>
      <c r="F291" s="5"/>
      <c r="G291" s="5"/>
      <c r="H291" s="5">
        <v>524.29999999999995</v>
      </c>
      <c r="I291" s="4">
        <v>0</v>
      </c>
      <c r="J291" s="4" t="s">
        <v>722</v>
      </c>
      <c r="K291" s="6" t="s">
        <v>723</v>
      </c>
      <c r="L291" s="6" t="s">
        <v>941</v>
      </c>
      <c r="R291" t="s">
        <v>942</v>
      </c>
    </row>
    <row r="292" spans="1:18" x14ac:dyDescent="0.2">
      <c r="A292" s="4" t="s">
        <v>943</v>
      </c>
      <c r="B292" s="4" t="s">
        <v>944</v>
      </c>
      <c r="C292" s="5" t="s">
        <v>19</v>
      </c>
      <c r="D292" s="5">
        <v>500</v>
      </c>
      <c r="E292" s="5">
        <f>D292</f>
        <v>500</v>
      </c>
      <c r="F292" s="5"/>
      <c r="G292" s="5"/>
      <c r="H292" s="5">
        <v>559.44000000000005</v>
      </c>
      <c r="I292" s="4">
        <v>0</v>
      </c>
      <c r="J292" s="4" t="s">
        <v>722</v>
      </c>
      <c r="K292" s="6" t="s">
        <v>723</v>
      </c>
      <c r="L292" s="6" t="s">
        <v>945</v>
      </c>
      <c r="R292" t="s">
        <v>946</v>
      </c>
    </row>
    <row r="293" spans="1:18" x14ac:dyDescent="0.2">
      <c r="A293" s="4" t="s">
        <v>947</v>
      </c>
      <c r="B293" s="4" t="s">
        <v>948</v>
      </c>
      <c r="C293" s="5" t="s">
        <v>34</v>
      </c>
      <c r="D293" s="5">
        <v>200</v>
      </c>
      <c r="E293" s="5">
        <f>D293</f>
        <v>200</v>
      </c>
      <c r="F293" s="5"/>
      <c r="G293" s="5"/>
      <c r="H293" s="5">
        <v>235.89</v>
      </c>
      <c r="I293" s="4">
        <v>0</v>
      </c>
      <c r="J293" s="4" t="s">
        <v>323</v>
      </c>
      <c r="K293" s="6" t="s">
        <v>324</v>
      </c>
      <c r="L293" s="6" t="s">
        <v>949</v>
      </c>
      <c r="R293" t="s">
        <v>950</v>
      </c>
    </row>
    <row r="294" spans="1:18" x14ac:dyDescent="0.2">
      <c r="A294" s="4" t="s">
        <v>951</v>
      </c>
      <c r="B294" s="4" t="s">
        <v>948</v>
      </c>
      <c r="C294" s="5" t="s">
        <v>19</v>
      </c>
      <c r="D294" s="5">
        <v>100</v>
      </c>
      <c r="E294" s="5"/>
      <c r="F294" s="5"/>
      <c r="G294" s="5"/>
      <c r="H294" s="5">
        <v>376.88</v>
      </c>
      <c r="I294" s="4">
        <v>0</v>
      </c>
      <c r="J294" s="4" t="s">
        <v>765</v>
      </c>
      <c r="K294" s="6" t="s">
        <v>42</v>
      </c>
      <c r="L294" s="6" t="s">
        <v>952</v>
      </c>
      <c r="R294" t="s">
        <v>953</v>
      </c>
    </row>
    <row r="295" spans="1:18" x14ac:dyDescent="0.2">
      <c r="A295" s="4" t="s">
        <v>954</v>
      </c>
      <c r="B295" s="4" t="s">
        <v>955</v>
      </c>
      <c r="C295" s="5" t="s">
        <v>19</v>
      </c>
      <c r="D295" s="5">
        <v>350</v>
      </c>
      <c r="E295" s="5">
        <f>D295</f>
        <v>350</v>
      </c>
      <c r="F295" s="5"/>
      <c r="G295" s="5"/>
      <c r="H295" s="5">
        <v>360.13</v>
      </c>
      <c r="I295" s="4">
        <v>0</v>
      </c>
      <c r="J295" s="4" t="s">
        <v>722</v>
      </c>
      <c r="K295" s="6" t="s">
        <v>723</v>
      </c>
      <c r="L295" s="6" t="s">
        <v>956</v>
      </c>
      <c r="R295" t="s">
        <v>957</v>
      </c>
    </row>
    <row r="296" spans="1:18" x14ac:dyDescent="0.2">
      <c r="A296" s="4" t="s">
        <v>958</v>
      </c>
      <c r="B296" s="4" t="s">
        <v>959</v>
      </c>
      <c r="C296" s="5" t="s">
        <v>34</v>
      </c>
      <c r="D296" s="5">
        <v>350</v>
      </c>
      <c r="E296" s="5">
        <f>D296</f>
        <v>350</v>
      </c>
      <c r="F296" s="5"/>
      <c r="G296" s="5"/>
      <c r="H296" s="5">
        <v>795.13</v>
      </c>
      <c r="I296" s="4">
        <v>0</v>
      </c>
      <c r="J296" s="4" t="s">
        <v>35</v>
      </c>
      <c r="K296" s="6" t="s">
        <v>36</v>
      </c>
      <c r="L296" s="6" t="s">
        <v>960</v>
      </c>
      <c r="R296" t="s">
        <v>961</v>
      </c>
    </row>
    <row r="297" spans="1:18" x14ac:dyDescent="0.2">
      <c r="A297" s="4" t="s">
        <v>962</v>
      </c>
      <c r="B297" s="4" t="s">
        <v>959</v>
      </c>
      <c r="C297" s="5" t="s">
        <v>34</v>
      </c>
      <c r="D297" s="5">
        <v>250</v>
      </c>
      <c r="E297" s="5">
        <f>D297</f>
        <v>250</v>
      </c>
      <c r="F297" s="5"/>
      <c r="G297" s="5"/>
      <c r="H297" s="5">
        <v>445.13</v>
      </c>
      <c r="I297" s="4">
        <v>0</v>
      </c>
      <c r="J297" s="4" t="s">
        <v>35</v>
      </c>
      <c r="K297" s="6" t="s">
        <v>36</v>
      </c>
      <c r="L297" s="6" t="s">
        <v>963</v>
      </c>
      <c r="R297" t="s">
        <v>964</v>
      </c>
    </row>
    <row r="298" spans="1:18" x14ac:dyDescent="0.2">
      <c r="A298" s="4" t="s">
        <v>965</v>
      </c>
      <c r="B298" s="4" t="s">
        <v>966</v>
      </c>
      <c r="C298" s="5" t="s">
        <v>19</v>
      </c>
      <c r="D298" s="5">
        <v>500</v>
      </c>
      <c r="E298" s="5">
        <f>D298</f>
        <v>500</v>
      </c>
      <c r="F298" s="5"/>
      <c r="G298" s="5"/>
      <c r="H298" s="5">
        <v>547.13</v>
      </c>
      <c r="I298" s="4">
        <v>0</v>
      </c>
      <c r="J298" s="4" t="s">
        <v>722</v>
      </c>
      <c r="K298" s="6" t="s">
        <v>723</v>
      </c>
      <c r="L298" s="6" t="s">
        <v>967</v>
      </c>
      <c r="R298" t="s">
        <v>968</v>
      </c>
    </row>
    <row r="299" spans="1:18" x14ac:dyDescent="0.2">
      <c r="A299" s="4"/>
      <c r="B299" s="4"/>
      <c r="C299" s="5"/>
      <c r="D299" s="5"/>
      <c r="E299" s="5"/>
      <c r="F299" s="5"/>
      <c r="G299" s="5"/>
      <c r="H299" s="5"/>
      <c r="I299" s="4"/>
      <c r="J299" s="4"/>
      <c r="K299" s="6"/>
      <c r="L299" s="6"/>
    </row>
    <row r="300" spans="1:18" x14ac:dyDescent="0.2">
      <c r="A300" s="4" t="s">
        <v>969</v>
      </c>
      <c r="B300" s="4" t="s">
        <v>970</v>
      </c>
      <c r="C300" s="5" t="s">
        <v>62</v>
      </c>
      <c r="D300" s="5">
        <v>43160</v>
      </c>
      <c r="E300" s="5"/>
      <c r="F300" s="5"/>
      <c r="G300" s="5">
        <f>$D300</f>
        <v>43160</v>
      </c>
      <c r="H300" s="5">
        <v>43377.279999999999</v>
      </c>
      <c r="I300" s="4">
        <v>0</v>
      </c>
      <c r="J300" s="4" t="s">
        <v>41</v>
      </c>
      <c r="K300" s="6" t="s">
        <v>42</v>
      </c>
      <c r="L300" s="8" t="s">
        <v>971</v>
      </c>
      <c r="R300" t="s">
        <v>972</v>
      </c>
    </row>
    <row r="301" spans="1:18" x14ac:dyDescent="0.2">
      <c r="A301" s="4" t="s">
        <v>973</v>
      </c>
      <c r="B301" s="4" t="s">
        <v>974</v>
      </c>
      <c r="C301" s="5" t="s">
        <v>19</v>
      </c>
      <c r="D301" s="5">
        <v>2000</v>
      </c>
      <c r="E301" s="5">
        <f t="shared" ref="E301:E307" si="3">D301</f>
        <v>2000</v>
      </c>
      <c r="F301" s="5"/>
      <c r="G301" s="5"/>
      <c r="H301" s="5">
        <v>2231.83</v>
      </c>
      <c r="I301" s="4">
        <v>0</v>
      </c>
      <c r="J301" s="4" t="s">
        <v>722</v>
      </c>
      <c r="K301" s="6" t="s">
        <v>723</v>
      </c>
      <c r="L301" s="6" t="s">
        <v>975</v>
      </c>
      <c r="R301" t="s">
        <v>976</v>
      </c>
    </row>
    <row r="302" spans="1:18" x14ac:dyDescent="0.2">
      <c r="A302" s="4" t="s">
        <v>977</v>
      </c>
      <c r="B302" s="4" t="s">
        <v>974</v>
      </c>
      <c r="C302" s="5" t="s">
        <v>19</v>
      </c>
      <c r="D302" s="5">
        <v>250</v>
      </c>
      <c r="E302" s="5">
        <f t="shared" si="3"/>
        <v>250</v>
      </c>
      <c r="F302" s="5"/>
      <c r="G302" s="5"/>
      <c r="H302" s="5">
        <v>327.33</v>
      </c>
      <c r="I302" s="4">
        <v>0</v>
      </c>
      <c r="J302" s="4" t="s">
        <v>722</v>
      </c>
      <c r="K302" s="6" t="s">
        <v>723</v>
      </c>
      <c r="L302" s="6" t="s">
        <v>978</v>
      </c>
      <c r="R302" t="s">
        <v>979</v>
      </c>
    </row>
    <row r="303" spans="1:18" x14ac:dyDescent="0.2">
      <c r="A303" s="4" t="s">
        <v>980</v>
      </c>
      <c r="B303" s="4" t="s">
        <v>981</v>
      </c>
      <c r="C303" s="5" t="s">
        <v>19</v>
      </c>
      <c r="D303" s="5">
        <v>200</v>
      </c>
      <c r="E303" s="5">
        <f t="shared" si="3"/>
        <v>200</v>
      </c>
      <c r="F303" s="5"/>
      <c r="G303" s="5"/>
      <c r="H303" s="5">
        <v>398.81</v>
      </c>
      <c r="I303" s="4">
        <v>0</v>
      </c>
      <c r="J303" s="4" t="s">
        <v>722</v>
      </c>
      <c r="K303" s="6" t="s">
        <v>723</v>
      </c>
      <c r="L303" s="6" t="s">
        <v>982</v>
      </c>
      <c r="R303" t="s">
        <v>983</v>
      </c>
    </row>
    <row r="304" spans="1:18" x14ac:dyDescent="0.2">
      <c r="A304" s="4" t="s">
        <v>984</v>
      </c>
      <c r="B304" s="4" t="s">
        <v>985</v>
      </c>
      <c r="C304" s="5" t="s">
        <v>19</v>
      </c>
      <c r="D304" s="5">
        <v>500</v>
      </c>
      <c r="E304" s="5">
        <f t="shared" si="3"/>
        <v>500</v>
      </c>
      <c r="F304" s="5"/>
      <c r="G304" s="5"/>
      <c r="H304" s="5">
        <v>623.80999999999995</v>
      </c>
      <c r="I304" s="4">
        <v>0</v>
      </c>
      <c r="J304" s="4" t="s">
        <v>722</v>
      </c>
      <c r="K304" s="6" t="s">
        <v>723</v>
      </c>
      <c r="L304" s="6" t="s">
        <v>986</v>
      </c>
      <c r="R304" t="s">
        <v>987</v>
      </c>
    </row>
    <row r="305" spans="1:18" x14ac:dyDescent="0.2">
      <c r="A305" s="4" t="s">
        <v>988</v>
      </c>
      <c r="B305" s="4" t="s">
        <v>989</v>
      </c>
      <c r="C305" s="5" t="s">
        <v>19</v>
      </c>
      <c r="D305" s="5">
        <v>185</v>
      </c>
      <c r="E305" s="5">
        <f t="shared" si="3"/>
        <v>185</v>
      </c>
      <c r="F305" s="5"/>
      <c r="G305" s="5"/>
      <c r="H305" s="5">
        <v>195.81</v>
      </c>
      <c r="I305" s="4">
        <v>0</v>
      </c>
      <c r="J305" s="4" t="s">
        <v>722</v>
      </c>
      <c r="K305" s="6" t="s">
        <v>723</v>
      </c>
      <c r="L305" s="6" t="s">
        <v>990</v>
      </c>
      <c r="R305" t="s">
        <v>991</v>
      </c>
    </row>
    <row r="306" spans="1:18" x14ac:dyDescent="0.2">
      <c r="A306" s="4" t="s">
        <v>992</v>
      </c>
      <c r="B306" s="4" t="s">
        <v>985</v>
      </c>
      <c r="C306" s="5" t="s">
        <v>19</v>
      </c>
      <c r="D306" s="5">
        <v>300</v>
      </c>
      <c r="E306" s="5">
        <f t="shared" si="3"/>
        <v>300</v>
      </c>
      <c r="F306" s="5"/>
      <c r="G306" s="5"/>
      <c r="H306" s="5">
        <v>311.79000000000002</v>
      </c>
      <c r="I306" s="4">
        <v>0</v>
      </c>
      <c r="J306" s="4" t="s">
        <v>765</v>
      </c>
      <c r="K306" s="6" t="s">
        <v>42</v>
      </c>
      <c r="L306" s="6" t="s">
        <v>993</v>
      </c>
      <c r="R306" t="s">
        <v>994</v>
      </c>
    </row>
    <row r="307" spans="1:18" x14ac:dyDescent="0.2">
      <c r="A307" s="4" t="s">
        <v>995</v>
      </c>
      <c r="B307" s="4" t="s">
        <v>996</v>
      </c>
      <c r="C307" s="5" t="s">
        <v>19</v>
      </c>
      <c r="D307" s="5">
        <v>500</v>
      </c>
      <c r="E307" s="5">
        <f t="shared" si="3"/>
        <v>500</v>
      </c>
      <c r="F307" s="5"/>
      <c r="G307" s="5"/>
      <c r="H307" s="5">
        <v>578.6</v>
      </c>
      <c r="I307" s="4">
        <v>0</v>
      </c>
      <c r="J307" s="4" t="s">
        <v>765</v>
      </c>
      <c r="K307" s="6" t="s">
        <v>42</v>
      </c>
      <c r="L307" s="6" t="s">
        <v>997</v>
      </c>
      <c r="R307" t="s">
        <v>998</v>
      </c>
    </row>
    <row r="308" spans="1:18" x14ac:dyDescent="0.2">
      <c r="A308" s="4"/>
      <c r="B308" s="4"/>
      <c r="C308" s="5"/>
      <c r="D308" s="5"/>
      <c r="E308" s="5"/>
      <c r="F308" s="5"/>
      <c r="G308" s="5"/>
      <c r="H308" s="5"/>
      <c r="I308" s="4"/>
      <c r="J308" s="4"/>
      <c r="K308" s="6"/>
      <c r="L308" s="6"/>
    </row>
    <row r="309" spans="1:18" x14ac:dyDescent="0.2">
      <c r="A309" s="4" t="s">
        <v>999</v>
      </c>
      <c r="B309" s="4" t="s">
        <v>1000</v>
      </c>
      <c r="C309" s="5" t="s">
        <v>19</v>
      </c>
      <c r="D309" s="5">
        <v>2234</v>
      </c>
      <c r="E309" s="5"/>
      <c r="F309" s="5"/>
      <c r="G309" s="5"/>
      <c r="H309" s="5">
        <v>3137.54</v>
      </c>
      <c r="I309" s="4">
        <v>0</v>
      </c>
      <c r="J309" s="4" t="s">
        <v>765</v>
      </c>
      <c r="K309" s="6" t="s">
        <v>42</v>
      </c>
      <c r="L309" s="6" t="s">
        <v>1001</v>
      </c>
      <c r="R309" t="s">
        <v>1002</v>
      </c>
    </row>
    <row r="310" spans="1:18" x14ac:dyDescent="0.2">
      <c r="A310" s="4" t="s">
        <v>1003</v>
      </c>
      <c r="B310" s="4" t="s">
        <v>1000</v>
      </c>
      <c r="C310" s="5" t="s">
        <v>19</v>
      </c>
      <c r="D310" s="5">
        <v>280</v>
      </c>
      <c r="E310" s="5">
        <f>D310</f>
        <v>280</v>
      </c>
      <c r="F310" s="5"/>
      <c r="G310" s="5"/>
      <c r="H310" s="5">
        <v>1626.51</v>
      </c>
      <c r="I310" s="4">
        <v>0</v>
      </c>
      <c r="J310" s="4" t="s">
        <v>722</v>
      </c>
      <c r="K310" s="6" t="s">
        <v>723</v>
      </c>
      <c r="L310" s="6" t="s">
        <v>1004</v>
      </c>
      <c r="R310" t="s">
        <v>1005</v>
      </c>
    </row>
    <row r="311" spans="1:18" x14ac:dyDescent="0.2">
      <c r="A311" s="4" t="s">
        <v>1006</v>
      </c>
      <c r="B311" s="4" t="s">
        <v>1007</v>
      </c>
      <c r="C311" s="5" t="s">
        <v>19</v>
      </c>
      <c r="D311" s="5">
        <v>1210</v>
      </c>
      <c r="E311" s="5"/>
      <c r="F311" s="5">
        <f>$D311</f>
        <v>1210</v>
      </c>
      <c r="G311" s="5"/>
      <c r="H311" s="5">
        <v>1447.5</v>
      </c>
      <c r="I311" s="4">
        <v>0</v>
      </c>
      <c r="J311" s="4" t="s">
        <v>722</v>
      </c>
      <c r="K311" s="6" t="s">
        <v>723</v>
      </c>
      <c r="L311" s="6" t="s">
        <v>1008</v>
      </c>
      <c r="R311" t="s">
        <v>1009</v>
      </c>
    </row>
    <row r="312" spans="1:18" x14ac:dyDescent="0.2">
      <c r="A312" s="4" t="s">
        <v>1010</v>
      </c>
      <c r="B312" s="4" t="s">
        <v>1011</v>
      </c>
      <c r="C312" s="5" t="s">
        <v>19</v>
      </c>
      <c r="D312" s="5">
        <v>500</v>
      </c>
      <c r="E312" s="5">
        <f>D312</f>
        <v>500</v>
      </c>
      <c r="F312" s="5"/>
      <c r="G312" s="5"/>
      <c r="H312" s="5">
        <v>500</v>
      </c>
      <c r="I312" s="4">
        <v>0</v>
      </c>
      <c r="J312" s="4" t="s">
        <v>722</v>
      </c>
      <c r="K312" s="6" t="s">
        <v>723</v>
      </c>
      <c r="L312" s="6" t="s">
        <v>1012</v>
      </c>
      <c r="R312" t="s">
        <v>1013</v>
      </c>
    </row>
    <row r="313" spans="1:18" x14ac:dyDescent="0.2">
      <c r="A313" s="4" t="s">
        <v>1014</v>
      </c>
      <c r="B313" s="4" t="s">
        <v>1015</v>
      </c>
      <c r="C313" s="5" t="s">
        <v>34</v>
      </c>
      <c r="D313" s="5">
        <v>500</v>
      </c>
      <c r="E313" s="5">
        <f>D313</f>
        <v>500</v>
      </c>
      <c r="F313" s="5"/>
      <c r="G313" s="5"/>
      <c r="H313" s="5">
        <v>666.83</v>
      </c>
      <c r="I313" s="4">
        <v>0</v>
      </c>
      <c r="J313" s="4" t="s">
        <v>323</v>
      </c>
      <c r="K313" s="6" t="s">
        <v>324</v>
      </c>
      <c r="L313" s="6" t="s">
        <v>1016</v>
      </c>
      <c r="R313" t="s">
        <v>1017</v>
      </c>
    </row>
    <row r="314" spans="1:18" x14ac:dyDescent="0.2">
      <c r="A314" s="4" t="s">
        <v>1018</v>
      </c>
      <c r="B314" s="4" t="s">
        <v>1019</v>
      </c>
      <c r="C314" s="5" t="s">
        <v>34</v>
      </c>
      <c r="D314" s="5">
        <v>500</v>
      </c>
      <c r="E314" s="5">
        <f>D314</f>
        <v>500</v>
      </c>
      <c r="F314" s="5"/>
      <c r="G314" s="5"/>
      <c r="H314" s="5">
        <v>500.33</v>
      </c>
      <c r="I314" s="4">
        <v>0</v>
      </c>
      <c r="J314" s="4" t="s">
        <v>323</v>
      </c>
      <c r="K314" s="6" t="s">
        <v>324</v>
      </c>
      <c r="L314" s="6" t="s">
        <v>1020</v>
      </c>
      <c r="R314" t="s">
        <v>1021</v>
      </c>
    </row>
    <row r="315" spans="1:18" x14ac:dyDescent="0.2">
      <c r="A315" s="4" t="s">
        <v>1022</v>
      </c>
      <c r="B315" s="4" t="s">
        <v>1019</v>
      </c>
      <c r="C315" s="5" t="s">
        <v>19</v>
      </c>
      <c r="D315" s="5">
        <v>155</v>
      </c>
      <c r="E315" s="5"/>
      <c r="F315" s="5"/>
      <c r="G315" s="5"/>
      <c r="H315" s="5">
        <v>234.32</v>
      </c>
      <c r="I315" s="4">
        <v>0</v>
      </c>
      <c r="J315" s="4" t="s">
        <v>765</v>
      </c>
      <c r="K315" s="6" t="s">
        <v>42</v>
      </c>
      <c r="L315" s="6" t="s">
        <v>1023</v>
      </c>
      <c r="R315" t="s">
        <v>1024</v>
      </c>
    </row>
    <row r="316" spans="1:18" x14ac:dyDescent="0.2">
      <c r="A316" s="4" t="s">
        <v>1025</v>
      </c>
      <c r="B316" s="4" t="s">
        <v>1026</v>
      </c>
      <c r="C316" s="5" t="s">
        <v>19</v>
      </c>
      <c r="D316" s="5">
        <v>500</v>
      </c>
      <c r="E316" s="5">
        <f>D316</f>
        <v>500</v>
      </c>
      <c r="F316" s="5"/>
      <c r="G316" s="5"/>
      <c r="H316" s="5">
        <v>556.32000000000005</v>
      </c>
      <c r="I316" s="4">
        <v>0</v>
      </c>
      <c r="J316" s="4" t="s">
        <v>722</v>
      </c>
      <c r="K316" s="6" t="s">
        <v>723</v>
      </c>
      <c r="L316" s="6" t="s">
        <v>1027</v>
      </c>
      <c r="R316" t="s">
        <v>1028</v>
      </c>
    </row>
    <row r="317" spans="1:18" x14ac:dyDescent="0.2">
      <c r="A317" s="4" t="s">
        <v>1029</v>
      </c>
      <c r="B317" s="4" t="s">
        <v>1030</v>
      </c>
      <c r="C317" s="5" t="s">
        <v>34</v>
      </c>
      <c r="D317" s="5">
        <v>500</v>
      </c>
      <c r="E317" s="5">
        <f>D317</f>
        <v>500</v>
      </c>
      <c r="F317" s="5"/>
      <c r="G317" s="5"/>
      <c r="H317" s="5">
        <v>560.32000000000005</v>
      </c>
      <c r="I317" s="4">
        <v>0</v>
      </c>
      <c r="J317" s="4" t="s">
        <v>323</v>
      </c>
      <c r="K317" s="6" t="s">
        <v>324</v>
      </c>
      <c r="L317" s="6" t="s">
        <v>1031</v>
      </c>
      <c r="R317" t="s">
        <v>1032</v>
      </c>
    </row>
    <row r="318" spans="1:18" x14ac:dyDescent="0.2">
      <c r="A318" s="4" t="s">
        <v>1033</v>
      </c>
      <c r="B318" s="4" t="s">
        <v>1034</v>
      </c>
      <c r="C318" s="5" t="s">
        <v>19</v>
      </c>
      <c r="D318" s="5">
        <v>500</v>
      </c>
      <c r="E318" s="5">
        <f>D318</f>
        <v>500</v>
      </c>
      <c r="F318" s="5"/>
      <c r="G318" s="5"/>
      <c r="H318" s="5">
        <v>657.05</v>
      </c>
      <c r="I318" s="4">
        <v>0</v>
      </c>
      <c r="J318" s="4" t="s">
        <v>722</v>
      </c>
      <c r="K318" s="6" t="s">
        <v>723</v>
      </c>
      <c r="L318" s="6" t="s">
        <v>1035</v>
      </c>
      <c r="R318" t="s">
        <v>1036</v>
      </c>
    </row>
    <row r="319" spans="1:18" x14ac:dyDescent="0.2">
      <c r="A319" s="4" t="s">
        <v>1037</v>
      </c>
      <c r="B319" s="4" t="s">
        <v>1038</v>
      </c>
      <c r="C319" s="5" t="s">
        <v>34</v>
      </c>
      <c r="D319" s="5">
        <v>100</v>
      </c>
      <c r="E319" s="5"/>
      <c r="F319" s="5"/>
      <c r="G319" s="5"/>
      <c r="H319" s="5">
        <v>170.05</v>
      </c>
      <c r="I319" s="4">
        <v>0</v>
      </c>
      <c r="J319" s="4" t="s">
        <v>35</v>
      </c>
      <c r="K319" s="6" t="s">
        <v>36</v>
      </c>
      <c r="L319" s="6" t="s">
        <v>1039</v>
      </c>
      <c r="R319" t="s">
        <v>1040</v>
      </c>
    </row>
    <row r="320" spans="1:18" x14ac:dyDescent="0.2">
      <c r="A320" s="4" t="s">
        <v>1041</v>
      </c>
      <c r="B320" s="4" t="s">
        <v>1042</v>
      </c>
      <c r="C320" s="5" t="s">
        <v>19</v>
      </c>
      <c r="D320" s="5">
        <v>120</v>
      </c>
      <c r="E320" s="5">
        <f>D320</f>
        <v>120</v>
      </c>
      <c r="F320" s="5"/>
      <c r="G320" s="5"/>
      <c r="H320" s="5">
        <v>123.55</v>
      </c>
      <c r="I320" s="4">
        <v>0</v>
      </c>
      <c r="J320" s="4" t="s">
        <v>722</v>
      </c>
      <c r="K320" s="6" t="s">
        <v>723</v>
      </c>
      <c r="L320" s="6" t="s">
        <v>1043</v>
      </c>
      <c r="R320" t="s">
        <v>1044</v>
      </c>
    </row>
    <row r="321" spans="1:18" x14ac:dyDescent="0.2">
      <c r="A321" s="4" t="s">
        <v>1045</v>
      </c>
      <c r="B321" s="4" t="s">
        <v>1046</v>
      </c>
      <c r="C321" s="5" t="s">
        <v>19</v>
      </c>
      <c r="D321" s="5">
        <v>1200</v>
      </c>
      <c r="E321" s="5"/>
      <c r="F321" s="5">
        <f>$D321</f>
        <v>1200</v>
      </c>
      <c r="G321" s="5"/>
      <c r="H321" s="5">
        <v>1946.01</v>
      </c>
      <c r="I321" s="4">
        <v>0</v>
      </c>
      <c r="J321" s="4" t="s">
        <v>722</v>
      </c>
      <c r="K321" s="6" t="s">
        <v>723</v>
      </c>
      <c r="L321" s="6" t="s">
        <v>1047</v>
      </c>
      <c r="R321" t="s">
        <v>1048</v>
      </c>
    </row>
    <row r="322" spans="1:18" x14ac:dyDescent="0.2">
      <c r="A322" s="4"/>
      <c r="B322" s="4"/>
      <c r="C322" s="5"/>
      <c r="D322" s="5"/>
      <c r="E322" s="5"/>
      <c r="F322" s="5"/>
      <c r="G322" s="5"/>
      <c r="H322" s="5"/>
      <c r="I322" s="4"/>
      <c r="J322" s="4"/>
      <c r="K322" s="6"/>
      <c r="L322" s="6"/>
    </row>
    <row r="323" spans="1:18" x14ac:dyDescent="0.2">
      <c r="A323" s="4" t="s">
        <v>1049</v>
      </c>
      <c r="B323" s="4" t="s">
        <v>1050</v>
      </c>
      <c r="C323" s="5" t="s">
        <v>19</v>
      </c>
      <c r="D323" s="5">
        <v>700</v>
      </c>
      <c r="E323" s="5">
        <f>D323</f>
        <v>700</v>
      </c>
      <c r="F323" s="5"/>
      <c r="G323" s="5"/>
      <c r="H323" s="5">
        <v>746.01</v>
      </c>
      <c r="I323" s="4">
        <v>0</v>
      </c>
      <c r="J323" s="4" t="s">
        <v>722</v>
      </c>
      <c r="K323" s="6" t="s">
        <v>723</v>
      </c>
      <c r="L323" s="6" t="s">
        <v>1051</v>
      </c>
      <c r="R323" t="s">
        <v>1052</v>
      </c>
    </row>
    <row r="324" spans="1:18" x14ac:dyDescent="0.2">
      <c r="A324" s="4" t="s">
        <v>1053</v>
      </c>
      <c r="B324" s="4" t="s">
        <v>1054</v>
      </c>
      <c r="C324" s="5" t="s">
        <v>19</v>
      </c>
      <c r="D324" s="5">
        <v>500</v>
      </c>
      <c r="E324" s="5">
        <f>D324</f>
        <v>500</v>
      </c>
      <c r="F324" s="5"/>
      <c r="G324" s="5"/>
      <c r="H324" s="5">
        <v>500</v>
      </c>
      <c r="I324" s="4">
        <v>0</v>
      </c>
      <c r="J324" s="4" t="s">
        <v>722</v>
      </c>
      <c r="K324" s="6" t="s">
        <v>723</v>
      </c>
      <c r="L324" s="6" t="s">
        <v>1055</v>
      </c>
      <c r="R324" t="s">
        <v>1056</v>
      </c>
    </row>
    <row r="325" spans="1:18" x14ac:dyDescent="0.2">
      <c r="A325" s="4" t="s">
        <v>1057</v>
      </c>
      <c r="B325" s="4" t="s">
        <v>1058</v>
      </c>
      <c r="C325" s="5" t="s">
        <v>34</v>
      </c>
      <c r="D325" s="5">
        <v>52.72</v>
      </c>
      <c r="E325" s="5"/>
      <c r="F325" s="5"/>
      <c r="G325" s="5"/>
      <c r="H325" s="5">
        <v>52.72</v>
      </c>
      <c r="I325" s="4">
        <v>0</v>
      </c>
      <c r="J325" s="4" t="s">
        <v>323</v>
      </c>
      <c r="K325" s="6" t="s">
        <v>324</v>
      </c>
      <c r="L325" s="6" t="s">
        <v>1059</v>
      </c>
      <c r="R325" t="s">
        <v>1060</v>
      </c>
    </row>
    <row r="326" spans="1:18" x14ac:dyDescent="0.2">
      <c r="A326" s="4" t="s">
        <v>1061</v>
      </c>
      <c r="B326" s="4" t="s">
        <v>1062</v>
      </c>
      <c r="C326" s="5" t="s">
        <v>19</v>
      </c>
      <c r="D326" s="5">
        <v>587</v>
      </c>
      <c r="E326" s="5"/>
      <c r="F326" s="5"/>
      <c r="G326" s="5"/>
      <c r="H326" s="5">
        <v>587</v>
      </c>
      <c r="I326" s="4">
        <v>0</v>
      </c>
      <c r="J326" s="4" t="s">
        <v>765</v>
      </c>
      <c r="K326" s="6" t="s">
        <v>42</v>
      </c>
      <c r="L326" s="6" t="s">
        <v>1063</v>
      </c>
      <c r="R326" t="s">
        <v>1064</v>
      </c>
    </row>
    <row r="327" spans="1:18" x14ac:dyDescent="0.2">
      <c r="A327" s="4" t="s">
        <v>1065</v>
      </c>
      <c r="B327" s="4" t="s">
        <v>1066</v>
      </c>
      <c r="C327" s="5" t="s">
        <v>19</v>
      </c>
      <c r="D327" s="5">
        <v>2000</v>
      </c>
      <c r="E327" s="5">
        <f>D327</f>
        <v>2000</v>
      </c>
      <c r="F327" s="5"/>
      <c r="G327" s="5"/>
      <c r="H327" s="5">
        <v>2000.18</v>
      </c>
      <c r="I327" s="4">
        <v>0</v>
      </c>
      <c r="J327" s="4" t="s">
        <v>722</v>
      </c>
      <c r="K327" s="6" t="s">
        <v>723</v>
      </c>
      <c r="L327" s="6" t="s">
        <v>1067</v>
      </c>
      <c r="R327" t="s">
        <v>1068</v>
      </c>
    </row>
    <row r="328" spans="1:18" x14ac:dyDescent="0.2">
      <c r="A328" s="4"/>
      <c r="B328" s="4"/>
      <c r="C328" s="5"/>
      <c r="D328" s="5"/>
      <c r="E328" s="5"/>
      <c r="F328" s="5"/>
      <c r="G328" s="5"/>
      <c r="H328" s="5"/>
      <c r="I328" s="4"/>
      <c r="J328" s="4"/>
      <c r="K328" s="6"/>
      <c r="L328" s="6"/>
    </row>
    <row r="329" spans="1:18" x14ac:dyDescent="0.2">
      <c r="A329" s="4" t="s">
        <v>1069</v>
      </c>
      <c r="B329" s="4" t="s">
        <v>1070</v>
      </c>
      <c r="C329" s="5" t="s">
        <v>19</v>
      </c>
      <c r="D329" s="5">
        <v>1108</v>
      </c>
      <c r="E329" s="5"/>
      <c r="F329" s="5">
        <f>$D329</f>
        <v>1108</v>
      </c>
      <c r="G329" s="5"/>
      <c r="H329" s="5">
        <v>1187.24</v>
      </c>
      <c r="I329" s="4">
        <v>0</v>
      </c>
      <c r="J329" s="4" t="s">
        <v>722</v>
      </c>
      <c r="K329" s="6" t="s">
        <v>723</v>
      </c>
      <c r="L329" s="6" t="s">
        <v>1071</v>
      </c>
      <c r="R329" t="s">
        <v>1072</v>
      </c>
    </row>
    <row r="330" spans="1:18" x14ac:dyDescent="0.2">
      <c r="A330" s="4" t="s">
        <v>1073</v>
      </c>
      <c r="B330" s="4" t="s">
        <v>1074</v>
      </c>
      <c r="C330" s="5" t="s">
        <v>127</v>
      </c>
      <c r="D330" s="5">
        <v>110</v>
      </c>
      <c r="E330" s="5"/>
      <c r="F330" s="5"/>
      <c r="G330" s="5"/>
      <c r="H330" s="5">
        <v>316.99</v>
      </c>
      <c r="I330" s="4">
        <v>0</v>
      </c>
      <c r="J330" s="4" t="s">
        <v>128</v>
      </c>
      <c r="K330" s="6" t="s">
        <v>129</v>
      </c>
      <c r="L330" s="6" t="s">
        <v>130</v>
      </c>
      <c r="R330" t="s">
        <v>1075</v>
      </c>
    </row>
    <row r="331" spans="1:18" x14ac:dyDescent="0.2">
      <c r="A331" s="4" t="s">
        <v>1076</v>
      </c>
      <c r="B331" s="4" t="s">
        <v>1074</v>
      </c>
      <c r="C331" s="5" t="s">
        <v>127</v>
      </c>
      <c r="D331" s="5">
        <v>130</v>
      </c>
      <c r="E331" s="5"/>
      <c r="F331" s="5"/>
      <c r="G331" s="5"/>
      <c r="H331" s="5">
        <v>206.99</v>
      </c>
      <c r="I331" s="4">
        <v>0</v>
      </c>
      <c r="J331" s="4" t="s">
        <v>128</v>
      </c>
      <c r="K331" s="6" t="s">
        <v>129</v>
      </c>
      <c r="L331" s="6" t="s">
        <v>130</v>
      </c>
      <c r="R331" t="s">
        <v>1077</v>
      </c>
    </row>
    <row r="332" spans="1:18" x14ac:dyDescent="0.2">
      <c r="A332" s="4" t="s">
        <v>1078</v>
      </c>
      <c r="B332" s="4" t="s">
        <v>1079</v>
      </c>
      <c r="C332" s="5" t="s">
        <v>34</v>
      </c>
      <c r="D332" s="5">
        <v>600</v>
      </c>
      <c r="E332" s="5">
        <f>D332</f>
        <v>600</v>
      </c>
      <c r="F332" s="5"/>
      <c r="G332" s="5"/>
      <c r="H332" s="5">
        <v>1696.98</v>
      </c>
      <c r="I332" s="4">
        <v>0</v>
      </c>
      <c r="J332" s="4" t="s">
        <v>35</v>
      </c>
      <c r="K332" s="6" t="s">
        <v>36</v>
      </c>
      <c r="L332" s="6" t="s">
        <v>1080</v>
      </c>
      <c r="R332" t="s">
        <v>1081</v>
      </c>
    </row>
    <row r="333" spans="1:18" x14ac:dyDescent="0.2">
      <c r="A333" s="4" t="s">
        <v>1082</v>
      </c>
      <c r="B333" s="4" t="s">
        <v>1074</v>
      </c>
      <c r="C333" s="5" t="s">
        <v>19</v>
      </c>
      <c r="D333" s="5">
        <v>900</v>
      </c>
      <c r="E333" s="5">
        <f>D333</f>
        <v>900</v>
      </c>
      <c r="F333" s="5"/>
      <c r="G333" s="5"/>
      <c r="H333" s="5">
        <v>1096.98</v>
      </c>
      <c r="I333" s="4">
        <v>0</v>
      </c>
      <c r="J333" s="4" t="s">
        <v>765</v>
      </c>
      <c r="K333" s="6" t="s">
        <v>42</v>
      </c>
      <c r="L333" s="6" t="s">
        <v>1083</v>
      </c>
      <c r="R333" t="s">
        <v>1084</v>
      </c>
    </row>
    <row r="334" spans="1:18" x14ac:dyDescent="0.2">
      <c r="A334" s="4" t="s">
        <v>1085</v>
      </c>
      <c r="B334" s="4" t="s">
        <v>1086</v>
      </c>
      <c r="C334" s="5" t="s">
        <v>19</v>
      </c>
      <c r="D334" s="5">
        <v>400</v>
      </c>
      <c r="E334" s="5"/>
      <c r="F334" s="5"/>
      <c r="G334" s="5"/>
      <c r="H334" s="5">
        <v>503.97</v>
      </c>
      <c r="I334" s="4">
        <v>0</v>
      </c>
      <c r="J334" s="4" t="s">
        <v>765</v>
      </c>
      <c r="K334" s="6" t="s">
        <v>42</v>
      </c>
      <c r="L334" s="6" t="s">
        <v>1087</v>
      </c>
      <c r="R334" t="s">
        <v>1088</v>
      </c>
    </row>
    <row r="335" spans="1:18" x14ac:dyDescent="0.2">
      <c r="A335" s="4" t="s">
        <v>1089</v>
      </c>
      <c r="B335" s="4" t="s">
        <v>1090</v>
      </c>
      <c r="C335" s="5" t="s">
        <v>34</v>
      </c>
      <c r="D335" s="5">
        <v>54</v>
      </c>
      <c r="E335" s="5"/>
      <c r="F335" s="5"/>
      <c r="G335" s="5"/>
      <c r="H335" s="5">
        <v>490.76</v>
      </c>
      <c r="I335" s="4">
        <v>0</v>
      </c>
      <c r="J335" s="4" t="s">
        <v>35</v>
      </c>
      <c r="K335" s="6" t="s">
        <v>36</v>
      </c>
      <c r="L335" s="6" t="s">
        <v>1091</v>
      </c>
      <c r="R335" t="s">
        <v>1092</v>
      </c>
    </row>
    <row r="336" spans="1:18" x14ac:dyDescent="0.2">
      <c r="A336" s="4" t="s">
        <v>1093</v>
      </c>
      <c r="B336" s="4" t="s">
        <v>1090</v>
      </c>
      <c r="C336" s="5" t="s">
        <v>34</v>
      </c>
      <c r="D336" s="5">
        <v>200</v>
      </c>
      <c r="E336" s="5"/>
      <c r="F336" s="5"/>
      <c r="G336" s="5"/>
      <c r="H336" s="5">
        <v>436.76</v>
      </c>
      <c r="I336" s="4">
        <v>0</v>
      </c>
      <c r="J336" s="4" t="s">
        <v>35</v>
      </c>
      <c r="K336" s="6" t="s">
        <v>36</v>
      </c>
      <c r="L336" s="6" t="s">
        <v>1094</v>
      </c>
      <c r="R336" t="s">
        <v>1095</v>
      </c>
    </row>
    <row r="337" spans="1:18" x14ac:dyDescent="0.2">
      <c r="A337" s="4" t="s">
        <v>1096</v>
      </c>
      <c r="B337" s="4" t="s">
        <v>1097</v>
      </c>
      <c r="C337" s="5" t="s">
        <v>19</v>
      </c>
      <c r="D337" s="5">
        <v>1000</v>
      </c>
      <c r="E337" s="5">
        <f>D337</f>
        <v>1000</v>
      </c>
      <c r="F337" s="5"/>
      <c r="G337" s="5"/>
      <c r="H337" s="5">
        <v>1253.46</v>
      </c>
      <c r="I337" s="4">
        <v>0</v>
      </c>
      <c r="J337" s="4" t="s">
        <v>765</v>
      </c>
      <c r="K337" s="6" t="s">
        <v>42</v>
      </c>
      <c r="L337" s="6" t="s">
        <v>1098</v>
      </c>
      <c r="R337" t="s">
        <v>1099</v>
      </c>
    </row>
    <row r="338" spans="1:18" x14ac:dyDescent="0.2">
      <c r="A338" s="4"/>
      <c r="B338" s="4"/>
      <c r="C338" s="5"/>
      <c r="D338" s="5"/>
      <c r="E338" s="5"/>
      <c r="F338" s="5"/>
      <c r="G338" s="5"/>
      <c r="H338" s="5"/>
      <c r="I338" s="4"/>
      <c r="J338" s="4"/>
      <c r="K338" s="6"/>
      <c r="L338" s="6"/>
    </row>
    <row r="339" spans="1:18" x14ac:dyDescent="0.2">
      <c r="A339" s="4" t="s">
        <v>1100</v>
      </c>
      <c r="B339" s="4" t="s">
        <v>1101</v>
      </c>
      <c r="C339" s="5" t="s">
        <v>92</v>
      </c>
      <c r="D339" s="5">
        <v>0.01</v>
      </c>
      <c r="E339" s="5"/>
      <c r="F339" s="5"/>
      <c r="G339" s="5"/>
      <c r="H339" s="5">
        <v>589.46</v>
      </c>
      <c r="I339" s="4">
        <v>0</v>
      </c>
      <c r="J339" s="4" t="s">
        <v>93</v>
      </c>
      <c r="K339" s="6" t="s">
        <v>92</v>
      </c>
      <c r="L339" s="6" t="s">
        <v>1102</v>
      </c>
      <c r="R339" t="s">
        <v>1103</v>
      </c>
    </row>
    <row r="340" spans="1:18" x14ac:dyDescent="0.2">
      <c r="A340" s="4" t="s">
        <v>1104</v>
      </c>
      <c r="B340" s="4" t="s">
        <v>1101</v>
      </c>
      <c r="C340" s="5" t="s">
        <v>92</v>
      </c>
      <c r="D340" s="5">
        <v>0.01</v>
      </c>
      <c r="E340" s="5"/>
      <c r="F340" s="5"/>
      <c r="G340" s="5"/>
      <c r="H340" s="5">
        <v>589.46</v>
      </c>
      <c r="I340" s="4">
        <v>0</v>
      </c>
      <c r="J340" s="4" t="s">
        <v>93</v>
      </c>
      <c r="K340" s="6" t="s">
        <v>92</v>
      </c>
      <c r="L340" s="6" t="s">
        <v>1102</v>
      </c>
      <c r="R340" t="s">
        <v>1105</v>
      </c>
    </row>
    <row r="341" spans="1:18" x14ac:dyDescent="0.2">
      <c r="A341" s="4" t="s">
        <v>1106</v>
      </c>
      <c r="B341" s="4" t="s">
        <v>1101</v>
      </c>
      <c r="C341" s="5" t="s">
        <v>127</v>
      </c>
      <c r="D341" s="5">
        <v>4000</v>
      </c>
      <c r="E341" s="5"/>
      <c r="F341" s="5"/>
      <c r="G341" s="5"/>
      <c r="H341" s="5">
        <v>5841.86</v>
      </c>
      <c r="I341" s="4">
        <v>0</v>
      </c>
      <c r="J341" s="4" t="s">
        <v>128</v>
      </c>
      <c r="K341" s="6" t="s">
        <v>129</v>
      </c>
      <c r="L341" s="6" t="s">
        <v>130</v>
      </c>
      <c r="R341" t="s">
        <v>1107</v>
      </c>
    </row>
    <row r="342" spans="1:18" x14ac:dyDescent="0.2">
      <c r="A342" s="4" t="s">
        <v>1108</v>
      </c>
      <c r="B342" s="4" t="s">
        <v>1109</v>
      </c>
      <c r="C342" s="5" t="s">
        <v>19</v>
      </c>
      <c r="D342" s="5">
        <v>1900</v>
      </c>
      <c r="E342" s="5"/>
      <c r="F342" s="5">
        <f>$D342</f>
        <v>1900</v>
      </c>
      <c r="G342" s="5"/>
      <c r="H342" s="5">
        <v>1941.86</v>
      </c>
      <c r="I342" s="4">
        <v>0</v>
      </c>
      <c r="J342" s="4" t="s">
        <v>722</v>
      </c>
      <c r="K342" s="6" t="s">
        <v>723</v>
      </c>
      <c r="L342" s="6" t="s">
        <v>1110</v>
      </c>
      <c r="R342" t="s">
        <v>1111</v>
      </c>
    </row>
    <row r="343" spans="1:18" x14ac:dyDescent="0.2">
      <c r="A343" s="4" t="s">
        <v>1112</v>
      </c>
      <c r="B343" s="4" t="s">
        <v>1113</v>
      </c>
      <c r="C343" s="5" t="s">
        <v>34</v>
      </c>
      <c r="D343" s="5">
        <v>1000.31</v>
      </c>
      <c r="E343" s="5"/>
      <c r="F343" s="5"/>
      <c r="G343" s="5"/>
      <c r="H343" s="5">
        <v>2301.11</v>
      </c>
      <c r="I343" s="4">
        <v>0</v>
      </c>
      <c r="J343" s="4" t="s">
        <v>323</v>
      </c>
      <c r="K343" s="6" t="s">
        <v>324</v>
      </c>
      <c r="L343" s="6" t="s">
        <v>1114</v>
      </c>
      <c r="R343" t="s">
        <v>1115</v>
      </c>
    </row>
    <row r="344" spans="1:18" x14ac:dyDescent="0.2">
      <c r="A344" s="4" t="s">
        <v>1116</v>
      </c>
      <c r="B344" s="4" t="s">
        <v>1113</v>
      </c>
      <c r="C344" s="5" t="s">
        <v>34</v>
      </c>
      <c r="D344" s="5">
        <v>414.57</v>
      </c>
      <c r="E344" s="5"/>
      <c r="F344" s="5"/>
      <c r="G344" s="5"/>
      <c r="H344" s="5">
        <v>2511.79</v>
      </c>
      <c r="I344" s="4">
        <v>0</v>
      </c>
      <c r="J344" s="4" t="s">
        <v>35</v>
      </c>
      <c r="K344" s="6" t="s">
        <v>36</v>
      </c>
      <c r="L344" s="6" t="s">
        <v>1117</v>
      </c>
      <c r="R344" t="s">
        <v>1118</v>
      </c>
    </row>
    <row r="345" spans="1:18" x14ac:dyDescent="0.2">
      <c r="A345" s="4" t="s">
        <v>1119</v>
      </c>
      <c r="B345" s="4" t="s">
        <v>1113</v>
      </c>
      <c r="C345" s="5" t="s">
        <v>34</v>
      </c>
      <c r="D345" s="5">
        <v>1000</v>
      </c>
      <c r="E345" s="5"/>
      <c r="F345" s="5"/>
      <c r="G345" s="5"/>
      <c r="H345" s="5">
        <v>2097.2199999999998</v>
      </c>
      <c r="I345" s="4">
        <v>0</v>
      </c>
      <c r="J345" s="4" t="s">
        <v>35</v>
      </c>
      <c r="K345" s="6" t="s">
        <v>36</v>
      </c>
      <c r="L345" s="6" t="s">
        <v>1120</v>
      </c>
      <c r="R345" t="s">
        <v>1121</v>
      </c>
    </row>
    <row r="346" spans="1:18" x14ac:dyDescent="0.2">
      <c r="A346" s="4" t="s">
        <v>1122</v>
      </c>
      <c r="B346" s="4" t="s">
        <v>1113</v>
      </c>
      <c r="C346" s="5" t="s">
        <v>34</v>
      </c>
      <c r="D346" s="5">
        <v>1000</v>
      </c>
      <c r="E346" s="5"/>
      <c r="F346" s="5"/>
      <c r="G346" s="5"/>
      <c r="H346" s="5">
        <v>1097.22</v>
      </c>
      <c r="I346" s="4">
        <v>0</v>
      </c>
      <c r="J346" s="4" t="s">
        <v>35</v>
      </c>
      <c r="K346" s="6" t="s">
        <v>36</v>
      </c>
      <c r="L346" s="6" t="s">
        <v>1123</v>
      </c>
      <c r="R346" t="s">
        <v>1124</v>
      </c>
    </row>
    <row r="347" spans="1:18" x14ac:dyDescent="0.2">
      <c r="A347" s="4" t="s">
        <v>1125</v>
      </c>
      <c r="B347" s="4" t="s">
        <v>1126</v>
      </c>
      <c r="C347" s="5" t="s">
        <v>19</v>
      </c>
      <c r="D347" s="5">
        <v>200</v>
      </c>
      <c r="E347" s="5">
        <f>D347</f>
        <v>200</v>
      </c>
      <c r="F347" s="5"/>
      <c r="G347" s="5"/>
      <c r="H347" s="5">
        <v>425.68</v>
      </c>
      <c r="I347" s="4">
        <v>0</v>
      </c>
      <c r="J347" s="4" t="s">
        <v>722</v>
      </c>
      <c r="K347" s="6" t="s">
        <v>723</v>
      </c>
      <c r="L347" s="6" t="s">
        <v>1127</v>
      </c>
      <c r="R347" t="s">
        <v>1128</v>
      </c>
    </row>
    <row r="348" spans="1:18" x14ac:dyDescent="0.2">
      <c r="A348" s="4" t="s">
        <v>1129</v>
      </c>
      <c r="B348" s="4" t="s">
        <v>1130</v>
      </c>
      <c r="C348" s="5" t="s">
        <v>19</v>
      </c>
      <c r="D348" s="5">
        <v>70</v>
      </c>
      <c r="E348" s="5"/>
      <c r="F348" s="5"/>
      <c r="G348" s="5"/>
      <c r="H348" s="5">
        <v>482.15</v>
      </c>
      <c r="I348" s="4">
        <v>0</v>
      </c>
      <c r="J348" s="4" t="s">
        <v>765</v>
      </c>
      <c r="K348" s="6" t="s">
        <v>42</v>
      </c>
      <c r="L348" s="6" t="s">
        <v>1131</v>
      </c>
      <c r="R348" t="s">
        <v>1132</v>
      </c>
    </row>
    <row r="349" spans="1:18" x14ac:dyDescent="0.2">
      <c r="A349" s="4" t="s">
        <v>1133</v>
      </c>
      <c r="B349" s="4" t="s">
        <v>1130</v>
      </c>
      <c r="C349" s="5" t="s">
        <v>19</v>
      </c>
      <c r="D349" s="5">
        <v>150</v>
      </c>
      <c r="E349" s="5"/>
      <c r="F349" s="5"/>
      <c r="G349" s="5"/>
      <c r="H349" s="5">
        <v>562.15</v>
      </c>
      <c r="I349" s="4">
        <v>0</v>
      </c>
      <c r="J349" s="4" t="s">
        <v>765</v>
      </c>
      <c r="K349" s="6" t="s">
        <v>42</v>
      </c>
      <c r="L349" s="6" t="s">
        <v>1134</v>
      </c>
      <c r="R349" t="s">
        <v>1135</v>
      </c>
    </row>
    <row r="350" spans="1:18" x14ac:dyDescent="0.2">
      <c r="A350" s="4" t="s">
        <v>1136</v>
      </c>
      <c r="B350" s="4" t="s">
        <v>1137</v>
      </c>
      <c r="C350" s="5" t="s">
        <v>19</v>
      </c>
      <c r="D350" s="5">
        <v>211</v>
      </c>
      <c r="E350" s="5"/>
      <c r="F350" s="5"/>
      <c r="G350" s="5"/>
      <c r="H350" s="5">
        <v>900.92</v>
      </c>
      <c r="I350" s="4">
        <v>0</v>
      </c>
      <c r="J350" s="4" t="s">
        <v>765</v>
      </c>
      <c r="K350" s="6" t="s">
        <v>42</v>
      </c>
      <c r="L350" s="6" t="s">
        <v>1138</v>
      </c>
      <c r="R350" t="s">
        <v>1139</v>
      </c>
    </row>
    <row r="351" spans="1:18" x14ac:dyDescent="0.2">
      <c r="A351" s="4"/>
      <c r="B351" s="4"/>
      <c r="C351" s="5"/>
      <c r="D351" s="5"/>
      <c r="E351" s="5"/>
      <c r="F351" s="5"/>
      <c r="G351" s="5"/>
      <c r="H351" s="5"/>
      <c r="I351" s="4"/>
      <c r="J351" s="4"/>
      <c r="K351" s="6"/>
      <c r="L351" s="6"/>
    </row>
    <row r="352" spans="1:18" x14ac:dyDescent="0.2">
      <c r="A352" s="4" t="s">
        <v>1140</v>
      </c>
      <c r="B352" s="4" t="s">
        <v>1141</v>
      </c>
      <c r="C352" s="5" t="s">
        <v>19</v>
      </c>
      <c r="D352" s="5">
        <v>250</v>
      </c>
      <c r="E352" s="5"/>
      <c r="F352" s="5"/>
      <c r="G352" s="5"/>
      <c r="H352" s="5">
        <v>1474.69</v>
      </c>
      <c r="I352" s="4">
        <v>0</v>
      </c>
      <c r="J352" s="4" t="s">
        <v>765</v>
      </c>
      <c r="K352" s="6" t="s">
        <v>42</v>
      </c>
      <c r="L352" s="6" t="s">
        <v>1142</v>
      </c>
      <c r="R352" t="s">
        <v>1143</v>
      </c>
    </row>
    <row r="353" spans="1:18" x14ac:dyDescent="0.2">
      <c r="A353" s="4" t="s">
        <v>1144</v>
      </c>
      <c r="B353" s="4" t="s">
        <v>1145</v>
      </c>
      <c r="C353" s="5" t="s">
        <v>34</v>
      </c>
      <c r="D353" s="5">
        <v>50</v>
      </c>
      <c r="E353" s="5"/>
      <c r="F353" s="5"/>
      <c r="G353" s="5"/>
      <c r="H353" s="5">
        <v>3304.63</v>
      </c>
      <c r="I353" s="4">
        <v>0</v>
      </c>
      <c r="J353" s="4" t="s">
        <v>323</v>
      </c>
      <c r="K353" s="6" t="s">
        <v>324</v>
      </c>
      <c r="L353" s="6" t="s">
        <v>1146</v>
      </c>
      <c r="R353" t="s">
        <v>1147</v>
      </c>
    </row>
    <row r="354" spans="1:18" x14ac:dyDescent="0.2">
      <c r="A354" s="4" t="s">
        <v>1148</v>
      </c>
      <c r="B354" s="4" t="s">
        <v>1149</v>
      </c>
      <c r="C354" s="5" t="s">
        <v>19</v>
      </c>
      <c r="D354" s="5">
        <v>3006</v>
      </c>
      <c r="E354" s="5"/>
      <c r="F354" s="5">
        <f>$D354</f>
        <v>3006</v>
      </c>
      <c r="G354" s="5"/>
      <c r="H354" s="5">
        <v>3354.63</v>
      </c>
      <c r="I354" s="4">
        <v>0</v>
      </c>
      <c r="J354" s="4" t="s">
        <v>722</v>
      </c>
      <c r="K354" s="6" t="s">
        <v>723</v>
      </c>
      <c r="L354" s="6" t="s">
        <v>1150</v>
      </c>
      <c r="R354" t="s">
        <v>1151</v>
      </c>
    </row>
    <row r="355" spans="1:18" x14ac:dyDescent="0.2">
      <c r="A355" s="4" t="s">
        <v>1152</v>
      </c>
      <c r="B355" s="4" t="s">
        <v>1149</v>
      </c>
      <c r="C355" s="5" t="s">
        <v>19</v>
      </c>
      <c r="D355" s="5">
        <v>300</v>
      </c>
      <c r="E355" s="5">
        <f>D355</f>
        <v>300</v>
      </c>
      <c r="F355" s="5"/>
      <c r="G355" s="5"/>
      <c r="H355" s="5">
        <v>348.63</v>
      </c>
      <c r="I355" s="4">
        <v>0</v>
      </c>
      <c r="J355" s="4" t="s">
        <v>722</v>
      </c>
      <c r="K355" s="6" t="s">
        <v>723</v>
      </c>
      <c r="L355" s="6" t="s">
        <v>1153</v>
      </c>
      <c r="R355" t="s">
        <v>1154</v>
      </c>
    </row>
    <row r="356" spans="1:18" x14ac:dyDescent="0.2">
      <c r="A356" s="4" t="s">
        <v>1155</v>
      </c>
      <c r="B356" s="4" t="s">
        <v>1156</v>
      </c>
      <c r="C356" s="5" t="s">
        <v>19</v>
      </c>
      <c r="D356" s="5">
        <v>200</v>
      </c>
      <c r="E356" s="5">
        <f>D356</f>
        <v>200</v>
      </c>
      <c r="F356" s="5"/>
      <c r="G356" s="5"/>
      <c r="H356" s="5">
        <v>307.60000000000002</v>
      </c>
      <c r="I356" s="4">
        <v>0</v>
      </c>
      <c r="J356" s="4" t="s">
        <v>765</v>
      </c>
      <c r="K356" s="6" t="s">
        <v>42</v>
      </c>
      <c r="L356" s="6" t="s">
        <v>1157</v>
      </c>
      <c r="R356" t="s">
        <v>1158</v>
      </c>
    </row>
    <row r="357" spans="1:18" x14ac:dyDescent="0.2">
      <c r="A357" s="4" t="s">
        <v>1159</v>
      </c>
      <c r="B357" s="4" t="s">
        <v>1160</v>
      </c>
      <c r="C357" s="5" t="s">
        <v>34</v>
      </c>
      <c r="D357" s="5">
        <v>300</v>
      </c>
      <c r="E357" s="5"/>
      <c r="F357" s="5"/>
      <c r="G357" s="5"/>
      <c r="H357" s="5">
        <v>520</v>
      </c>
      <c r="I357" s="4">
        <v>0</v>
      </c>
      <c r="J357" s="4" t="s">
        <v>323</v>
      </c>
      <c r="K357" s="6" t="s">
        <v>324</v>
      </c>
      <c r="L357" s="6" t="s">
        <v>1161</v>
      </c>
      <c r="R357" t="s">
        <v>1162</v>
      </c>
    </row>
    <row r="358" spans="1:18" x14ac:dyDescent="0.2">
      <c r="A358" s="4" t="s">
        <v>1163</v>
      </c>
      <c r="B358" s="4" t="s">
        <v>1160</v>
      </c>
      <c r="C358" s="5" t="s">
        <v>19</v>
      </c>
      <c r="D358" s="5">
        <v>250</v>
      </c>
      <c r="E358" s="5">
        <f>D358</f>
        <v>250</v>
      </c>
      <c r="F358" s="5"/>
      <c r="G358" s="5"/>
      <c r="H358" s="5">
        <v>250</v>
      </c>
      <c r="I358" s="4">
        <v>0</v>
      </c>
      <c r="J358" s="4" t="s">
        <v>722</v>
      </c>
      <c r="K358" s="6" t="s">
        <v>723</v>
      </c>
      <c r="L358" s="6" t="s">
        <v>1164</v>
      </c>
      <c r="R358" t="s">
        <v>1165</v>
      </c>
    </row>
    <row r="359" spans="1:18" x14ac:dyDescent="0.2">
      <c r="A359" s="4" t="s">
        <v>1166</v>
      </c>
      <c r="B359" s="4" t="s">
        <v>1167</v>
      </c>
      <c r="C359" s="5" t="s">
        <v>34</v>
      </c>
      <c r="D359" s="5">
        <v>100</v>
      </c>
      <c r="E359" s="5"/>
      <c r="F359" s="5"/>
      <c r="G359" s="5"/>
      <c r="H359" s="5">
        <v>109.83</v>
      </c>
      <c r="I359" s="4">
        <v>0</v>
      </c>
      <c r="J359" s="4" t="s">
        <v>35</v>
      </c>
      <c r="K359" s="6" t="s">
        <v>36</v>
      </c>
      <c r="L359" s="6" t="s">
        <v>1168</v>
      </c>
      <c r="R359" t="s">
        <v>1169</v>
      </c>
    </row>
    <row r="360" spans="1:18" x14ac:dyDescent="0.2">
      <c r="A360" s="4" t="s">
        <v>1170</v>
      </c>
      <c r="B360" s="4" t="s">
        <v>1171</v>
      </c>
      <c r="C360" s="5" t="s">
        <v>19</v>
      </c>
      <c r="D360" s="5">
        <v>190</v>
      </c>
      <c r="E360" s="5"/>
      <c r="F360" s="5"/>
      <c r="G360" s="5"/>
      <c r="H360" s="5">
        <v>190.33</v>
      </c>
      <c r="I360" s="4">
        <v>0</v>
      </c>
      <c r="J360" s="4" t="s">
        <v>765</v>
      </c>
      <c r="K360" s="6" t="s">
        <v>42</v>
      </c>
      <c r="L360" s="6" t="s">
        <v>1172</v>
      </c>
      <c r="R360" t="s">
        <v>1173</v>
      </c>
    </row>
    <row r="361" spans="1:18" x14ac:dyDescent="0.2">
      <c r="A361" s="4"/>
      <c r="B361" s="4"/>
      <c r="C361" s="5"/>
      <c r="D361" s="5"/>
      <c r="E361" s="5"/>
      <c r="F361" s="5"/>
      <c r="G361" s="5"/>
      <c r="H361" s="5"/>
      <c r="I361" s="4"/>
      <c r="J361" s="4"/>
      <c r="K361" s="6"/>
      <c r="L361" s="6"/>
    </row>
    <row r="362" spans="1:18" x14ac:dyDescent="0.2">
      <c r="A362" s="4" t="s">
        <v>1174</v>
      </c>
      <c r="B362" s="4" t="s">
        <v>1175</v>
      </c>
      <c r="C362" s="5" t="s">
        <v>19</v>
      </c>
      <c r="D362" s="5">
        <v>310</v>
      </c>
      <c r="E362" s="5"/>
      <c r="F362" s="5"/>
      <c r="G362" s="5"/>
      <c r="H362" s="5">
        <v>1512.54</v>
      </c>
      <c r="I362" s="4">
        <v>0</v>
      </c>
      <c r="J362" s="4" t="s">
        <v>765</v>
      </c>
      <c r="K362" s="6" t="s">
        <v>42</v>
      </c>
      <c r="L362" s="6" t="s">
        <v>1176</v>
      </c>
      <c r="R362" t="s">
        <v>1177</v>
      </c>
    </row>
    <row r="363" spans="1:18" x14ac:dyDescent="0.2">
      <c r="A363" s="4" t="s">
        <v>1178</v>
      </c>
      <c r="B363" s="4" t="s">
        <v>1175</v>
      </c>
      <c r="C363" s="5" t="s">
        <v>19</v>
      </c>
      <c r="D363" s="5">
        <v>1005</v>
      </c>
      <c r="E363" s="5"/>
      <c r="F363" s="5">
        <f>$D363</f>
        <v>1005</v>
      </c>
      <c r="G363" s="5"/>
      <c r="H363" s="5">
        <v>1202.54</v>
      </c>
      <c r="I363" s="4">
        <v>0</v>
      </c>
      <c r="J363" s="4" t="s">
        <v>722</v>
      </c>
      <c r="K363" s="6" t="s">
        <v>723</v>
      </c>
      <c r="L363" s="6" t="s">
        <v>1179</v>
      </c>
      <c r="R363" t="s">
        <v>1180</v>
      </c>
    </row>
    <row r="364" spans="1:18" x14ac:dyDescent="0.2">
      <c r="A364" s="4" t="s">
        <v>1181</v>
      </c>
      <c r="B364" s="4" t="s">
        <v>1175</v>
      </c>
      <c r="C364" s="5" t="s">
        <v>19</v>
      </c>
      <c r="D364" s="5">
        <v>200</v>
      </c>
      <c r="E364" s="5">
        <f>D364</f>
        <v>200</v>
      </c>
      <c r="F364" s="5"/>
      <c r="G364" s="5"/>
      <c r="H364" s="5">
        <v>247.54</v>
      </c>
      <c r="I364" s="4">
        <v>0</v>
      </c>
      <c r="J364" s="4" t="s">
        <v>722</v>
      </c>
      <c r="K364" s="6" t="s">
        <v>723</v>
      </c>
      <c r="L364" s="6" t="s">
        <v>1182</v>
      </c>
      <c r="R364" t="s">
        <v>1183</v>
      </c>
    </row>
    <row r="365" spans="1:18" x14ac:dyDescent="0.2">
      <c r="A365" s="4" t="s">
        <v>1184</v>
      </c>
      <c r="B365" s="4" t="s">
        <v>1185</v>
      </c>
      <c r="C365" s="5" t="s">
        <v>34</v>
      </c>
      <c r="D365" s="5">
        <v>115</v>
      </c>
      <c r="E365" s="5"/>
      <c r="F365" s="5"/>
      <c r="G365" s="5"/>
      <c r="H365" s="5">
        <v>192.54</v>
      </c>
      <c r="I365" s="4">
        <v>0</v>
      </c>
      <c r="J365" s="4" t="s">
        <v>35</v>
      </c>
      <c r="K365" s="6" t="s">
        <v>36</v>
      </c>
      <c r="L365" s="6" t="s">
        <v>1186</v>
      </c>
      <c r="R365" t="s">
        <v>1187</v>
      </c>
    </row>
    <row r="366" spans="1:18" x14ac:dyDescent="0.2">
      <c r="A366" s="4" t="s">
        <v>1188</v>
      </c>
      <c r="B366" s="4" t="s">
        <v>1189</v>
      </c>
      <c r="C366" s="5" t="s">
        <v>34</v>
      </c>
      <c r="D366" s="5">
        <v>100</v>
      </c>
      <c r="E366" s="5"/>
      <c r="F366" s="5"/>
      <c r="G366" s="5"/>
      <c r="H366" s="5">
        <v>113.54</v>
      </c>
      <c r="I366" s="4">
        <v>0</v>
      </c>
      <c r="J366" s="4" t="s">
        <v>35</v>
      </c>
      <c r="K366" s="6" t="s">
        <v>36</v>
      </c>
      <c r="L366" s="6" t="s">
        <v>1190</v>
      </c>
      <c r="R366" t="s">
        <v>1191</v>
      </c>
    </row>
    <row r="367" spans="1:18" x14ac:dyDescent="0.2">
      <c r="A367" s="4" t="s">
        <v>1192</v>
      </c>
      <c r="B367" s="4" t="s">
        <v>1189</v>
      </c>
      <c r="C367" s="5" t="s">
        <v>34</v>
      </c>
      <c r="D367" s="5">
        <v>50</v>
      </c>
      <c r="E367" s="5"/>
      <c r="F367" s="5"/>
      <c r="G367" s="5"/>
      <c r="H367" s="5">
        <v>54.5</v>
      </c>
      <c r="I367" s="4">
        <v>0</v>
      </c>
      <c r="J367" s="4" t="s">
        <v>35</v>
      </c>
      <c r="K367" s="6" t="s">
        <v>36</v>
      </c>
      <c r="L367" s="6" t="s">
        <v>1193</v>
      </c>
      <c r="R367" t="s">
        <v>1194</v>
      </c>
    </row>
    <row r="368" spans="1:18" x14ac:dyDescent="0.2">
      <c r="A368" s="4" t="s">
        <v>1195</v>
      </c>
      <c r="B368" s="4" t="s">
        <v>1196</v>
      </c>
      <c r="C368" s="5" t="s">
        <v>19</v>
      </c>
      <c r="D368" s="5">
        <v>250</v>
      </c>
      <c r="E368" s="5">
        <f>D368</f>
        <v>250</v>
      </c>
      <c r="F368" s="5"/>
      <c r="G368" s="5"/>
      <c r="H368" s="5">
        <v>250</v>
      </c>
      <c r="I368" s="4">
        <v>0</v>
      </c>
      <c r="J368" s="4" t="s">
        <v>722</v>
      </c>
      <c r="K368" s="6" t="s">
        <v>723</v>
      </c>
      <c r="L368" s="6" t="s">
        <v>1197</v>
      </c>
      <c r="R368" t="s">
        <v>1198</v>
      </c>
    </row>
    <row r="369" spans="1:18" x14ac:dyDescent="0.2">
      <c r="A369" s="4" t="s">
        <v>1199</v>
      </c>
      <c r="B369" s="4" t="s">
        <v>1200</v>
      </c>
      <c r="C369" s="5" t="s">
        <v>19</v>
      </c>
      <c r="D369" s="5">
        <v>300</v>
      </c>
      <c r="E369" s="5">
        <f>D369</f>
        <v>300</v>
      </c>
      <c r="F369" s="5"/>
      <c r="G369" s="5"/>
      <c r="H369" s="5">
        <v>570.62</v>
      </c>
      <c r="I369" s="4">
        <v>0</v>
      </c>
      <c r="J369" s="4" t="s">
        <v>722</v>
      </c>
      <c r="K369" s="6" t="s">
        <v>723</v>
      </c>
      <c r="L369" s="6" t="s">
        <v>1201</v>
      </c>
      <c r="R369" t="s">
        <v>1202</v>
      </c>
    </row>
    <row r="370" spans="1:18" x14ac:dyDescent="0.2">
      <c r="A370" s="4" t="s">
        <v>1203</v>
      </c>
      <c r="B370" s="4" t="s">
        <v>1200</v>
      </c>
      <c r="C370" s="5" t="s">
        <v>19</v>
      </c>
      <c r="D370" s="5">
        <v>250</v>
      </c>
      <c r="E370" s="5"/>
      <c r="F370" s="5">
        <f>$D370</f>
        <v>250</v>
      </c>
      <c r="G370" s="5"/>
      <c r="H370" s="5">
        <v>270.62</v>
      </c>
      <c r="I370" s="4">
        <v>0</v>
      </c>
      <c r="J370" s="4" t="s">
        <v>722</v>
      </c>
      <c r="K370" s="6" t="s">
        <v>723</v>
      </c>
      <c r="L370" s="6" t="s">
        <v>1204</v>
      </c>
      <c r="R370" t="s">
        <v>1205</v>
      </c>
    </row>
    <row r="371" spans="1:18" x14ac:dyDescent="0.2">
      <c r="A371" s="4" t="s">
        <v>1206</v>
      </c>
      <c r="B371" s="4" t="s">
        <v>1207</v>
      </c>
      <c r="C371" s="5" t="s">
        <v>34</v>
      </c>
      <c r="D371" s="5">
        <v>300</v>
      </c>
      <c r="E371" s="5">
        <f>D371</f>
        <v>300</v>
      </c>
      <c r="F371" s="5"/>
      <c r="G371" s="5"/>
      <c r="H371" s="5">
        <v>401.12</v>
      </c>
      <c r="I371" s="4">
        <v>0</v>
      </c>
      <c r="J371" s="4" t="s">
        <v>323</v>
      </c>
      <c r="K371" s="6" t="s">
        <v>324</v>
      </c>
      <c r="L371" s="6" t="s">
        <v>1208</v>
      </c>
      <c r="R371" t="s">
        <v>1209</v>
      </c>
    </row>
    <row r="372" spans="1:18" x14ac:dyDescent="0.2">
      <c r="A372" s="4" t="s">
        <v>1210</v>
      </c>
      <c r="B372" s="4" t="s">
        <v>1211</v>
      </c>
      <c r="C372" s="5" t="s">
        <v>19</v>
      </c>
      <c r="D372" s="5">
        <v>100</v>
      </c>
      <c r="E372" s="5">
        <f>D372</f>
        <v>100</v>
      </c>
      <c r="F372" s="5"/>
      <c r="G372" s="5"/>
      <c r="H372" s="5">
        <v>101.12</v>
      </c>
      <c r="I372" s="4">
        <v>0</v>
      </c>
      <c r="J372" s="4" t="s">
        <v>722</v>
      </c>
      <c r="K372" s="6" t="s">
        <v>723</v>
      </c>
      <c r="L372" s="6" t="s">
        <v>1212</v>
      </c>
      <c r="R372" t="s">
        <v>1213</v>
      </c>
    </row>
    <row r="373" spans="1:18" x14ac:dyDescent="0.2">
      <c r="A373" s="4" t="s">
        <v>1214</v>
      </c>
      <c r="B373" s="4" t="s">
        <v>1215</v>
      </c>
      <c r="C373" s="5" t="s">
        <v>19</v>
      </c>
      <c r="D373" s="5">
        <v>150</v>
      </c>
      <c r="E373" s="5"/>
      <c r="F373" s="5"/>
      <c r="G373" s="5"/>
      <c r="H373" s="5">
        <v>183.62</v>
      </c>
      <c r="I373" s="4">
        <v>0</v>
      </c>
      <c r="J373" s="4" t="s">
        <v>765</v>
      </c>
      <c r="K373" s="6" t="s">
        <v>42</v>
      </c>
      <c r="L373" s="6" t="s">
        <v>1216</v>
      </c>
      <c r="R373" t="s">
        <v>1217</v>
      </c>
    </row>
    <row r="374" spans="1:18" x14ac:dyDescent="0.2">
      <c r="A374" s="4"/>
      <c r="B374" s="4"/>
      <c r="C374" s="5"/>
      <c r="D374" s="5"/>
      <c r="E374" s="5"/>
      <c r="F374" s="5"/>
      <c r="G374" s="5"/>
      <c r="H374" s="5"/>
      <c r="I374" s="4"/>
      <c r="J374" s="4"/>
      <c r="K374" s="6"/>
      <c r="L374" s="6"/>
    </row>
    <row r="375" spans="1:18" x14ac:dyDescent="0.2">
      <c r="A375" s="4" t="s">
        <v>1218</v>
      </c>
      <c r="B375" s="4" t="s">
        <v>1219</v>
      </c>
      <c r="C375" s="5" t="s">
        <v>19</v>
      </c>
      <c r="D375" s="5">
        <v>18</v>
      </c>
      <c r="E375" s="5"/>
      <c r="F375" s="5"/>
      <c r="G375" s="5"/>
      <c r="H375" s="5">
        <v>7008.57</v>
      </c>
      <c r="I375" s="4">
        <v>0</v>
      </c>
      <c r="J375" s="4" t="s">
        <v>765</v>
      </c>
      <c r="K375" s="6" t="s">
        <v>42</v>
      </c>
      <c r="L375" s="6" t="s">
        <v>1220</v>
      </c>
      <c r="R375" t="s">
        <v>1221</v>
      </c>
    </row>
    <row r="376" spans="1:18" x14ac:dyDescent="0.2">
      <c r="A376" s="4" t="s">
        <v>1222</v>
      </c>
      <c r="B376" s="4" t="s">
        <v>1219</v>
      </c>
      <c r="C376" s="5" t="s">
        <v>127</v>
      </c>
      <c r="D376" s="5">
        <v>5997</v>
      </c>
      <c r="E376" s="5"/>
      <c r="F376" s="5"/>
      <c r="G376" s="5">
        <f>$D376</f>
        <v>5997</v>
      </c>
      <c r="H376" s="5">
        <v>6990.57</v>
      </c>
      <c r="I376" s="4">
        <v>0</v>
      </c>
      <c r="J376" s="4" t="s">
        <v>1223</v>
      </c>
      <c r="K376" s="6" t="s">
        <v>1224</v>
      </c>
      <c r="L376" s="8" t="s">
        <v>1225</v>
      </c>
      <c r="R376" t="s">
        <v>1226</v>
      </c>
    </row>
    <row r="377" spans="1:18" x14ac:dyDescent="0.2">
      <c r="A377" s="4" t="s">
        <v>1227</v>
      </c>
      <c r="B377" s="4" t="s">
        <v>1228</v>
      </c>
      <c r="C377" s="5" t="s">
        <v>19</v>
      </c>
      <c r="D377" s="5">
        <v>2500</v>
      </c>
      <c r="E377" s="5">
        <f>D377</f>
        <v>2500</v>
      </c>
      <c r="F377" s="5"/>
      <c r="G377" s="5"/>
      <c r="H377" s="5">
        <v>2550.2399999999998</v>
      </c>
      <c r="I377" s="4">
        <v>0</v>
      </c>
      <c r="J377" s="4" t="s">
        <v>722</v>
      </c>
      <c r="K377" s="6" t="s">
        <v>723</v>
      </c>
      <c r="L377" s="6" t="s">
        <v>1229</v>
      </c>
      <c r="R377" t="s">
        <v>1230</v>
      </c>
    </row>
    <row r="378" spans="1:18" x14ac:dyDescent="0.2">
      <c r="A378" s="4" t="s">
        <v>1231</v>
      </c>
      <c r="B378" s="4" t="s">
        <v>1232</v>
      </c>
      <c r="C378" s="5" t="s">
        <v>19</v>
      </c>
      <c r="D378" s="5">
        <v>500</v>
      </c>
      <c r="E378" s="5">
        <f>D378</f>
        <v>500</v>
      </c>
      <c r="F378" s="5"/>
      <c r="G378" s="5"/>
      <c r="H378" s="5">
        <v>504.72</v>
      </c>
      <c r="I378" s="4">
        <v>0</v>
      </c>
      <c r="J378" s="4" t="s">
        <v>765</v>
      </c>
      <c r="K378" s="6" t="s">
        <v>42</v>
      </c>
      <c r="L378" s="6" t="s">
        <v>1233</v>
      </c>
      <c r="R378" t="s">
        <v>1234</v>
      </c>
    </row>
    <row r="379" spans="1:18" x14ac:dyDescent="0.2">
      <c r="A379" s="4"/>
      <c r="B379" s="4"/>
      <c r="C379" s="5"/>
      <c r="D379" s="5"/>
      <c r="E379" s="5"/>
      <c r="F379" s="5"/>
      <c r="G379" s="5"/>
      <c r="H379" s="5"/>
      <c r="I379" s="4"/>
      <c r="J379" s="4"/>
      <c r="K379" s="6"/>
      <c r="L379" s="6"/>
    </row>
    <row r="380" spans="1:18" x14ac:dyDescent="0.2">
      <c r="A380" s="4" t="s">
        <v>1235</v>
      </c>
      <c r="B380" s="4" t="s">
        <v>1236</v>
      </c>
      <c r="C380" s="5" t="s">
        <v>19</v>
      </c>
      <c r="D380" s="5">
        <v>1003</v>
      </c>
      <c r="E380" s="5"/>
      <c r="F380" s="5">
        <f>$D380</f>
        <v>1003</v>
      </c>
      <c r="G380" s="5"/>
      <c r="H380" s="5">
        <v>1113.31</v>
      </c>
      <c r="I380" s="4">
        <v>0</v>
      </c>
      <c r="J380" s="4" t="s">
        <v>722</v>
      </c>
      <c r="K380" s="6" t="s">
        <v>723</v>
      </c>
      <c r="L380" s="6" t="s">
        <v>1237</v>
      </c>
      <c r="R380" t="s">
        <v>1238</v>
      </c>
    </row>
    <row r="381" spans="1:18" x14ac:dyDescent="0.2">
      <c r="A381" s="4" t="s">
        <v>1239</v>
      </c>
      <c r="B381" s="4" t="s">
        <v>1240</v>
      </c>
      <c r="C381" s="5" t="s">
        <v>19</v>
      </c>
      <c r="D381" s="5">
        <v>500</v>
      </c>
      <c r="E381" s="5">
        <f>D381</f>
        <v>500</v>
      </c>
      <c r="F381" s="5"/>
      <c r="G381" s="5"/>
      <c r="H381" s="5">
        <v>1529.31</v>
      </c>
      <c r="I381" s="4">
        <v>0</v>
      </c>
      <c r="J381" s="4" t="s">
        <v>722</v>
      </c>
      <c r="K381" s="6" t="s">
        <v>723</v>
      </c>
      <c r="L381" s="6" t="s">
        <v>1241</v>
      </c>
      <c r="R381" t="s">
        <v>1242</v>
      </c>
    </row>
    <row r="382" spans="1:18" x14ac:dyDescent="0.2">
      <c r="A382" s="4" t="s">
        <v>1243</v>
      </c>
      <c r="B382" s="4" t="s">
        <v>1244</v>
      </c>
      <c r="C382" s="5" t="s">
        <v>19</v>
      </c>
      <c r="D382" s="5">
        <v>568</v>
      </c>
      <c r="E382" s="5"/>
      <c r="F382" s="5"/>
      <c r="G382" s="5"/>
      <c r="H382" s="5">
        <v>1887.31</v>
      </c>
      <c r="I382" s="4">
        <v>0</v>
      </c>
      <c r="J382" s="4" t="s">
        <v>765</v>
      </c>
      <c r="K382" s="6" t="s">
        <v>42</v>
      </c>
      <c r="L382" s="6" t="s">
        <v>1245</v>
      </c>
      <c r="R382" t="s">
        <v>1246</v>
      </c>
    </row>
    <row r="383" spans="1:18" x14ac:dyDescent="0.2">
      <c r="A383" s="4" t="s">
        <v>1247</v>
      </c>
      <c r="B383" s="4" t="s">
        <v>1248</v>
      </c>
      <c r="C383" s="5" t="s">
        <v>19</v>
      </c>
      <c r="D383" s="5">
        <v>1002</v>
      </c>
      <c r="E383" s="5"/>
      <c r="F383" s="5">
        <f>$D383</f>
        <v>1002</v>
      </c>
      <c r="G383" s="5"/>
      <c r="H383" s="5">
        <v>1504.3</v>
      </c>
      <c r="I383" s="4">
        <v>0</v>
      </c>
      <c r="J383" s="4" t="s">
        <v>722</v>
      </c>
      <c r="K383" s="6" t="s">
        <v>723</v>
      </c>
      <c r="L383" s="6" t="s">
        <v>1249</v>
      </c>
      <c r="R383" t="s">
        <v>1250</v>
      </c>
    </row>
    <row r="384" spans="1:18" x14ac:dyDescent="0.2">
      <c r="A384" s="4" t="s">
        <v>1251</v>
      </c>
      <c r="B384" s="4" t="s">
        <v>1248</v>
      </c>
      <c r="C384" s="5" t="s">
        <v>19</v>
      </c>
      <c r="D384" s="5">
        <v>500</v>
      </c>
      <c r="E384" s="5">
        <f>D384</f>
        <v>500</v>
      </c>
      <c r="F384" s="5"/>
      <c r="G384" s="5"/>
      <c r="H384" s="5">
        <v>502.3</v>
      </c>
      <c r="I384" s="4">
        <v>0</v>
      </c>
      <c r="J384" s="4" t="s">
        <v>722</v>
      </c>
      <c r="K384" s="6" t="s">
        <v>723</v>
      </c>
      <c r="L384" s="6" t="s">
        <v>1252</v>
      </c>
      <c r="R384" t="s">
        <v>1253</v>
      </c>
    </row>
    <row r="385" spans="1:18" x14ac:dyDescent="0.2">
      <c r="A385" s="4"/>
      <c r="B385" s="4"/>
      <c r="C385" s="5"/>
      <c r="D385" s="5"/>
      <c r="E385" s="5"/>
      <c r="F385" s="5"/>
      <c r="G385" s="5"/>
      <c r="H385" s="5"/>
      <c r="I385" s="4"/>
      <c r="J385" s="4"/>
      <c r="K385" s="6"/>
      <c r="L385" s="6"/>
    </row>
    <row r="386" spans="1:18" x14ac:dyDescent="0.2">
      <c r="A386" s="4" t="s">
        <v>1254</v>
      </c>
      <c r="B386" s="4" t="s">
        <v>1255</v>
      </c>
      <c r="C386" s="5" t="s">
        <v>19</v>
      </c>
      <c r="D386" s="5">
        <v>500</v>
      </c>
      <c r="E386" s="5">
        <f>D386</f>
        <v>500</v>
      </c>
      <c r="F386" s="5"/>
      <c r="G386" s="5"/>
      <c r="H386" s="5">
        <v>557.41</v>
      </c>
      <c r="I386" s="4">
        <v>0</v>
      </c>
      <c r="J386" s="4" t="s">
        <v>765</v>
      </c>
      <c r="K386" s="6" t="s">
        <v>42</v>
      </c>
      <c r="L386" s="6" t="s">
        <v>1256</v>
      </c>
      <c r="R386" t="s">
        <v>1257</v>
      </c>
    </row>
    <row r="387" spans="1:18" x14ac:dyDescent="0.2">
      <c r="A387" s="4"/>
      <c r="B387" s="4"/>
      <c r="C387" s="5"/>
      <c r="D387" s="5"/>
      <c r="E387" s="5"/>
      <c r="F387" s="5"/>
      <c r="G387" s="5"/>
      <c r="H387" s="5"/>
      <c r="I387" s="4"/>
      <c r="J387" s="4"/>
      <c r="K387" s="6"/>
      <c r="L387" s="6"/>
    </row>
    <row r="388" spans="1:18" x14ac:dyDescent="0.2">
      <c r="A388" s="4" t="s">
        <v>1258</v>
      </c>
      <c r="B388" s="4" t="s">
        <v>1259</v>
      </c>
      <c r="C388" s="5" t="s">
        <v>19</v>
      </c>
      <c r="D388" s="5">
        <v>1001</v>
      </c>
      <c r="E388" s="5"/>
      <c r="F388" s="5">
        <f>$D388</f>
        <v>1001</v>
      </c>
      <c r="G388" s="5"/>
      <c r="H388" s="5">
        <v>1302.78</v>
      </c>
      <c r="I388" s="4">
        <v>0</v>
      </c>
      <c r="J388" s="4" t="s">
        <v>722</v>
      </c>
      <c r="K388" s="6" t="s">
        <v>723</v>
      </c>
      <c r="L388" s="6" t="s">
        <v>1260</v>
      </c>
      <c r="R388" t="s">
        <v>1261</v>
      </c>
    </row>
    <row r="389" spans="1:18" x14ac:dyDescent="0.2">
      <c r="A389" s="4" t="s">
        <v>1262</v>
      </c>
      <c r="B389" s="4" t="s">
        <v>1259</v>
      </c>
      <c r="C389" s="5" t="s">
        <v>19</v>
      </c>
      <c r="D389" s="5">
        <v>300</v>
      </c>
      <c r="E389" s="5">
        <f>D389</f>
        <v>300</v>
      </c>
      <c r="F389" s="5"/>
      <c r="G389" s="5"/>
      <c r="H389" s="5">
        <v>301.77999999999997</v>
      </c>
      <c r="I389" s="4">
        <v>0</v>
      </c>
      <c r="J389" s="4" t="s">
        <v>765</v>
      </c>
      <c r="K389" s="6" t="s">
        <v>42</v>
      </c>
      <c r="L389" s="6" t="s">
        <v>1263</v>
      </c>
      <c r="R389" t="s">
        <v>1264</v>
      </c>
    </row>
    <row r="390" spans="1:18" x14ac:dyDescent="0.2">
      <c r="A390" s="4" t="s">
        <v>1265</v>
      </c>
      <c r="B390" s="4" t="s">
        <v>1266</v>
      </c>
      <c r="C390" s="5" t="s">
        <v>19</v>
      </c>
      <c r="D390" s="5">
        <v>200</v>
      </c>
      <c r="E390" s="5">
        <f>D390</f>
        <v>200</v>
      </c>
      <c r="F390" s="5"/>
      <c r="G390" s="5"/>
      <c r="H390" s="5">
        <v>479.54</v>
      </c>
      <c r="I390" s="4">
        <v>0</v>
      </c>
      <c r="J390" s="4" t="s">
        <v>722</v>
      </c>
      <c r="K390" s="6" t="s">
        <v>723</v>
      </c>
      <c r="L390" s="6" t="s">
        <v>1267</v>
      </c>
      <c r="R390" t="s">
        <v>1268</v>
      </c>
    </row>
    <row r="391" spans="1:18" x14ac:dyDescent="0.2">
      <c r="A391" s="4" t="s">
        <v>1269</v>
      </c>
      <c r="B391" s="4" t="s">
        <v>1266</v>
      </c>
      <c r="C391" s="5" t="s">
        <v>19</v>
      </c>
      <c r="D391" s="5">
        <v>200</v>
      </c>
      <c r="E391" s="5">
        <f>D391</f>
        <v>200</v>
      </c>
      <c r="F391" s="5"/>
      <c r="G391" s="5"/>
      <c r="H391" s="5">
        <v>279.54000000000002</v>
      </c>
      <c r="I391" s="4">
        <v>0</v>
      </c>
      <c r="J391" s="4" t="s">
        <v>722</v>
      </c>
      <c r="K391" s="6" t="s">
        <v>723</v>
      </c>
      <c r="L391" s="6" t="s">
        <v>1270</v>
      </c>
      <c r="R391" t="s">
        <v>1271</v>
      </c>
    </row>
    <row r="392" spans="1:18" x14ac:dyDescent="0.2">
      <c r="A392" s="4" t="s">
        <v>1272</v>
      </c>
      <c r="B392" s="4" t="s">
        <v>1273</v>
      </c>
      <c r="C392" s="5" t="s">
        <v>19</v>
      </c>
      <c r="D392" s="5">
        <v>571.5</v>
      </c>
      <c r="E392" s="5"/>
      <c r="F392" s="5"/>
      <c r="G392" s="5"/>
      <c r="H392" s="5">
        <v>853.44</v>
      </c>
      <c r="I392" s="4">
        <v>0</v>
      </c>
      <c r="J392" s="4" t="s">
        <v>765</v>
      </c>
      <c r="K392" s="6" t="s">
        <v>42</v>
      </c>
      <c r="L392" s="6" t="s">
        <v>1274</v>
      </c>
      <c r="R392" t="s">
        <v>1275</v>
      </c>
    </row>
    <row r="393" spans="1:18" x14ac:dyDescent="0.2">
      <c r="A393" s="4"/>
      <c r="B393" s="4"/>
      <c r="C393" s="5"/>
      <c r="D393" s="5"/>
      <c r="E393" s="5"/>
      <c r="F393" s="5"/>
      <c r="G393" s="5"/>
      <c r="H393" s="5"/>
      <c r="I393" s="4"/>
      <c r="J393" s="4"/>
      <c r="K393" s="6"/>
      <c r="L393" s="6"/>
    </row>
    <row r="394" spans="1:18" x14ac:dyDescent="0.2">
      <c r="A394" s="4"/>
      <c r="B394" s="4"/>
      <c r="C394" s="5"/>
      <c r="D394" s="5"/>
      <c r="E394" s="5"/>
      <c r="F394" s="5"/>
      <c r="G394" s="5"/>
      <c r="H394" s="5"/>
      <c r="I394" s="4"/>
      <c r="J394" s="4"/>
      <c r="K394" s="6"/>
      <c r="L394" s="6"/>
    </row>
    <row r="395" spans="1:18" x14ac:dyDescent="0.2">
      <c r="A395" s="4"/>
      <c r="B395" s="4"/>
      <c r="C395" s="5"/>
      <c r="D395" s="5"/>
      <c r="E395" s="5"/>
      <c r="F395" s="5"/>
      <c r="G395" s="5"/>
      <c r="H395" s="5"/>
      <c r="I395" s="4"/>
      <c r="J395" s="4"/>
      <c r="K395" s="6"/>
      <c r="L395" s="6"/>
    </row>
    <row r="396" spans="1:18" x14ac:dyDescent="0.2">
      <c r="A396" s="4"/>
      <c r="B396" s="4"/>
      <c r="C396" s="5"/>
      <c r="D396" s="5"/>
      <c r="E396" s="5"/>
      <c r="F396" s="5"/>
      <c r="G396" s="5"/>
      <c r="H396" s="5"/>
      <c r="I396" s="4"/>
      <c r="J396" s="4"/>
      <c r="K396" s="6"/>
      <c r="L396" s="6"/>
    </row>
    <row r="397" spans="1:18" x14ac:dyDescent="0.2">
      <c r="A397" s="4" t="s">
        <v>1276</v>
      </c>
      <c r="B397" s="4" t="s">
        <v>1277</v>
      </c>
      <c r="C397" s="5" t="s">
        <v>1278</v>
      </c>
      <c r="D397" s="5">
        <v>1012</v>
      </c>
      <c r="E397" s="5"/>
      <c r="F397" s="5">
        <f>$D397</f>
        <v>1012</v>
      </c>
      <c r="G397" s="5"/>
      <c r="H397" s="5">
        <v>2062.25</v>
      </c>
      <c r="I397" s="4">
        <v>0</v>
      </c>
      <c r="J397" s="4" t="s">
        <v>722</v>
      </c>
      <c r="K397" s="6" t="s">
        <v>723</v>
      </c>
      <c r="L397" s="6" t="s">
        <v>1279</v>
      </c>
      <c r="R397" t="s">
        <v>1280</v>
      </c>
    </row>
    <row r="398" spans="1:18" x14ac:dyDescent="0.2">
      <c r="A398" s="4" t="s">
        <v>1281</v>
      </c>
      <c r="B398" s="4" t="s">
        <v>1277</v>
      </c>
      <c r="C398" s="5" t="s">
        <v>19</v>
      </c>
      <c r="D398" s="5">
        <v>1000</v>
      </c>
      <c r="E398" s="5">
        <f>D398</f>
        <v>1000</v>
      </c>
      <c r="F398" s="5"/>
      <c r="G398" s="5"/>
      <c r="H398" s="5">
        <v>1085</v>
      </c>
      <c r="I398" s="4">
        <v>0</v>
      </c>
      <c r="J398" s="4" t="s">
        <v>722</v>
      </c>
      <c r="K398" s="6" t="s">
        <v>723</v>
      </c>
      <c r="L398" s="6" t="s">
        <v>1282</v>
      </c>
      <c r="R398" t="s">
        <v>1283</v>
      </c>
    </row>
    <row r="399" spans="1:18" x14ac:dyDescent="0.2">
      <c r="A399" s="4" t="s">
        <v>1284</v>
      </c>
      <c r="B399" s="4" t="s">
        <v>1285</v>
      </c>
      <c r="C399" s="5" t="s">
        <v>19</v>
      </c>
      <c r="D399" s="5">
        <v>300</v>
      </c>
      <c r="E399" s="5">
        <f>D399</f>
        <v>300</v>
      </c>
      <c r="F399" s="5"/>
      <c r="G399" s="5"/>
      <c r="H399" s="5">
        <v>300</v>
      </c>
      <c r="I399" s="4">
        <v>0</v>
      </c>
      <c r="J399" s="4" t="s">
        <v>722</v>
      </c>
      <c r="K399" s="6" t="s">
        <v>723</v>
      </c>
      <c r="L399" s="6" t="s">
        <v>1286</v>
      </c>
      <c r="R399" t="s">
        <v>1287</v>
      </c>
    </row>
    <row r="400" spans="1:18" x14ac:dyDescent="0.2">
      <c r="A400" s="4" t="s">
        <v>1288</v>
      </c>
      <c r="B400" s="4" t="s">
        <v>1289</v>
      </c>
      <c r="C400" s="5" t="s">
        <v>19</v>
      </c>
      <c r="D400" s="5">
        <v>700</v>
      </c>
      <c r="E400" s="5">
        <f>D400</f>
        <v>700</v>
      </c>
      <c r="F400" s="5"/>
      <c r="G400" s="5"/>
      <c r="H400" s="5">
        <v>710.76</v>
      </c>
      <c r="I400" s="4">
        <v>0</v>
      </c>
      <c r="J400" s="4" t="s">
        <v>765</v>
      </c>
      <c r="K400" s="6" t="s">
        <v>42</v>
      </c>
      <c r="L400" s="6" t="s">
        <v>1290</v>
      </c>
      <c r="R400" t="s">
        <v>1291</v>
      </c>
    </row>
    <row r="401" spans="1:18" x14ac:dyDescent="0.2">
      <c r="A401" s="4" t="s">
        <v>1292</v>
      </c>
      <c r="B401" s="4" t="s">
        <v>1293</v>
      </c>
      <c r="C401" s="5" t="s">
        <v>19</v>
      </c>
      <c r="D401" s="5">
        <v>2000</v>
      </c>
      <c r="E401" s="5">
        <f>D401</f>
        <v>2000</v>
      </c>
      <c r="F401" s="5"/>
      <c r="G401" s="5"/>
      <c r="H401" s="5">
        <v>2340</v>
      </c>
      <c r="I401" s="4">
        <v>0</v>
      </c>
      <c r="J401" s="4" t="s">
        <v>722</v>
      </c>
      <c r="K401" s="6" t="s">
        <v>723</v>
      </c>
      <c r="L401" s="6" t="s">
        <v>1294</v>
      </c>
      <c r="R401" t="s">
        <v>1295</v>
      </c>
    </row>
    <row r="402" spans="1:18" x14ac:dyDescent="0.2">
      <c r="A402" s="4"/>
      <c r="B402" s="4"/>
      <c r="C402" s="5"/>
      <c r="D402" s="5"/>
      <c r="E402" s="5"/>
      <c r="F402" s="5"/>
      <c r="G402" s="5"/>
      <c r="H402" s="5"/>
      <c r="I402" s="4"/>
      <c r="J402" s="4"/>
      <c r="K402" s="6"/>
      <c r="L402" s="6"/>
    </row>
    <row r="403" spans="1:18" x14ac:dyDescent="0.2">
      <c r="A403" s="4" t="s">
        <v>1296</v>
      </c>
      <c r="B403" s="4" t="s">
        <v>1297</v>
      </c>
      <c r="C403" s="5" t="s">
        <v>19</v>
      </c>
      <c r="D403" s="5">
        <v>16</v>
      </c>
      <c r="E403" s="5"/>
      <c r="F403" s="5"/>
      <c r="G403" s="5"/>
      <c r="H403" s="5">
        <v>721.07</v>
      </c>
      <c r="I403" s="4">
        <v>0</v>
      </c>
      <c r="J403" s="4" t="s">
        <v>765</v>
      </c>
      <c r="K403" s="6" t="s">
        <v>42</v>
      </c>
      <c r="L403" s="6" t="s">
        <v>1298</v>
      </c>
      <c r="R403" t="s">
        <v>1299</v>
      </c>
    </row>
    <row r="404" spans="1:18" x14ac:dyDescent="0.2">
      <c r="A404" s="4" t="s">
        <v>1300</v>
      </c>
      <c r="B404" s="4" t="s">
        <v>1301</v>
      </c>
      <c r="C404" s="5" t="s">
        <v>19</v>
      </c>
      <c r="D404" s="5">
        <v>1000</v>
      </c>
      <c r="E404" s="5"/>
      <c r="F404" s="5">
        <f>$D404</f>
        <v>1000</v>
      </c>
      <c r="G404" s="5"/>
      <c r="H404" s="5">
        <v>1129.3499999999999</v>
      </c>
      <c r="I404" s="4">
        <v>0</v>
      </c>
      <c r="J404" s="4" t="s">
        <v>722</v>
      </c>
      <c r="K404" s="6" t="s">
        <v>723</v>
      </c>
      <c r="L404" s="6" t="s">
        <v>1302</v>
      </c>
      <c r="R404" t="s">
        <v>1303</v>
      </c>
    </row>
    <row r="405" spans="1:18" x14ac:dyDescent="0.2">
      <c r="A405" s="4" t="s">
        <v>1304</v>
      </c>
      <c r="B405" s="4" t="s">
        <v>1305</v>
      </c>
      <c r="C405" s="5" t="s">
        <v>19</v>
      </c>
      <c r="D405" s="5">
        <v>500</v>
      </c>
      <c r="E405" s="5">
        <f>D405</f>
        <v>500</v>
      </c>
      <c r="F405" s="5"/>
      <c r="G405" s="5"/>
      <c r="H405" s="5">
        <v>510.81</v>
      </c>
      <c r="I405" s="4">
        <v>0</v>
      </c>
      <c r="J405" s="4" t="s">
        <v>765</v>
      </c>
      <c r="K405" s="6" t="s">
        <v>42</v>
      </c>
      <c r="L405" s="6" t="s">
        <v>1306</v>
      </c>
      <c r="R405" t="s">
        <v>1307</v>
      </c>
    </row>
    <row r="406" spans="1:18" x14ac:dyDescent="0.2">
      <c r="A406" s="4" t="s">
        <v>1308</v>
      </c>
      <c r="B406" s="4" t="s">
        <v>1305</v>
      </c>
      <c r="C406" s="5" t="s">
        <v>19</v>
      </c>
      <c r="D406" s="5">
        <v>100</v>
      </c>
      <c r="E406" s="5"/>
      <c r="F406" s="5"/>
      <c r="G406" s="5"/>
      <c r="H406" s="5">
        <v>120.81</v>
      </c>
      <c r="I406" s="4">
        <v>0</v>
      </c>
      <c r="J406" s="4" t="s">
        <v>765</v>
      </c>
      <c r="K406" s="6" t="s">
        <v>42</v>
      </c>
      <c r="L406" s="6" t="s">
        <v>1309</v>
      </c>
      <c r="R406" t="s">
        <v>1310</v>
      </c>
    </row>
    <row r="407" spans="1:18" x14ac:dyDescent="0.2">
      <c r="A407" s="4" t="s">
        <v>1311</v>
      </c>
      <c r="B407" s="4" t="s">
        <v>1312</v>
      </c>
      <c r="C407" s="5" t="s">
        <v>19</v>
      </c>
      <c r="D407" s="5">
        <v>500</v>
      </c>
      <c r="E407" s="5">
        <f>D407</f>
        <v>500</v>
      </c>
      <c r="F407" s="5"/>
      <c r="G407" s="5"/>
      <c r="H407" s="5">
        <v>512.05999999999995</v>
      </c>
      <c r="I407" s="4">
        <v>0</v>
      </c>
      <c r="J407" s="4" t="s">
        <v>765</v>
      </c>
      <c r="K407" s="6" t="s">
        <v>42</v>
      </c>
      <c r="L407" s="6" t="s">
        <v>1313</v>
      </c>
      <c r="R407" t="s">
        <v>1314</v>
      </c>
    </row>
    <row r="408" spans="1:18" x14ac:dyDescent="0.2">
      <c r="A408" s="4" t="s">
        <v>1315</v>
      </c>
      <c r="B408" s="4" t="s">
        <v>1316</v>
      </c>
      <c r="C408" s="5" t="s">
        <v>19</v>
      </c>
      <c r="D408" s="5">
        <v>500</v>
      </c>
      <c r="E408" s="5">
        <f>D408</f>
        <v>500</v>
      </c>
      <c r="F408" s="5"/>
      <c r="G408" s="5"/>
      <c r="H408" s="5">
        <v>503.21</v>
      </c>
      <c r="I408" s="4">
        <v>0</v>
      </c>
      <c r="J408" s="4" t="s">
        <v>765</v>
      </c>
      <c r="K408" s="6" t="s">
        <v>42</v>
      </c>
      <c r="L408" s="6" t="s">
        <v>1317</v>
      </c>
      <c r="R408" t="s">
        <v>1318</v>
      </c>
    </row>
    <row r="409" spans="1:18" x14ac:dyDescent="0.2">
      <c r="A409" s="4" t="s">
        <v>1319</v>
      </c>
      <c r="B409" s="4" t="s">
        <v>1320</v>
      </c>
      <c r="C409" s="5" t="s">
        <v>19</v>
      </c>
      <c r="D409" s="5">
        <v>250</v>
      </c>
      <c r="E409" s="5">
        <f>D409</f>
        <v>250</v>
      </c>
      <c r="F409" s="5"/>
      <c r="G409" s="5"/>
      <c r="H409" s="5">
        <v>260.20999999999998</v>
      </c>
      <c r="I409" s="4">
        <v>0</v>
      </c>
      <c r="J409" s="4" t="s">
        <v>722</v>
      </c>
      <c r="K409" s="6" t="s">
        <v>723</v>
      </c>
      <c r="L409" s="6" t="s">
        <v>1321</v>
      </c>
      <c r="R409" t="s">
        <v>1322</v>
      </c>
    </row>
    <row r="410" spans="1:18" x14ac:dyDescent="0.2">
      <c r="A410" s="4" t="s">
        <v>1323</v>
      </c>
      <c r="B410" s="4" t="s">
        <v>1324</v>
      </c>
      <c r="C410" s="5" t="s">
        <v>19</v>
      </c>
      <c r="D410" s="5">
        <v>185</v>
      </c>
      <c r="E410" s="5"/>
      <c r="F410" s="5"/>
      <c r="G410" s="5"/>
      <c r="H410" s="5">
        <v>213.71</v>
      </c>
      <c r="I410" s="4">
        <v>0</v>
      </c>
      <c r="J410" s="4" t="s">
        <v>765</v>
      </c>
      <c r="K410" s="6" t="s">
        <v>42</v>
      </c>
      <c r="L410" s="6" t="s">
        <v>1325</v>
      </c>
      <c r="R410" t="s">
        <v>1326</v>
      </c>
    </row>
    <row r="411" spans="1:18" x14ac:dyDescent="0.2">
      <c r="A411" s="4"/>
      <c r="B411" s="4"/>
      <c r="C411" s="5"/>
      <c r="D411" s="5"/>
      <c r="E411" s="5"/>
      <c r="F411" s="5"/>
      <c r="G411" s="5"/>
      <c r="H411" s="5"/>
      <c r="I411" s="4"/>
      <c r="J411" s="4"/>
      <c r="K411" s="6"/>
      <c r="L411" s="6"/>
    </row>
    <row r="412" spans="1:18" x14ac:dyDescent="0.2">
      <c r="A412" s="4" t="s">
        <v>1327</v>
      </c>
      <c r="B412" s="4" t="s">
        <v>1328</v>
      </c>
      <c r="C412" s="5" t="s">
        <v>19</v>
      </c>
      <c r="D412" s="5">
        <v>2500</v>
      </c>
      <c r="E412" s="5">
        <f>D412</f>
        <v>2500</v>
      </c>
      <c r="F412" s="5"/>
      <c r="G412" s="5"/>
      <c r="H412" s="5">
        <v>3778.01</v>
      </c>
      <c r="I412" s="4">
        <v>0</v>
      </c>
      <c r="J412" s="4" t="s">
        <v>722</v>
      </c>
      <c r="K412" s="6" t="s">
        <v>723</v>
      </c>
      <c r="L412" s="6" t="s">
        <v>1329</v>
      </c>
      <c r="R412" t="s">
        <v>1330</v>
      </c>
    </row>
    <row r="413" spans="1:18" x14ac:dyDescent="0.2">
      <c r="A413" s="4" t="s">
        <v>1331</v>
      </c>
      <c r="B413" s="4" t="s">
        <v>1332</v>
      </c>
      <c r="C413" s="5" t="s">
        <v>19</v>
      </c>
      <c r="D413" s="5">
        <v>500</v>
      </c>
      <c r="E413" s="5">
        <f>D413</f>
        <v>500</v>
      </c>
      <c r="F413" s="5"/>
      <c r="G413" s="5"/>
      <c r="H413" s="5">
        <v>1500.01</v>
      </c>
      <c r="I413" s="4">
        <v>0</v>
      </c>
      <c r="J413" s="4" t="s">
        <v>722</v>
      </c>
      <c r="K413" s="6" t="s">
        <v>723</v>
      </c>
      <c r="L413" s="6" t="s">
        <v>1333</v>
      </c>
      <c r="R413" t="s">
        <v>1334</v>
      </c>
    </row>
    <row r="414" spans="1:18" x14ac:dyDescent="0.2">
      <c r="A414" s="4" t="s">
        <v>1335</v>
      </c>
      <c r="B414" s="4" t="s">
        <v>1332</v>
      </c>
      <c r="C414" s="5" t="s">
        <v>19</v>
      </c>
      <c r="D414" s="5">
        <v>1000</v>
      </c>
      <c r="E414" s="5"/>
      <c r="F414" s="5">
        <f>$D414</f>
        <v>1000</v>
      </c>
      <c r="G414" s="5"/>
      <c r="H414" s="5">
        <v>1000.01</v>
      </c>
      <c r="I414" s="4">
        <v>0</v>
      </c>
      <c r="J414" s="4" t="s">
        <v>722</v>
      </c>
      <c r="K414" s="6" t="s">
        <v>723</v>
      </c>
      <c r="L414" s="6" t="s">
        <v>1336</v>
      </c>
      <c r="R414" t="s">
        <v>1337</v>
      </c>
    </row>
    <row r="415" spans="1:18" x14ac:dyDescent="0.2">
      <c r="A415" s="4" t="s">
        <v>1338</v>
      </c>
      <c r="B415" s="4" t="s">
        <v>1339</v>
      </c>
      <c r="C415" s="5" t="s">
        <v>19</v>
      </c>
      <c r="D415" s="5">
        <v>500</v>
      </c>
      <c r="E415" s="5">
        <f>D415</f>
        <v>500</v>
      </c>
      <c r="F415" s="5"/>
      <c r="G415" s="5"/>
      <c r="H415" s="5">
        <v>501.61</v>
      </c>
      <c r="I415" s="4">
        <v>0</v>
      </c>
      <c r="J415" s="4" t="s">
        <v>765</v>
      </c>
      <c r="K415" s="6" t="s">
        <v>42</v>
      </c>
      <c r="L415" s="6" t="s">
        <v>1340</v>
      </c>
      <c r="R415" t="s">
        <v>1341</v>
      </c>
    </row>
    <row r="416" spans="1:18" x14ac:dyDescent="0.2">
      <c r="A416" s="4" t="s">
        <v>1342</v>
      </c>
      <c r="B416" s="4" t="s">
        <v>1343</v>
      </c>
      <c r="C416" s="5" t="s">
        <v>19</v>
      </c>
      <c r="D416" s="5">
        <v>500</v>
      </c>
      <c r="E416" s="5">
        <f>D416</f>
        <v>500</v>
      </c>
      <c r="F416" s="5"/>
      <c r="G416" s="5"/>
      <c r="H416" s="5">
        <v>524.72</v>
      </c>
      <c r="I416" s="4">
        <v>0</v>
      </c>
      <c r="J416" s="4" t="s">
        <v>765</v>
      </c>
      <c r="K416" s="6" t="s">
        <v>42</v>
      </c>
      <c r="L416" s="6" t="s">
        <v>1344</v>
      </c>
      <c r="R416" t="s">
        <v>1345</v>
      </c>
    </row>
    <row r="417" spans="1:18" x14ac:dyDescent="0.2">
      <c r="A417" s="4" t="s">
        <v>1346</v>
      </c>
      <c r="B417" s="4" t="s">
        <v>1347</v>
      </c>
      <c r="C417" s="5" t="s">
        <v>19</v>
      </c>
      <c r="D417" s="5">
        <v>200</v>
      </c>
      <c r="E417" s="5">
        <f>D417</f>
        <v>200</v>
      </c>
      <c r="F417" s="5"/>
      <c r="G417" s="5"/>
      <c r="H417" s="5">
        <v>203.22</v>
      </c>
      <c r="I417" s="4">
        <v>0</v>
      </c>
      <c r="J417" s="4" t="s">
        <v>765</v>
      </c>
      <c r="K417" s="6" t="s">
        <v>42</v>
      </c>
      <c r="L417" s="6" t="s">
        <v>1348</v>
      </c>
      <c r="R417" t="s">
        <v>1349</v>
      </c>
    </row>
    <row r="418" spans="1:18" x14ac:dyDescent="0.2">
      <c r="A418" s="4"/>
      <c r="B418" s="4"/>
      <c r="C418" s="5"/>
      <c r="D418" s="5"/>
      <c r="E418" s="5"/>
      <c r="F418" s="5"/>
      <c r="G418" s="5"/>
      <c r="H418" s="5"/>
      <c r="I418" s="4"/>
      <c r="J418" s="4"/>
      <c r="K418" s="6"/>
      <c r="L418" s="6"/>
    </row>
    <row r="419" spans="1:18" x14ac:dyDescent="0.2">
      <c r="A419" s="4" t="s">
        <v>1350</v>
      </c>
      <c r="B419" s="4" t="s">
        <v>1351</v>
      </c>
      <c r="C419" s="5" t="s">
        <v>19</v>
      </c>
      <c r="D419" s="5">
        <v>1000</v>
      </c>
      <c r="E419" s="5"/>
      <c r="F419" s="5">
        <f>$D419</f>
        <v>1000</v>
      </c>
      <c r="G419" s="5"/>
      <c r="H419" s="5">
        <v>3254.18</v>
      </c>
      <c r="I419" s="4">
        <v>0</v>
      </c>
      <c r="J419" s="4" t="s">
        <v>722</v>
      </c>
      <c r="K419" s="6" t="s">
        <v>723</v>
      </c>
      <c r="L419" s="6" t="s">
        <v>1352</v>
      </c>
      <c r="R419" t="s">
        <v>1353</v>
      </c>
    </row>
    <row r="420" spans="1:18" x14ac:dyDescent="0.2">
      <c r="A420" s="4" t="s">
        <v>1354</v>
      </c>
      <c r="B420" s="4" t="s">
        <v>1355</v>
      </c>
      <c r="C420" s="5" t="s">
        <v>34</v>
      </c>
      <c r="D420" s="5">
        <v>2500</v>
      </c>
      <c r="E420" s="5">
        <f>D420</f>
        <v>2500</v>
      </c>
      <c r="F420" s="5"/>
      <c r="G420" s="5"/>
      <c r="H420" s="5">
        <v>2500.54</v>
      </c>
      <c r="I420" s="4">
        <v>0</v>
      </c>
      <c r="J420" s="4" t="s">
        <v>323</v>
      </c>
      <c r="K420" s="6" t="s">
        <v>324</v>
      </c>
      <c r="L420" s="6" t="s">
        <v>1356</v>
      </c>
      <c r="R420" t="s">
        <v>1357</v>
      </c>
    </row>
    <row r="421" spans="1:18" x14ac:dyDescent="0.2">
      <c r="A421" s="4" t="s">
        <v>1358</v>
      </c>
      <c r="B421" s="4" t="s">
        <v>1359</v>
      </c>
      <c r="C421" s="5" t="s">
        <v>19</v>
      </c>
      <c r="D421" s="5">
        <v>200</v>
      </c>
      <c r="E421" s="5">
        <f>D421</f>
        <v>200</v>
      </c>
      <c r="F421" s="5"/>
      <c r="G421" s="5"/>
      <c r="H421" s="5">
        <v>383.6</v>
      </c>
      <c r="I421" s="4">
        <v>0</v>
      </c>
      <c r="J421" s="4" t="s">
        <v>722</v>
      </c>
      <c r="K421" s="6" t="s">
        <v>723</v>
      </c>
      <c r="L421" s="6" t="s">
        <v>1360</v>
      </c>
      <c r="R421" t="s">
        <v>1361</v>
      </c>
    </row>
    <row r="422" spans="1:18" x14ac:dyDescent="0.2">
      <c r="A422" s="4" t="s">
        <v>1362</v>
      </c>
      <c r="B422" s="4" t="s">
        <v>1363</v>
      </c>
      <c r="C422" s="5" t="s">
        <v>34</v>
      </c>
      <c r="D422" s="5">
        <v>500</v>
      </c>
      <c r="E422" s="5">
        <f>D422</f>
        <v>500</v>
      </c>
      <c r="F422" s="5"/>
      <c r="G422" s="5"/>
      <c r="H422" s="5">
        <v>624.74</v>
      </c>
      <c r="I422" s="4">
        <v>0</v>
      </c>
      <c r="J422" s="4" t="s">
        <v>323</v>
      </c>
      <c r="K422" s="6" t="s">
        <v>324</v>
      </c>
      <c r="L422" s="6" t="s">
        <v>1364</v>
      </c>
      <c r="R422" t="s">
        <v>1365</v>
      </c>
    </row>
    <row r="423" spans="1:18" x14ac:dyDescent="0.2">
      <c r="A423" s="4" t="s">
        <v>1366</v>
      </c>
      <c r="B423" s="4" t="s">
        <v>1367</v>
      </c>
      <c r="C423" s="5" t="s">
        <v>19</v>
      </c>
      <c r="D423" s="5">
        <v>200</v>
      </c>
      <c r="E423" s="5">
        <f>D423</f>
        <v>200</v>
      </c>
      <c r="F423" s="5"/>
      <c r="G423" s="5"/>
      <c r="H423" s="5">
        <v>200.74</v>
      </c>
      <c r="I423" s="4">
        <v>0</v>
      </c>
      <c r="J423" s="4" t="s">
        <v>722</v>
      </c>
      <c r="K423" s="6" t="s">
        <v>723</v>
      </c>
      <c r="L423" s="6" t="s">
        <v>1368</v>
      </c>
      <c r="R423" t="s">
        <v>1369</v>
      </c>
    </row>
    <row r="424" spans="1:18" x14ac:dyDescent="0.2">
      <c r="A424" s="4" t="s">
        <v>1370</v>
      </c>
      <c r="B424" s="4" t="s">
        <v>1371</v>
      </c>
      <c r="C424" s="5" t="s">
        <v>19</v>
      </c>
      <c r="D424" s="5">
        <v>600</v>
      </c>
      <c r="E424" s="5"/>
      <c r="F424" s="5">
        <f>$D424</f>
        <v>600</v>
      </c>
      <c r="G424" s="5"/>
      <c r="H424" s="5">
        <v>617.49</v>
      </c>
      <c r="I424" s="4">
        <v>0</v>
      </c>
      <c r="J424" s="4" t="s">
        <v>722</v>
      </c>
      <c r="K424" s="6" t="s">
        <v>723</v>
      </c>
      <c r="L424" s="6" t="s">
        <v>1372</v>
      </c>
      <c r="R424" t="s">
        <v>1373</v>
      </c>
    </row>
    <row r="425" spans="1:18" x14ac:dyDescent="0.2">
      <c r="A425" s="4"/>
      <c r="B425" s="4"/>
      <c r="C425" s="5"/>
      <c r="D425" s="5"/>
      <c r="E425" s="5"/>
      <c r="F425" s="5"/>
      <c r="G425" s="5"/>
      <c r="H425" s="5"/>
      <c r="I425" s="4"/>
      <c r="J425" s="4"/>
      <c r="K425" s="6"/>
      <c r="L425" s="6"/>
    </row>
    <row r="426" spans="1:18" x14ac:dyDescent="0.2">
      <c r="A426" s="4" t="s">
        <v>1374</v>
      </c>
      <c r="B426" s="4" t="s">
        <v>1375</v>
      </c>
      <c r="C426" s="5" t="s">
        <v>19</v>
      </c>
      <c r="D426" s="5">
        <v>400</v>
      </c>
      <c r="E426" s="5">
        <f>D426</f>
        <v>400</v>
      </c>
      <c r="F426" s="5"/>
      <c r="G426" s="5"/>
      <c r="H426" s="5">
        <v>437.98</v>
      </c>
      <c r="I426" s="4">
        <v>0</v>
      </c>
      <c r="J426" s="4" t="s">
        <v>765</v>
      </c>
      <c r="K426" s="6" t="s">
        <v>42</v>
      </c>
      <c r="L426" s="6" t="s">
        <v>1376</v>
      </c>
      <c r="R426" t="s">
        <v>1377</v>
      </c>
    </row>
    <row r="427" spans="1:18" x14ac:dyDescent="0.2">
      <c r="A427" s="4" t="s">
        <v>1378</v>
      </c>
      <c r="B427" s="4" t="s">
        <v>1379</v>
      </c>
      <c r="C427" s="5" t="s">
        <v>19</v>
      </c>
      <c r="D427" s="5">
        <v>200</v>
      </c>
      <c r="E427" s="5">
        <f>D427</f>
        <v>200</v>
      </c>
      <c r="F427" s="5"/>
      <c r="G427" s="5"/>
      <c r="H427" s="5">
        <v>335.98</v>
      </c>
      <c r="I427" s="4">
        <v>0</v>
      </c>
      <c r="J427" s="4" t="s">
        <v>722</v>
      </c>
      <c r="K427" s="6" t="s">
        <v>723</v>
      </c>
      <c r="L427" s="6" t="s">
        <v>1380</v>
      </c>
      <c r="R427" t="s">
        <v>1381</v>
      </c>
    </row>
    <row r="428" spans="1:18" x14ac:dyDescent="0.2">
      <c r="A428" s="4" t="s">
        <v>1382</v>
      </c>
      <c r="B428" s="4" t="s">
        <v>1383</v>
      </c>
      <c r="C428" s="5" t="s">
        <v>19</v>
      </c>
      <c r="D428" s="5">
        <v>300</v>
      </c>
      <c r="E428" s="5">
        <f>D428</f>
        <v>300</v>
      </c>
      <c r="F428" s="5"/>
      <c r="G428" s="5"/>
      <c r="H428" s="5">
        <v>598.47</v>
      </c>
      <c r="I428" s="4">
        <v>0</v>
      </c>
      <c r="J428" s="4" t="s">
        <v>722</v>
      </c>
      <c r="K428" s="6" t="s">
        <v>723</v>
      </c>
      <c r="L428" s="6" t="s">
        <v>1384</v>
      </c>
      <c r="R428" t="s">
        <v>1385</v>
      </c>
    </row>
    <row r="429" spans="1:18" x14ac:dyDescent="0.2">
      <c r="A429" s="4" t="s">
        <v>1386</v>
      </c>
      <c r="B429" s="4" t="s">
        <v>1387</v>
      </c>
      <c r="C429" s="5" t="s">
        <v>19</v>
      </c>
      <c r="D429" s="5">
        <v>250</v>
      </c>
      <c r="E429" s="5">
        <f>D429</f>
        <v>250</v>
      </c>
      <c r="F429" s="5"/>
      <c r="G429" s="5"/>
      <c r="H429" s="5">
        <v>472.47</v>
      </c>
      <c r="I429" s="4">
        <v>0</v>
      </c>
      <c r="J429" s="4" t="s">
        <v>722</v>
      </c>
      <c r="K429" s="6" t="s">
        <v>723</v>
      </c>
      <c r="L429" s="6" t="s">
        <v>1388</v>
      </c>
      <c r="R429" t="s">
        <v>1389</v>
      </c>
    </row>
    <row r="430" spans="1:18" x14ac:dyDescent="0.2">
      <c r="A430" s="4" t="s">
        <v>1390</v>
      </c>
      <c r="B430" s="4" t="s">
        <v>1391</v>
      </c>
      <c r="C430" s="5" t="s">
        <v>19</v>
      </c>
      <c r="D430" s="5">
        <v>220</v>
      </c>
      <c r="E430" s="5"/>
      <c r="F430" s="5"/>
      <c r="G430" s="5"/>
      <c r="H430" s="5">
        <v>733.24</v>
      </c>
      <c r="I430" s="4">
        <v>0</v>
      </c>
      <c r="J430" s="4" t="s">
        <v>765</v>
      </c>
      <c r="K430" s="6" t="s">
        <v>42</v>
      </c>
      <c r="L430" s="6" t="s">
        <v>1392</v>
      </c>
      <c r="R430" t="s">
        <v>1393</v>
      </c>
    </row>
    <row r="431" spans="1:18" x14ac:dyDescent="0.2">
      <c r="A431" s="4" t="s">
        <v>1394</v>
      </c>
      <c r="B431" s="4" t="s">
        <v>1395</v>
      </c>
      <c r="C431" s="5" t="s">
        <v>19</v>
      </c>
      <c r="D431" s="5">
        <v>160</v>
      </c>
      <c r="E431" s="5"/>
      <c r="F431" s="5"/>
      <c r="G431" s="5"/>
      <c r="H431" s="5">
        <v>953.74</v>
      </c>
      <c r="I431" s="4">
        <v>0</v>
      </c>
      <c r="J431" s="4" t="s">
        <v>765</v>
      </c>
      <c r="K431" s="6" t="s">
        <v>42</v>
      </c>
      <c r="L431" s="6" t="s">
        <v>1396</v>
      </c>
      <c r="R431" t="s">
        <v>1397</v>
      </c>
    </row>
    <row r="432" spans="1:18" x14ac:dyDescent="0.2">
      <c r="A432" s="4" t="s">
        <v>1398</v>
      </c>
      <c r="B432" s="4" t="s">
        <v>1399</v>
      </c>
      <c r="C432" s="5" t="s">
        <v>19</v>
      </c>
      <c r="D432" s="5">
        <v>800</v>
      </c>
      <c r="E432" s="5">
        <f>D432</f>
        <v>800</v>
      </c>
      <c r="F432" s="5"/>
      <c r="G432" s="5"/>
      <c r="H432" s="5">
        <v>1387.98</v>
      </c>
      <c r="I432" s="4">
        <v>0</v>
      </c>
      <c r="J432" s="4" t="s">
        <v>722</v>
      </c>
      <c r="K432" s="6" t="s">
        <v>723</v>
      </c>
      <c r="L432" s="6" t="s">
        <v>1400</v>
      </c>
      <c r="R432" t="s">
        <v>1401</v>
      </c>
    </row>
    <row r="433" spans="1:18" x14ac:dyDescent="0.2">
      <c r="A433" s="4"/>
      <c r="B433" s="4"/>
      <c r="C433" s="5"/>
      <c r="D433" s="5"/>
      <c r="E433" s="5"/>
      <c r="F433" s="5"/>
      <c r="G433" s="5"/>
      <c r="H433" s="5"/>
      <c r="I433" s="4"/>
      <c r="J433" s="4"/>
      <c r="K433" s="6"/>
      <c r="L433" s="6"/>
    </row>
    <row r="434" spans="1:18" x14ac:dyDescent="0.2">
      <c r="A434" s="4" t="s">
        <v>1402</v>
      </c>
      <c r="B434" s="4" t="s">
        <v>1403</v>
      </c>
      <c r="C434" s="5" t="s">
        <v>19</v>
      </c>
      <c r="D434" s="5">
        <v>450</v>
      </c>
      <c r="E434" s="5">
        <f t="shared" ref="E434:E441" si="4">D434</f>
        <v>450</v>
      </c>
      <c r="F434" s="5"/>
      <c r="G434" s="5"/>
      <c r="H434" s="5">
        <v>953.59</v>
      </c>
      <c r="I434" s="4">
        <v>0</v>
      </c>
      <c r="J434" s="4" t="s">
        <v>722</v>
      </c>
      <c r="K434" s="6" t="s">
        <v>723</v>
      </c>
      <c r="L434" s="6" t="s">
        <v>1404</v>
      </c>
      <c r="R434" t="s">
        <v>1405</v>
      </c>
    </row>
    <row r="435" spans="1:18" x14ac:dyDescent="0.2">
      <c r="A435" s="4" t="s">
        <v>1406</v>
      </c>
      <c r="B435" s="4" t="s">
        <v>1403</v>
      </c>
      <c r="C435" s="5" t="s">
        <v>19</v>
      </c>
      <c r="D435" s="5">
        <v>500</v>
      </c>
      <c r="E435" s="5">
        <f t="shared" si="4"/>
        <v>500</v>
      </c>
      <c r="F435" s="5"/>
      <c r="G435" s="5"/>
      <c r="H435" s="5">
        <v>503.59</v>
      </c>
      <c r="I435" s="4">
        <v>0</v>
      </c>
      <c r="J435" s="4" t="s">
        <v>722</v>
      </c>
      <c r="K435" s="6" t="s">
        <v>723</v>
      </c>
      <c r="L435" s="6" t="s">
        <v>1407</v>
      </c>
      <c r="R435" t="s">
        <v>1408</v>
      </c>
    </row>
    <row r="436" spans="1:18" x14ac:dyDescent="0.2">
      <c r="A436" s="4" t="s">
        <v>1409</v>
      </c>
      <c r="B436" s="4" t="s">
        <v>1410</v>
      </c>
      <c r="C436" s="5" t="s">
        <v>19</v>
      </c>
      <c r="D436" s="5">
        <v>250</v>
      </c>
      <c r="E436" s="5">
        <f t="shared" si="4"/>
        <v>250</v>
      </c>
      <c r="F436" s="5"/>
      <c r="G436" s="5"/>
      <c r="H436" s="5">
        <v>259.49</v>
      </c>
      <c r="I436" s="4">
        <v>0</v>
      </c>
      <c r="J436" s="4" t="s">
        <v>722</v>
      </c>
      <c r="K436" s="6" t="s">
        <v>723</v>
      </c>
      <c r="L436" s="6" t="s">
        <v>1411</v>
      </c>
      <c r="R436" t="s">
        <v>1412</v>
      </c>
    </row>
    <row r="437" spans="1:18" x14ac:dyDescent="0.2">
      <c r="A437" s="4" t="s">
        <v>1413</v>
      </c>
      <c r="B437" s="4" t="s">
        <v>1414</v>
      </c>
      <c r="C437" s="5" t="s">
        <v>19</v>
      </c>
      <c r="D437" s="5">
        <v>250</v>
      </c>
      <c r="E437" s="5">
        <f t="shared" si="4"/>
        <v>250</v>
      </c>
      <c r="F437" s="5"/>
      <c r="G437" s="5"/>
      <c r="H437" s="5">
        <v>821.54</v>
      </c>
      <c r="I437" s="4">
        <v>0</v>
      </c>
      <c r="J437" s="4" t="s">
        <v>765</v>
      </c>
      <c r="K437" s="6" t="s">
        <v>42</v>
      </c>
      <c r="L437" s="6" t="s">
        <v>1415</v>
      </c>
      <c r="R437" t="s">
        <v>1416</v>
      </c>
    </row>
    <row r="438" spans="1:18" x14ac:dyDescent="0.2">
      <c r="A438" s="4" t="s">
        <v>1417</v>
      </c>
      <c r="B438" s="4" t="s">
        <v>1418</v>
      </c>
      <c r="C438" s="5" t="s">
        <v>19</v>
      </c>
      <c r="D438" s="5">
        <v>500</v>
      </c>
      <c r="E438" s="5">
        <f t="shared" si="4"/>
        <v>500</v>
      </c>
      <c r="F438" s="5"/>
      <c r="G438" s="5"/>
      <c r="H438" s="5">
        <v>571.54</v>
      </c>
      <c r="I438" s="4">
        <v>0</v>
      </c>
      <c r="J438" s="4" t="s">
        <v>765</v>
      </c>
      <c r="K438" s="6" t="s">
        <v>42</v>
      </c>
      <c r="L438" s="6" t="s">
        <v>1419</v>
      </c>
      <c r="R438" t="s">
        <v>1420</v>
      </c>
    </row>
    <row r="439" spans="1:18" x14ac:dyDescent="0.2">
      <c r="A439" s="4" t="s">
        <v>1421</v>
      </c>
      <c r="B439" s="4" t="s">
        <v>1418</v>
      </c>
      <c r="C439" s="5" t="s">
        <v>19</v>
      </c>
      <c r="D439" s="5">
        <v>200</v>
      </c>
      <c r="E439" s="5">
        <f t="shared" si="4"/>
        <v>200</v>
      </c>
      <c r="F439" s="5"/>
      <c r="G439" s="5"/>
      <c r="H439" s="5">
        <v>215.54</v>
      </c>
      <c r="I439" s="4">
        <v>0</v>
      </c>
      <c r="J439" s="4" t="s">
        <v>765</v>
      </c>
      <c r="K439" s="6" t="s">
        <v>42</v>
      </c>
      <c r="L439" s="6" t="s">
        <v>1422</v>
      </c>
      <c r="R439" t="s">
        <v>1423</v>
      </c>
    </row>
    <row r="440" spans="1:18" x14ac:dyDescent="0.2">
      <c r="A440" s="4" t="s">
        <v>1424</v>
      </c>
      <c r="B440" s="4" t="s">
        <v>1425</v>
      </c>
      <c r="C440" s="5" t="s">
        <v>19</v>
      </c>
      <c r="D440" s="5">
        <v>250</v>
      </c>
      <c r="E440" s="5">
        <f t="shared" si="4"/>
        <v>250</v>
      </c>
      <c r="F440" s="5"/>
      <c r="G440" s="5"/>
      <c r="H440" s="5">
        <v>255.04</v>
      </c>
      <c r="I440" s="4">
        <v>0</v>
      </c>
      <c r="J440" s="4" t="s">
        <v>765</v>
      </c>
      <c r="K440" s="6" t="s">
        <v>42</v>
      </c>
      <c r="L440" s="6" t="s">
        <v>1426</v>
      </c>
      <c r="R440" t="s">
        <v>1427</v>
      </c>
    </row>
    <row r="441" spans="1:18" x14ac:dyDescent="0.2">
      <c r="A441" s="4" t="s">
        <v>1428</v>
      </c>
      <c r="B441" s="4" t="s">
        <v>1429</v>
      </c>
      <c r="C441" s="5" t="s">
        <v>19</v>
      </c>
      <c r="D441" s="5">
        <v>250</v>
      </c>
      <c r="E441" s="5">
        <f t="shared" si="4"/>
        <v>250</v>
      </c>
      <c r="F441" s="5"/>
      <c r="G441" s="5"/>
      <c r="H441" s="5">
        <v>255.04</v>
      </c>
      <c r="I441" s="4">
        <v>0</v>
      </c>
      <c r="J441" s="4" t="s">
        <v>765</v>
      </c>
      <c r="K441" s="6" t="s">
        <v>42</v>
      </c>
      <c r="L441" s="6" t="s">
        <v>1430</v>
      </c>
      <c r="R441" t="s">
        <v>1431</v>
      </c>
    </row>
    <row r="442" spans="1:18" x14ac:dyDescent="0.2">
      <c r="A442" s="4"/>
      <c r="B442" s="4"/>
      <c r="C442" s="5"/>
      <c r="D442" s="5"/>
      <c r="E442" s="5"/>
      <c r="F442" s="5"/>
      <c r="G442" s="5"/>
      <c r="H442" s="5"/>
      <c r="I442" s="4"/>
      <c r="J442" s="4"/>
      <c r="K442" s="6"/>
      <c r="L442" s="6"/>
    </row>
    <row r="443" spans="1:18" x14ac:dyDescent="0.2">
      <c r="A443" s="4" t="s">
        <v>1432</v>
      </c>
      <c r="B443" s="4" t="s">
        <v>1433</v>
      </c>
      <c r="C443" s="5" t="s">
        <v>34</v>
      </c>
      <c r="D443" s="5">
        <v>800</v>
      </c>
      <c r="E443" s="5"/>
      <c r="F443" s="5">
        <f>$D443</f>
        <v>800</v>
      </c>
      <c r="G443" s="5"/>
      <c r="H443" s="5">
        <v>891.12</v>
      </c>
      <c r="I443" s="4">
        <v>0</v>
      </c>
      <c r="J443" s="4" t="s">
        <v>323</v>
      </c>
      <c r="K443" s="6" t="s">
        <v>324</v>
      </c>
      <c r="L443" s="6" t="s">
        <v>1434</v>
      </c>
      <c r="R443" t="s">
        <v>1435</v>
      </c>
    </row>
    <row r="444" spans="1:18" x14ac:dyDescent="0.2">
      <c r="A444" s="4" t="s">
        <v>1436</v>
      </c>
      <c r="B444" s="4" t="s">
        <v>1437</v>
      </c>
      <c r="C444" s="5" t="s">
        <v>19</v>
      </c>
      <c r="D444" s="5">
        <v>250</v>
      </c>
      <c r="E444" s="5">
        <f>D444</f>
        <v>250</v>
      </c>
      <c r="F444" s="5"/>
      <c r="G444" s="5"/>
      <c r="H444" s="5">
        <v>250.04</v>
      </c>
      <c r="I444" s="4">
        <v>0</v>
      </c>
      <c r="J444" s="4" t="s">
        <v>765</v>
      </c>
      <c r="K444" s="6" t="s">
        <v>42</v>
      </c>
      <c r="L444" s="6" t="s">
        <v>1438</v>
      </c>
      <c r="R444" t="s">
        <v>1439</v>
      </c>
    </row>
    <row r="445" spans="1:18" x14ac:dyDescent="0.2">
      <c r="A445" s="4" t="s">
        <v>1440</v>
      </c>
      <c r="B445" s="4" t="s">
        <v>1441</v>
      </c>
      <c r="C445" s="5" t="s">
        <v>19</v>
      </c>
      <c r="D445" s="5">
        <v>250</v>
      </c>
      <c r="E445" s="5">
        <f>D445</f>
        <v>250</v>
      </c>
      <c r="F445" s="5"/>
      <c r="G445" s="5"/>
      <c r="H445" s="5">
        <v>266.04000000000002</v>
      </c>
      <c r="I445" s="4">
        <v>0</v>
      </c>
      <c r="J445" s="4" t="s">
        <v>765</v>
      </c>
      <c r="K445" s="6" t="s">
        <v>42</v>
      </c>
      <c r="L445" s="6" t="s">
        <v>1442</v>
      </c>
      <c r="R445" t="s">
        <v>1443</v>
      </c>
    </row>
    <row r="446" spans="1:18" x14ac:dyDescent="0.2">
      <c r="A446" s="4" t="s">
        <v>1444</v>
      </c>
      <c r="B446" s="4" t="s">
        <v>1445</v>
      </c>
      <c r="C446" s="5" t="s">
        <v>19</v>
      </c>
      <c r="D446" s="5">
        <v>200</v>
      </c>
      <c r="E446" s="5">
        <f>D446</f>
        <v>200</v>
      </c>
      <c r="F446" s="5"/>
      <c r="G446" s="5"/>
      <c r="H446" s="5">
        <v>222.04</v>
      </c>
      <c r="I446" s="4">
        <v>0</v>
      </c>
      <c r="J446" s="4" t="s">
        <v>765</v>
      </c>
      <c r="K446" s="6" t="s">
        <v>42</v>
      </c>
      <c r="L446" s="6" t="s">
        <v>1446</v>
      </c>
      <c r="R446" t="s">
        <v>1447</v>
      </c>
    </row>
    <row r="447" spans="1:18" x14ac:dyDescent="0.2">
      <c r="A447" s="4"/>
      <c r="B447" s="4"/>
      <c r="C447" s="5"/>
      <c r="D447" s="5"/>
      <c r="E447" s="5"/>
      <c r="F447" s="5"/>
      <c r="G447" s="5"/>
      <c r="H447" s="5"/>
      <c r="I447" s="4"/>
      <c r="J447" s="4"/>
      <c r="K447" s="6"/>
      <c r="L447" s="6"/>
    </row>
    <row r="448" spans="1:18" x14ac:dyDescent="0.2">
      <c r="A448" s="4" t="s">
        <v>1448</v>
      </c>
      <c r="B448" s="4" t="s">
        <v>1449</v>
      </c>
      <c r="C448" s="5" t="s">
        <v>34</v>
      </c>
      <c r="D448" s="5">
        <v>400</v>
      </c>
      <c r="E448" s="5"/>
      <c r="F448" s="5">
        <f>$D448</f>
        <v>400</v>
      </c>
      <c r="G448" s="5"/>
      <c r="H448" s="5">
        <v>607.54</v>
      </c>
      <c r="I448" s="4">
        <v>0</v>
      </c>
      <c r="J448" s="4" t="s">
        <v>323</v>
      </c>
      <c r="K448" s="6" t="s">
        <v>324</v>
      </c>
      <c r="L448" s="6" t="s">
        <v>1450</v>
      </c>
      <c r="R448" t="s">
        <v>1451</v>
      </c>
    </row>
    <row r="449" spans="1:18" x14ac:dyDescent="0.2">
      <c r="A449" s="4" t="s">
        <v>1452</v>
      </c>
      <c r="B449" s="4" t="s">
        <v>1453</v>
      </c>
      <c r="C449" s="5" t="s">
        <v>19</v>
      </c>
      <c r="D449" s="5">
        <v>200</v>
      </c>
      <c r="E449" s="5">
        <f>D449</f>
        <v>200</v>
      </c>
      <c r="F449" s="5"/>
      <c r="G449" s="5"/>
      <c r="H449" s="5">
        <v>270.79000000000002</v>
      </c>
      <c r="I449" s="4">
        <v>0</v>
      </c>
      <c r="J449" s="4" t="s">
        <v>722</v>
      </c>
      <c r="K449" s="6" t="s">
        <v>723</v>
      </c>
      <c r="L449" s="6" t="s">
        <v>1454</v>
      </c>
      <c r="R449" t="s">
        <v>1455</v>
      </c>
    </row>
    <row r="450" spans="1:18" x14ac:dyDescent="0.2">
      <c r="A450" s="4" t="s">
        <v>1456</v>
      </c>
      <c r="B450" s="4" t="s">
        <v>1457</v>
      </c>
      <c r="C450" s="5" t="s">
        <v>19</v>
      </c>
      <c r="D450" s="5">
        <v>200</v>
      </c>
      <c r="E450" s="5">
        <f>D450</f>
        <v>200</v>
      </c>
      <c r="F450" s="5"/>
      <c r="G450" s="5"/>
      <c r="H450" s="5">
        <v>206.79</v>
      </c>
      <c r="I450" s="4">
        <v>0</v>
      </c>
      <c r="J450" s="4" t="s">
        <v>765</v>
      </c>
      <c r="K450" s="6" t="s">
        <v>42</v>
      </c>
      <c r="L450" s="6" t="s">
        <v>1458</v>
      </c>
      <c r="R450" t="s">
        <v>1459</v>
      </c>
    </row>
    <row r="451" spans="1:18" x14ac:dyDescent="0.2">
      <c r="A451" s="4" t="s">
        <v>1460</v>
      </c>
      <c r="B451" s="4" t="s">
        <v>1461</v>
      </c>
      <c r="C451" s="5" t="s">
        <v>19</v>
      </c>
      <c r="D451" s="5">
        <v>250</v>
      </c>
      <c r="E451" s="5">
        <f>D451</f>
        <v>250</v>
      </c>
      <c r="F451" s="5"/>
      <c r="G451" s="5"/>
      <c r="H451" s="5">
        <v>270.04000000000002</v>
      </c>
      <c r="I451" s="4">
        <v>0</v>
      </c>
      <c r="J451" s="4" t="s">
        <v>765</v>
      </c>
      <c r="K451" s="6" t="s">
        <v>42</v>
      </c>
      <c r="L451" s="6" t="s">
        <v>1462</v>
      </c>
      <c r="R451" t="s">
        <v>1463</v>
      </c>
    </row>
    <row r="452" spans="1:18" x14ac:dyDescent="0.2">
      <c r="A452" s="4"/>
      <c r="B452" s="4"/>
      <c r="C452" s="5"/>
      <c r="D452" s="5"/>
      <c r="E452" s="5"/>
      <c r="F452" s="5"/>
      <c r="G452" s="5"/>
      <c r="H452" s="5"/>
      <c r="I452" s="4"/>
      <c r="J452" s="4"/>
      <c r="K452" s="6"/>
      <c r="L452" s="6"/>
    </row>
    <row r="453" spans="1:18" x14ac:dyDescent="0.2">
      <c r="A453" s="4" t="s">
        <v>1464</v>
      </c>
      <c r="B453" s="4" t="s">
        <v>1465</v>
      </c>
      <c r="C453" s="5" t="s">
        <v>34</v>
      </c>
      <c r="D453" s="5">
        <v>400</v>
      </c>
      <c r="E453" s="5"/>
      <c r="F453" s="5">
        <f>$D453</f>
        <v>400</v>
      </c>
      <c r="G453" s="5"/>
      <c r="H453" s="5">
        <v>489.94</v>
      </c>
      <c r="I453" s="4">
        <v>0</v>
      </c>
      <c r="J453" s="4" t="s">
        <v>323</v>
      </c>
      <c r="K453" s="6" t="s">
        <v>324</v>
      </c>
      <c r="L453" s="6" t="s">
        <v>1466</v>
      </c>
      <c r="R453" t="s">
        <v>1467</v>
      </c>
    </row>
    <row r="454" spans="1:18" x14ac:dyDescent="0.2">
      <c r="A454" s="4" t="s">
        <v>1468</v>
      </c>
      <c r="B454" s="4" t="s">
        <v>1469</v>
      </c>
      <c r="C454" s="5" t="s">
        <v>19</v>
      </c>
      <c r="D454" s="5">
        <v>200</v>
      </c>
      <c r="E454" s="5">
        <f>D454</f>
        <v>200</v>
      </c>
      <c r="F454" s="5"/>
      <c r="G454" s="5"/>
      <c r="H454" s="5">
        <v>330.09</v>
      </c>
      <c r="I454" s="4">
        <v>0</v>
      </c>
      <c r="J454" s="4" t="s">
        <v>722</v>
      </c>
      <c r="K454" s="6" t="s">
        <v>723</v>
      </c>
      <c r="L454" s="6" t="s">
        <v>1470</v>
      </c>
      <c r="R454" t="s">
        <v>1471</v>
      </c>
    </row>
    <row r="455" spans="1:18" x14ac:dyDescent="0.2">
      <c r="A455" s="4" t="s">
        <v>1472</v>
      </c>
      <c r="B455" s="4" t="s">
        <v>1473</v>
      </c>
      <c r="C455" s="5" t="s">
        <v>34</v>
      </c>
      <c r="D455" s="5">
        <v>200</v>
      </c>
      <c r="E455" s="5">
        <f>D455</f>
        <v>200</v>
      </c>
      <c r="F455" s="5"/>
      <c r="G455" s="5"/>
      <c r="H455" s="5">
        <v>204.59</v>
      </c>
      <c r="I455" s="4">
        <v>0</v>
      </c>
      <c r="J455" s="4" t="s">
        <v>323</v>
      </c>
      <c r="K455" s="6" t="s">
        <v>324</v>
      </c>
      <c r="L455" s="6" t="s">
        <v>1474</v>
      </c>
      <c r="R455" t="s">
        <v>1475</v>
      </c>
    </row>
    <row r="456" spans="1:18" x14ac:dyDescent="0.2">
      <c r="A456" s="4"/>
      <c r="B456" s="4"/>
      <c r="C456" s="5"/>
      <c r="D456" s="5"/>
      <c r="E456" s="5"/>
      <c r="F456" s="5"/>
      <c r="G456" s="5"/>
      <c r="H456" s="5"/>
      <c r="I456" s="4"/>
      <c r="J456" s="4"/>
      <c r="K456" s="6"/>
      <c r="L456" s="6"/>
    </row>
    <row r="457" spans="1:18" x14ac:dyDescent="0.2">
      <c r="A457" s="4" t="s">
        <v>1476</v>
      </c>
      <c r="B457" s="4" t="s">
        <v>1477</v>
      </c>
      <c r="C457" s="5" t="s">
        <v>34</v>
      </c>
      <c r="D457" s="5">
        <v>800</v>
      </c>
      <c r="E457" s="5"/>
      <c r="F457" s="5">
        <f>$D457</f>
        <v>800</v>
      </c>
      <c r="G457" s="5"/>
      <c r="H457" s="5">
        <v>843.21</v>
      </c>
      <c r="I457" s="4">
        <v>0</v>
      </c>
      <c r="J457" s="4" t="s">
        <v>323</v>
      </c>
      <c r="K457" s="6" t="s">
        <v>324</v>
      </c>
      <c r="L457" s="6" t="s">
        <v>1478</v>
      </c>
      <c r="R457" t="s">
        <v>1479</v>
      </c>
    </row>
    <row r="458" spans="1:18" x14ac:dyDescent="0.2">
      <c r="A458" s="4" t="s">
        <v>1480</v>
      </c>
      <c r="B458" s="4" t="s">
        <v>1481</v>
      </c>
      <c r="C458" s="5" t="s">
        <v>19</v>
      </c>
      <c r="D458" s="5">
        <v>150</v>
      </c>
      <c r="E458" s="5">
        <f t="shared" ref="E458:E463" si="5">D458</f>
        <v>150</v>
      </c>
      <c r="F458" s="5"/>
      <c r="G458" s="5"/>
      <c r="H458" s="5">
        <v>172.71</v>
      </c>
      <c r="I458" s="4">
        <v>0</v>
      </c>
      <c r="J458" s="4" t="s">
        <v>765</v>
      </c>
      <c r="K458" s="6" t="s">
        <v>42</v>
      </c>
      <c r="L458" s="6" t="s">
        <v>1482</v>
      </c>
      <c r="R458" t="s">
        <v>1483</v>
      </c>
    </row>
    <row r="459" spans="1:18" x14ac:dyDescent="0.2">
      <c r="A459" s="4" t="s">
        <v>1484</v>
      </c>
      <c r="B459" s="4" t="s">
        <v>1485</v>
      </c>
      <c r="C459" s="5" t="s">
        <v>19</v>
      </c>
      <c r="D459" s="5">
        <v>200</v>
      </c>
      <c r="E459" s="5">
        <f t="shared" si="5"/>
        <v>200</v>
      </c>
      <c r="F459" s="5"/>
      <c r="G459" s="5"/>
      <c r="H459" s="5">
        <v>215.17</v>
      </c>
      <c r="I459" s="4">
        <v>0</v>
      </c>
      <c r="J459" s="4" t="s">
        <v>722</v>
      </c>
      <c r="K459" s="6" t="s">
        <v>723</v>
      </c>
      <c r="L459" s="6" t="s">
        <v>1486</v>
      </c>
      <c r="R459" t="s">
        <v>1487</v>
      </c>
    </row>
    <row r="460" spans="1:18" x14ac:dyDescent="0.2">
      <c r="A460" s="4" t="s">
        <v>1488</v>
      </c>
      <c r="B460" s="4" t="s">
        <v>1489</v>
      </c>
      <c r="C460" s="5" t="s">
        <v>19</v>
      </c>
      <c r="D460" s="5">
        <v>200</v>
      </c>
      <c r="E460" s="5">
        <f t="shared" si="5"/>
        <v>200</v>
      </c>
      <c r="F460" s="5"/>
      <c r="G460" s="5"/>
      <c r="H460" s="5">
        <v>313.45</v>
      </c>
      <c r="I460" s="4">
        <v>0</v>
      </c>
      <c r="J460" s="4" t="s">
        <v>722</v>
      </c>
      <c r="K460" s="6" t="s">
        <v>723</v>
      </c>
      <c r="L460" s="6" t="s">
        <v>1490</v>
      </c>
      <c r="R460" t="s">
        <v>1491</v>
      </c>
    </row>
    <row r="461" spans="1:18" x14ac:dyDescent="0.2">
      <c r="A461" s="4" t="s">
        <v>1492</v>
      </c>
      <c r="B461" s="4" t="s">
        <v>1493</v>
      </c>
      <c r="C461" s="5" t="s">
        <v>19</v>
      </c>
      <c r="D461" s="5">
        <v>500</v>
      </c>
      <c r="E461" s="5">
        <f t="shared" si="5"/>
        <v>500</v>
      </c>
      <c r="F461" s="5"/>
      <c r="G461" s="5"/>
      <c r="H461" s="5">
        <v>551.45000000000005</v>
      </c>
      <c r="I461" s="4">
        <v>0</v>
      </c>
      <c r="J461" s="4" t="s">
        <v>722</v>
      </c>
      <c r="K461" s="6" t="s">
        <v>723</v>
      </c>
      <c r="L461" s="6" t="s">
        <v>1494</v>
      </c>
      <c r="R461" t="s">
        <v>1495</v>
      </c>
    </row>
    <row r="462" spans="1:18" x14ac:dyDescent="0.2">
      <c r="A462" s="4" t="s">
        <v>1496</v>
      </c>
      <c r="B462" s="4" t="s">
        <v>1493</v>
      </c>
      <c r="C462" s="5" t="s">
        <v>19</v>
      </c>
      <c r="D462" s="5">
        <v>500</v>
      </c>
      <c r="E462" s="5">
        <f t="shared" si="5"/>
        <v>500</v>
      </c>
      <c r="F462" s="5"/>
      <c r="G462" s="5"/>
      <c r="H462" s="5">
        <v>649.25</v>
      </c>
      <c r="I462" s="4">
        <v>0</v>
      </c>
      <c r="J462" s="4" t="s">
        <v>765</v>
      </c>
      <c r="K462" s="6" t="s">
        <v>42</v>
      </c>
      <c r="L462" s="6" t="s">
        <v>1497</v>
      </c>
      <c r="R462" t="s">
        <v>1498</v>
      </c>
    </row>
    <row r="463" spans="1:18" x14ac:dyDescent="0.2">
      <c r="A463" s="4" t="s">
        <v>1499</v>
      </c>
      <c r="B463" s="4" t="s">
        <v>1500</v>
      </c>
      <c r="C463" s="5" t="s">
        <v>19</v>
      </c>
      <c r="D463" s="5">
        <v>200</v>
      </c>
      <c r="E463" s="5">
        <f t="shared" si="5"/>
        <v>200</v>
      </c>
      <c r="F463" s="5"/>
      <c r="G463" s="5"/>
      <c r="H463" s="5">
        <v>200</v>
      </c>
      <c r="I463" s="4">
        <v>0</v>
      </c>
      <c r="J463" s="4" t="s">
        <v>765</v>
      </c>
      <c r="K463" s="6" t="s">
        <v>42</v>
      </c>
      <c r="L463" s="6" t="s">
        <v>1501</v>
      </c>
      <c r="R463" t="s">
        <v>1502</v>
      </c>
    </row>
    <row r="464" spans="1:18" x14ac:dyDescent="0.2">
      <c r="A464" s="4"/>
      <c r="B464" s="4"/>
      <c r="C464" s="5"/>
      <c r="D464" s="5"/>
      <c r="E464" s="5"/>
      <c r="F464" s="5"/>
      <c r="G464" s="5"/>
      <c r="H464" s="5"/>
      <c r="I464" s="4"/>
      <c r="J464" s="4"/>
      <c r="K464" s="6"/>
      <c r="L464" s="6"/>
    </row>
    <row r="465" spans="1:18" x14ac:dyDescent="0.2">
      <c r="A465" s="4" t="s">
        <v>1503</v>
      </c>
      <c r="B465" s="4" t="s">
        <v>1504</v>
      </c>
      <c r="C465" s="5" t="s">
        <v>34</v>
      </c>
      <c r="D465" s="5">
        <v>800</v>
      </c>
      <c r="E465" s="5"/>
      <c r="F465" s="5">
        <f>$D465</f>
        <v>800</v>
      </c>
      <c r="G465" s="5"/>
      <c r="H465" s="5">
        <v>940.51</v>
      </c>
      <c r="I465" s="4">
        <v>0</v>
      </c>
      <c r="J465" s="4" t="s">
        <v>323</v>
      </c>
      <c r="K465" s="6" t="s">
        <v>324</v>
      </c>
      <c r="L465" s="6" t="s">
        <v>1505</v>
      </c>
      <c r="R465" t="s">
        <v>1506</v>
      </c>
    </row>
    <row r="466" spans="1:18" x14ac:dyDescent="0.2">
      <c r="A466" s="4" t="s">
        <v>1507</v>
      </c>
      <c r="B466" s="4" t="s">
        <v>1504</v>
      </c>
      <c r="C466" s="5" t="s">
        <v>19</v>
      </c>
      <c r="D466" s="5">
        <v>100</v>
      </c>
      <c r="E466" s="5">
        <f>D466</f>
        <v>100</v>
      </c>
      <c r="F466" s="5"/>
      <c r="G466" s="5"/>
      <c r="H466" s="5">
        <v>356.76</v>
      </c>
      <c r="I466" s="4">
        <v>0</v>
      </c>
      <c r="J466" s="4" t="s">
        <v>722</v>
      </c>
      <c r="K466" s="6" t="s">
        <v>723</v>
      </c>
      <c r="L466" s="6" t="s">
        <v>1508</v>
      </c>
      <c r="R466" t="s">
        <v>1509</v>
      </c>
    </row>
    <row r="467" spans="1:18" x14ac:dyDescent="0.2">
      <c r="A467" s="4" t="s">
        <v>1510</v>
      </c>
      <c r="B467" s="4" t="s">
        <v>1504</v>
      </c>
      <c r="C467" s="5" t="s">
        <v>19</v>
      </c>
      <c r="D467" s="5">
        <v>200</v>
      </c>
      <c r="E467" s="5"/>
      <c r="F467" s="5">
        <f>$D467</f>
        <v>200</v>
      </c>
      <c r="G467" s="5"/>
      <c r="H467" s="5">
        <v>256.76</v>
      </c>
      <c r="I467" s="4">
        <v>0</v>
      </c>
      <c r="J467" s="4" t="s">
        <v>722</v>
      </c>
      <c r="K467" s="6" t="s">
        <v>723</v>
      </c>
      <c r="L467" s="6" t="s">
        <v>1511</v>
      </c>
      <c r="R467" t="s">
        <v>1512</v>
      </c>
    </row>
    <row r="468" spans="1:18" x14ac:dyDescent="0.2">
      <c r="A468" s="4" t="s">
        <v>1513</v>
      </c>
      <c r="B468" s="4" t="s">
        <v>1514</v>
      </c>
      <c r="C468" s="5" t="s">
        <v>19</v>
      </c>
      <c r="D468" s="5">
        <v>200</v>
      </c>
      <c r="E468" s="5">
        <f t="shared" ref="E468:E473" si="6">D468</f>
        <v>200</v>
      </c>
      <c r="F468" s="5"/>
      <c r="G468" s="5"/>
      <c r="H468" s="5">
        <v>203.26</v>
      </c>
      <c r="I468" s="4">
        <v>0</v>
      </c>
      <c r="J468" s="4" t="s">
        <v>765</v>
      </c>
      <c r="K468" s="6" t="s">
        <v>42</v>
      </c>
      <c r="L468" s="6" t="s">
        <v>1515</v>
      </c>
      <c r="R468" t="s">
        <v>1516</v>
      </c>
    </row>
    <row r="469" spans="1:18" x14ac:dyDescent="0.2">
      <c r="A469" s="4" t="s">
        <v>1517</v>
      </c>
      <c r="B469" s="4" t="s">
        <v>1518</v>
      </c>
      <c r="C469" s="5" t="s">
        <v>19</v>
      </c>
      <c r="D469" s="5">
        <v>400</v>
      </c>
      <c r="E469" s="5">
        <f t="shared" si="6"/>
        <v>400</v>
      </c>
      <c r="F469" s="5"/>
      <c r="G469" s="5"/>
      <c r="H469" s="5">
        <v>417.26</v>
      </c>
      <c r="I469" s="4">
        <v>0</v>
      </c>
      <c r="J469" s="4" t="s">
        <v>765</v>
      </c>
      <c r="K469" s="6" t="s">
        <v>42</v>
      </c>
      <c r="L469" s="6" t="s">
        <v>1519</v>
      </c>
      <c r="R469" t="s">
        <v>1520</v>
      </c>
    </row>
    <row r="470" spans="1:18" x14ac:dyDescent="0.2">
      <c r="A470" s="4" t="s">
        <v>1521</v>
      </c>
      <c r="B470" s="4" t="s">
        <v>1522</v>
      </c>
      <c r="C470" s="5" t="s">
        <v>19</v>
      </c>
      <c r="D470" s="5">
        <v>200</v>
      </c>
      <c r="E470" s="5">
        <f t="shared" si="6"/>
        <v>200</v>
      </c>
      <c r="F470" s="5"/>
      <c r="G470" s="5"/>
      <c r="H470" s="5">
        <v>261.76</v>
      </c>
      <c r="I470" s="4">
        <v>0</v>
      </c>
      <c r="J470" s="4" t="s">
        <v>765</v>
      </c>
      <c r="K470" s="6" t="s">
        <v>42</v>
      </c>
      <c r="L470" s="6" t="s">
        <v>1523</v>
      </c>
      <c r="R470" t="s">
        <v>1524</v>
      </c>
    </row>
    <row r="471" spans="1:18" x14ac:dyDescent="0.2">
      <c r="A471" s="4" t="s">
        <v>1525</v>
      </c>
      <c r="B471" s="4" t="s">
        <v>1526</v>
      </c>
      <c r="C471" s="5" t="s">
        <v>34</v>
      </c>
      <c r="D471" s="5">
        <v>200</v>
      </c>
      <c r="E471" s="5">
        <f t="shared" si="6"/>
        <v>200</v>
      </c>
      <c r="F471" s="5"/>
      <c r="G471" s="5"/>
      <c r="H471" s="5">
        <v>461.21</v>
      </c>
      <c r="I471" s="4">
        <v>0</v>
      </c>
      <c r="J471" s="4" t="s">
        <v>323</v>
      </c>
      <c r="K471" s="6" t="s">
        <v>324</v>
      </c>
      <c r="L471" s="6" t="s">
        <v>1527</v>
      </c>
      <c r="R471" t="s">
        <v>1528</v>
      </c>
    </row>
    <row r="472" spans="1:18" x14ac:dyDescent="0.2">
      <c r="A472" s="4" t="s">
        <v>1529</v>
      </c>
      <c r="B472" s="4" t="s">
        <v>1526</v>
      </c>
      <c r="C472" s="5" t="s">
        <v>19</v>
      </c>
      <c r="D472" s="5">
        <v>300</v>
      </c>
      <c r="E472" s="5">
        <f t="shared" si="6"/>
        <v>300</v>
      </c>
      <c r="F472" s="5"/>
      <c r="G472" s="5"/>
      <c r="H472" s="5">
        <v>300.20999999999998</v>
      </c>
      <c r="I472" s="4">
        <v>0</v>
      </c>
      <c r="J472" s="4" t="s">
        <v>765</v>
      </c>
      <c r="K472" s="6" t="s">
        <v>42</v>
      </c>
      <c r="L472" s="6" t="s">
        <v>1530</v>
      </c>
      <c r="R472" t="s">
        <v>1531</v>
      </c>
    </row>
    <row r="473" spans="1:18" x14ac:dyDescent="0.2">
      <c r="A473" s="4" t="s">
        <v>1532</v>
      </c>
      <c r="B473" s="4" t="s">
        <v>1533</v>
      </c>
      <c r="C473" s="5" t="s">
        <v>19</v>
      </c>
      <c r="D473" s="5">
        <v>250</v>
      </c>
      <c r="E473" s="5">
        <f t="shared" si="6"/>
        <v>250</v>
      </c>
      <c r="F473" s="5"/>
      <c r="G473" s="5"/>
      <c r="H473" s="5">
        <v>475.24</v>
      </c>
      <c r="I473" s="4">
        <v>0</v>
      </c>
      <c r="J473" s="4" t="s">
        <v>722</v>
      </c>
      <c r="K473" s="6" t="s">
        <v>723</v>
      </c>
      <c r="L473" s="6" t="s">
        <v>1534</v>
      </c>
      <c r="R473" t="s">
        <v>1535</v>
      </c>
    </row>
    <row r="474" spans="1:18" x14ac:dyDescent="0.2">
      <c r="A474" s="4" t="s">
        <v>1536</v>
      </c>
      <c r="B474" s="4" t="s">
        <v>1537</v>
      </c>
      <c r="C474" s="5" t="s">
        <v>34</v>
      </c>
      <c r="D474" s="5">
        <v>175</v>
      </c>
      <c r="E474" s="5"/>
      <c r="F474" s="5"/>
      <c r="G474" s="5"/>
      <c r="H474" s="5">
        <v>439.24</v>
      </c>
      <c r="I474" s="4">
        <v>0</v>
      </c>
      <c r="J474" s="4" t="s">
        <v>323</v>
      </c>
      <c r="K474" s="6" t="s">
        <v>324</v>
      </c>
      <c r="L474" s="6" t="s">
        <v>1538</v>
      </c>
      <c r="R474" t="s">
        <v>1539</v>
      </c>
    </row>
    <row r="475" spans="1:18" x14ac:dyDescent="0.2">
      <c r="A475" s="4" t="s">
        <v>1540</v>
      </c>
      <c r="B475" s="4" t="s">
        <v>1537</v>
      </c>
      <c r="C475" s="5" t="s">
        <v>34</v>
      </c>
      <c r="D475" s="5">
        <v>150</v>
      </c>
      <c r="E475" s="5"/>
      <c r="F475" s="5"/>
      <c r="G475" s="5"/>
      <c r="H475" s="5">
        <v>269.44</v>
      </c>
      <c r="I475" s="4">
        <v>0</v>
      </c>
      <c r="J475" s="4" t="s">
        <v>323</v>
      </c>
      <c r="K475" s="6" t="s">
        <v>324</v>
      </c>
      <c r="L475" s="6" t="s">
        <v>1541</v>
      </c>
      <c r="R475" t="s">
        <v>1542</v>
      </c>
    </row>
    <row r="476" spans="1:18" x14ac:dyDescent="0.2">
      <c r="A476" s="4" t="s">
        <v>1543</v>
      </c>
      <c r="B476" s="4" t="s">
        <v>1544</v>
      </c>
      <c r="C476" s="5" t="s">
        <v>34</v>
      </c>
      <c r="D476" s="5">
        <v>250</v>
      </c>
      <c r="E476" s="5">
        <f>D476</f>
        <v>250</v>
      </c>
      <c r="F476" s="5"/>
      <c r="G476" s="5"/>
      <c r="H476" s="5">
        <v>252.2</v>
      </c>
      <c r="I476" s="4">
        <v>0</v>
      </c>
      <c r="J476" s="4" t="s">
        <v>323</v>
      </c>
      <c r="K476" s="6" t="s">
        <v>324</v>
      </c>
      <c r="L476" s="6" t="s">
        <v>1545</v>
      </c>
      <c r="R476" t="s">
        <v>1546</v>
      </c>
    </row>
    <row r="477" spans="1:18" x14ac:dyDescent="0.2">
      <c r="A477" s="4"/>
      <c r="B477" s="4"/>
      <c r="C477" s="5"/>
      <c r="D477" s="5"/>
      <c r="E477" s="5"/>
      <c r="F477" s="5"/>
      <c r="G477" s="5"/>
      <c r="H477" s="5"/>
      <c r="I477" s="4"/>
      <c r="J477" s="4"/>
      <c r="K477" s="6"/>
      <c r="L477" s="6"/>
    </row>
    <row r="478" spans="1:18" x14ac:dyDescent="0.2">
      <c r="A478" s="4" t="s">
        <v>1547</v>
      </c>
      <c r="B478" s="4" t="s">
        <v>1548</v>
      </c>
      <c r="C478" s="5" t="s">
        <v>19</v>
      </c>
      <c r="D478" s="5">
        <v>400</v>
      </c>
      <c r="E478" s="5"/>
      <c r="F478" s="5">
        <f>$D478</f>
        <v>400</v>
      </c>
      <c r="G478" s="5"/>
      <c r="H478" s="5">
        <v>461.15</v>
      </c>
      <c r="I478" s="4">
        <v>0</v>
      </c>
      <c r="J478" s="4" t="s">
        <v>722</v>
      </c>
      <c r="K478" s="6" t="s">
        <v>723</v>
      </c>
      <c r="L478" s="6" t="s">
        <v>1549</v>
      </c>
      <c r="R478" t="s">
        <v>1550</v>
      </c>
    </row>
    <row r="479" spans="1:18" x14ac:dyDescent="0.2">
      <c r="A479" s="4" t="s">
        <v>1551</v>
      </c>
      <c r="B479" s="4" t="s">
        <v>1552</v>
      </c>
      <c r="C479" s="5" t="s">
        <v>19</v>
      </c>
      <c r="D479" s="5">
        <v>200</v>
      </c>
      <c r="E479" s="5">
        <f>D479</f>
        <v>200</v>
      </c>
      <c r="F479" s="5"/>
      <c r="G479" s="5"/>
      <c r="H479" s="5">
        <v>201.36</v>
      </c>
      <c r="I479" s="4">
        <v>0</v>
      </c>
      <c r="J479" s="4" t="s">
        <v>722</v>
      </c>
      <c r="K479" s="6" t="s">
        <v>723</v>
      </c>
      <c r="L479" s="6" t="s">
        <v>1553</v>
      </c>
      <c r="R479" t="s">
        <v>1554</v>
      </c>
    </row>
    <row r="480" spans="1:18" x14ac:dyDescent="0.2">
      <c r="A480" s="4" t="s">
        <v>1555</v>
      </c>
      <c r="B480" s="4" t="s">
        <v>1552</v>
      </c>
      <c r="C480" s="5" t="s">
        <v>19</v>
      </c>
      <c r="D480" s="5">
        <v>30</v>
      </c>
      <c r="E480" s="5"/>
      <c r="F480" s="5"/>
      <c r="G480" s="5"/>
      <c r="H480" s="5">
        <v>68.099999999999994</v>
      </c>
      <c r="I480" s="4">
        <v>0</v>
      </c>
      <c r="J480" s="4" t="s">
        <v>722</v>
      </c>
      <c r="K480" s="6" t="s">
        <v>723</v>
      </c>
      <c r="L480" s="6" t="s">
        <v>1556</v>
      </c>
      <c r="R480" t="s">
        <v>1557</v>
      </c>
    </row>
    <row r="481" spans="1:18" x14ac:dyDescent="0.2">
      <c r="A481" s="4" t="s">
        <v>1558</v>
      </c>
      <c r="B481" s="4" t="s">
        <v>1552</v>
      </c>
      <c r="C481" s="5" t="s">
        <v>19</v>
      </c>
      <c r="D481" s="5">
        <v>35</v>
      </c>
      <c r="E481" s="5">
        <f>D481</f>
        <v>35</v>
      </c>
      <c r="F481" s="5"/>
      <c r="G481" s="5"/>
      <c r="H481" s="5">
        <v>38.1</v>
      </c>
      <c r="I481" s="4">
        <v>0</v>
      </c>
      <c r="J481" s="4" t="s">
        <v>765</v>
      </c>
      <c r="K481" s="6" t="s">
        <v>42</v>
      </c>
      <c r="L481" s="6" t="s">
        <v>1559</v>
      </c>
      <c r="R481" t="s">
        <v>1560</v>
      </c>
    </row>
    <row r="482" spans="1:18" x14ac:dyDescent="0.2">
      <c r="A482" s="4" t="s">
        <v>1561</v>
      </c>
      <c r="B482" s="4" t="s">
        <v>1562</v>
      </c>
      <c r="C482" s="5" t="s">
        <v>34</v>
      </c>
      <c r="D482" s="5">
        <v>150</v>
      </c>
      <c r="E482" s="5">
        <f>D482</f>
        <v>150</v>
      </c>
      <c r="F482" s="5"/>
      <c r="G482" s="5"/>
      <c r="H482" s="5">
        <v>309.85000000000002</v>
      </c>
      <c r="I482" s="4">
        <v>0</v>
      </c>
      <c r="J482" s="4" t="s">
        <v>323</v>
      </c>
      <c r="K482" s="6" t="s">
        <v>324</v>
      </c>
      <c r="L482" s="6" t="s">
        <v>1563</v>
      </c>
      <c r="R482" t="s">
        <v>1564</v>
      </c>
    </row>
    <row r="483" spans="1:18" x14ac:dyDescent="0.2">
      <c r="A483" s="4" t="s">
        <v>1565</v>
      </c>
      <c r="B483" s="4" t="s">
        <v>1562</v>
      </c>
      <c r="C483" s="5" t="s">
        <v>34</v>
      </c>
      <c r="D483" s="5">
        <v>150</v>
      </c>
      <c r="E483" s="5">
        <f>D483</f>
        <v>150</v>
      </c>
      <c r="F483" s="5"/>
      <c r="G483" s="5"/>
      <c r="H483" s="5">
        <v>159.85</v>
      </c>
      <c r="I483" s="4">
        <v>0</v>
      </c>
      <c r="J483" s="4" t="s">
        <v>323</v>
      </c>
      <c r="K483" s="6" t="s">
        <v>324</v>
      </c>
      <c r="L483" s="6" t="s">
        <v>1566</v>
      </c>
      <c r="R483" t="s">
        <v>1567</v>
      </c>
    </row>
    <row r="484" spans="1:18" x14ac:dyDescent="0.2">
      <c r="A484" s="4" t="s">
        <v>1568</v>
      </c>
      <c r="B484" s="4" t="s">
        <v>1562</v>
      </c>
      <c r="C484" s="5" t="s">
        <v>19</v>
      </c>
      <c r="D484" s="5">
        <v>150</v>
      </c>
      <c r="E484" s="5">
        <f>D484</f>
        <v>150</v>
      </c>
      <c r="F484" s="5"/>
      <c r="G484" s="5"/>
      <c r="H484" s="5">
        <v>150.1</v>
      </c>
      <c r="I484" s="4">
        <v>0</v>
      </c>
      <c r="J484" s="4" t="s">
        <v>722</v>
      </c>
      <c r="K484" s="6" t="s">
        <v>723</v>
      </c>
      <c r="L484" s="6" t="s">
        <v>1569</v>
      </c>
      <c r="R484" t="s">
        <v>1570</v>
      </c>
    </row>
    <row r="485" spans="1:18" x14ac:dyDescent="0.2">
      <c r="A485" s="4" t="s">
        <v>1571</v>
      </c>
      <c r="B485" s="4" t="s">
        <v>1572</v>
      </c>
      <c r="C485" s="5" t="s">
        <v>19</v>
      </c>
      <c r="D485" s="5">
        <v>100</v>
      </c>
      <c r="E485" s="5"/>
      <c r="F485" s="5"/>
      <c r="G485" s="5"/>
      <c r="H485" s="5">
        <v>129.6</v>
      </c>
      <c r="I485" s="4">
        <v>0</v>
      </c>
      <c r="J485" s="4" t="s">
        <v>722</v>
      </c>
      <c r="K485" s="6" t="s">
        <v>723</v>
      </c>
      <c r="L485" s="6" t="s">
        <v>1573</v>
      </c>
      <c r="R485" t="s">
        <v>1574</v>
      </c>
    </row>
    <row r="486" spans="1:18" x14ac:dyDescent="0.2">
      <c r="A486" s="4" t="s">
        <v>1575</v>
      </c>
      <c r="B486" s="4" t="s">
        <v>1576</v>
      </c>
      <c r="C486" s="5" t="s">
        <v>34</v>
      </c>
      <c r="D486" s="5">
        <v>150</v>
      </c>
      <c r="E486" s="5">
        <f>D486</f>
        <v>150</v>
      </c>
      <c r="F486" s="5"/>
      <c r="G486" s="5"/>
      <c r="H486" s="5">
        <v>159.1</v>
      </c>
      <c r="I486" s="4">
        <v>0</v>
      </c>
      <c r="J486" s="4" t="s">
        <v>323</v>
      </c>
      <c r="K486" s="6" t="s">
        <v>324</v>
      </c>
      <c r="L486" s="6" t="s">
        <v>1577</v>
      </c>
      <c r="R486" t="s">
        <v>1578</v>
      </c>
    </row>
    <row r="487" spans="1:18" x14ac:dyDescent="0.2">
      <c r="A487" s="4" t="s">
        <v>1579</v>
      </c>
      <c r="B487" s="4" t="s">
        <v>1580</v>
      </c>
      <c r="C487" s="5" t="s">
        <v>19</v>
      </c>
      <c r="D487" s="5">
        <v>200</v>
      </c>
      <c r="E487" s="5">
        <f>D487</f>
        <v>200</v>
      </c>
      <c r="F487" s="5"/>
      <c r="G487" s="5"/>
      <c r="H487" s="5">
        <v>265.60000000000002</v>
      </c>
      <c r="I487" s="4">
        <v>0</v>
      </c>
      <c r="J487" s="4" t="s">
        <v>765</v>
      </c>
      <c r="K487" s="6" t="s">
        <v>42</v>
      </c>
      <c r="L487" s="6" t="s">
        <v>1581</v>
      </c>
      <c r="R487" t="s">
        <v>1582</v>
      </c>
    </row>
    <row r="488" spans="1:18" x14ac:dyDescent="0.2">
      <c r="A488" s="4" t="s">
        <v>1583</v>
      </c>
      <c r="B488" s="4" t="s">
        <v>1584</v>
      </c>
      <c r="C488" s="5" t="s">
        <v>19</v>
      </c>
      <c r="D488" s="5">
        <v>150</v>
      </c>
      <c r="E488" s="5">
        <f>D488</f>
        <v>150</v>
      </c>
      <c r="F488" s="5"/>
      <c r="G488" s="5"/>
      <c r="H488" s="5">
        <v>181.4</v>
      </c>
      <c r="I488" s="4">
        <v>0</v>
      </c>
      <c r="J488" s="4" t="s">
        <v>765</v>
      </c>
      <c r="K488" s="6" t="s">
        <v>42</v>
      </c>
      <c r="L488" s="6" t="s">
        <v>1585</v>
      </c>
      <c r="R488" t="s">
        <v>1586</v>
      </c>
    </row>
    <row r="489" spans="1:18" x14ac:dyDescent="0.2">
      <c r="A489" s="4"/>
      <c r="B489" s="4"/>
      <c r="C489" s="5"/>
      <c r="D489" s="5"/>
      <c r="E489" s="5"/>
      <c r="F489" s="5"/>
      <c r="G489" s="5"/>
      <c r="H489" s="5"/>
      <c r="I489" s="4"/>
      <c r="J489" s="4"/>
      <c r="K489" s="6"/>
      <c r="L489" s="6"/>
    </row>
    <row r="490" spans="1:18" x14ac:dyDescent="0.2">
      <c r="A490" s="4"/>
      <c r="B490" s="4"/>
      <c r="C490" s="5"/>
      <c r="D490" s="5"/>
      <c r="E490" s="5"/>
      <c r="F490" s="5"/>
      <c r="G490" s="5"/>
      <c r="H490" s="5"/>
      <c r="I490" s="4"/>
      <c r="J490" s="4"/>
      <c r="K490" s="6"/>
      <c r="L490" s="6"/>
    </row>
    <row r="491" spans="1:18" x14ac:dyDescent="0.2">
      <c r="A491" s="4"/>
      <c r="B491" s="4"/>
      <c r="C491" s="5"/>
      <c r="D491" s="5"/>
      <c r="E491" s="5"/>
      <c r="F491" s="5"/>
      <c r="G491" s="5"/>
      <c r="H491" s="5"/>
      <c r="I491" s="4"/>
      <c r="J491" s="4"/>
      <c r="K491" s="6"/>
      <c r="L491" s="6"/>
    </row>
    <row r="493" spans="1:18" x14ac:dyDescent="0.2">
      <c r="A493" s="4" t="s">
        <v>1587</v>
      </c>
      <c r="B493" s="4" t="s">
        <v>1588</v>
      </c>
      <c r="C493" s="5" t="s">
        <v>19</v>
      </c>
      <c r="D493" s="5">
        <v>200</v>
      </c>
      <c r="E493" s="5">
        <f>D493</f>
        <v>200</v>
      </c>
      <c r="F493" s="5"/>
      <c r="G493" s="5"/>
      <c r="H493" s="5">
        <v>803.65</v>
      </c>
      <c r="I493" s="4">
        <v>0</v>
      </c>
      <c r="J493" s="4" t="s">
        <v>765</v>
      </c>
      <c r="K493" s="6" t="s">
        <v>42</v>
      </c>
      <c r="L493" s="6" t="s">
        <v>1589</v>
      </c>
      <c r="R493" t="s">
        <v>1590</v>
      </c>
    </row>
    <row r="494" spans="1:18" x14ac:dyDescent="0.2">
      <c r="A494" s="4" t="s">
        <v>1591</v>
      </c>
      <c r="B494" s="4" t="s">
        <v>1592</v>
      </c>
      <c r="C494" s="5" t="s">
        <v>19</v>
      </c>
      <c r="D494" s="5">
        <v>800</v>
      </c>
      <c r="E494" s="5"/>
      <c r="F494" s="5">
        <f>$D494</f>
        <v>800</v>
      </c>
      <c r="G494" s="5"/>
      <c r="H494" s="5">
        <v>863.15</v>
      </c>
      <c r="I494" s="4">
        <v>0</v>
      </c>
      <c r="J494" s="4" t="s">
        <v>722</v>
      </c>
      <c r="K494" s="6" t="s">
        <v>723</v>
      </c>
      <c r="L494" s="6" t="s">
        <v>1593</v>
      </c>
      <c r="R494" t="s">
        <v>1594</v>
      </c>
    </row>
    <row r="495" spans="1:18" x14ac:dyDescent="0.2">
      <c r="A495" s="4" t="s">
        <v>1595</v>
      </c>
      <c r="B495" s="4" t="s">
        <v>1596</v>
      </c>
      <c r="C495" s="5" t="s">
        <v>19</v>
      </c>
      <c r="D495" s="5">
        <v>100</v>
      </c>
      <c r="E495" s="5">
        <f>D495</f>
        <v>100</v>
      </c>
      <c r="F495" s="5"/>
      <c r="G495" s="5"/>
      <c r="H495" s="5">
        <v>139.15</v>
      </c>
      <c r="I495" s="4">
        <v>0</v>
      </c>
      <c r="J495" s="4" t="s">
        <v>765</v>
      </c>
      <c r="K495" s="6" t="s">
        <v>42</v>
      </c>
      <c r="L495" s="6" t="s">
        <v>1597</v>
      </c>
      <c r="R495" t="s">
        <v>1598</v>
      </c>
    </row>
    <row r="496" spans="1:18" x14ac:dyDescent="0.2">
      <c r="A496" s="4" t="s">
        <v>1599</v>
      </c>
      <c r="B496" s="4" t="s">
        <v>1600</v>
      </c>
      <c r="C496" s="5" t="s">
        <v>19</v>
      </c>
      <c r="D496" s="5">
        <v>230</v>
      </c>
      <c r="E496" s="5">
        <f>D496</f>
        <v>230</v>
      </c>
      <c r="F496" s="5"/>
      <c r="G496" s="5"/>
      <c r="H496" s="5">
        <v>250.9</v>
      </c>
      <c r="I496" s="4">
        <v>0</v>
      </c>
      <c r="J496" s="4" t="s">
        <v>722</v>
      </c>
      <c r="K496" s="6" t="s">
        <v>723</v>
      </c>
      <c r="L496" s="6" t="s">
        <v>1601</v>
      </c>
      <c r="R496" t="s">
        <v>1602</v>
      </c>
    </row>
    <row r="497" spans="1:18" x14ac:dyDescent="0.2">
      <c r="A497" s="4" t="s">
        <v>1603</v>
      </c>
      <c r="B497" s="4" t="s">
        <v>1600</v>
      </c>
      <c r="C497" s="5" t="s">
        <v>19</v>
      </c>
      <c r="D497" s="5">
        <v>20</v>
      </c>
      <c r="E497" s="5">
        <f>D497</f>
        <v>20</v>
      </c>
      <c r="F497" s="5"/>
      <c r="G497" s="5"/>
      <c r="H497" s="5">
        <v>20.9</v>
      </c>
      <c r="I497" s="4">
        <v>0</v>
      </c>
      <c r="J497" s="4" t="s">
        <v>765</v>
      </c>
      <c r="K497" s="6" t="s">
        <v>42</v>
      </c>
      <c r="L497" s="6" t="s">
        <v>1604</v>
      </c>
      <c r="R497" t="s">
        <v>1605</v>
      </c>
    </row>
    <row r="498" spans="1:18" x14ac:dyDescent="0.2">
      <c r="A498" s="4" t="s">
        <v>1606</v>
      </c>
      <c r="B498" s="4" t="s">
        <v>1600</v>
      </c>
      <c r="C498" s="5" t="s">
        <v>19</v>
      </c>
      <c r="D498" s="5">
        <v>100</v>
      </c>
      <c r="E498" s="5"/>
      <c r="F498" s="5">
        <f>$D498</f>
        <v>100</v>
      </c>
      <c r="G498" s="5"/>
      <c r="H498" s="5">
        <v>100</v>
      </c>
      <c r="I498" s="4">
        <v>0</v>
      </c>
      <c r="J498" s="4" t="s">
        <v>722</v>
      </c>
      <c r="K498" s="6" t="s">
        <v>723</v>
      </c>
      <c r="L498" s="6" t="s">
        <v>1607</v>
      </c>
      <c r="R498" t="s">
        <v>1608</v>
      </c>
    </row>
    <row r="499" spans="1:18" x14ac:dyDescent="0.2">
      <c r="A499" s="4" t="s">
        <v>1609</v>
      </c>
      <c r="B499" s="4" t="s">
        <v>1610</v>
      </c>
      <c r="C499" s="5" t="s">
        <v>34</v>
      </c>
      <c r="D499" s="5">
        <v>200</v>
      </c>
      <c r="E499" s="5">
        <f>D499</f>
        <v>200</v>
      </c>
      <c r="F499" s="5"/>
      <c r="G499" s="5"/>
      <c r="H499" s="5">
        <v>200</v>
      </c>
      <c r="I499" s="4">
        <v>0</v>
      </c>
      <c r="J499" s="4" t="s">
        <v>323</v>
      </c>
      <c r="K499" s="6" t="s">
        <v>324</v>
      </c>
      <c r="L499" s="6" t="s">
        <v>1611</v>
      </c>
      <c r="R499" t="s">
        <v>1612</v>
      </c>
    </row>
    <row r="500" spans="1:18" x14ac:dyDescent="0.2">
      <c r="A500" s="4" t="s">
        <v>1613</v>
      </c>
      <c r="B500" s="4" t="s">
        <v>1614</v>
      </c>
      <c r="C500" s="5" t="s">
        <v>19</v>
      </c>
      <c r="D500" s="5">
        <v>250</v>
      </c>
      <c r="E500" s="5">
        <f>D500</f>
        <v>250</v>
      </c>
      <c r="F500" s="5"/>
      <c r="G500" s="5"/>
      <c r="H500" s="5">
        <v>250</v>
      </c>
      <c r="I500" s="4">
        <v>0</v>
      </c>
      <c r="J500" s="4" t="s">
        <v>765</v>
      </c>
      <c r="K500" s="6" t="s">
        <v>42</v>
      </c>
      <c r="L500" s="6" t="s">
        <v>1615</v>
      </c>
      <c r="R500" t="s">
        <v>1616</v>
      </c>
    </row>
    <row r="501" spans="1:18" x14ac:dyDescent="0.2">
      <c r="A501" s="4" t="s">
        <v>1617</v>
      </c>
      <c r="B501" s="4" t="s">
        <v>1618</v>
      </c>
      <c r="C501" s="5" t="s">
        <v>34</v>
      </c>
      <c r="D501" s="5">
        <v>100</v>
      </c>
      <c r="E501" s="5">
        <f>D501</f>
        <v>100</v>
      </c>
      <c r="F501" s="5"/>
      <c r="G501" s="5"/>
      <c r="H501" s="5">
        <v>100</v>
      </c>
      <c r="I501" s="4">
        <v>0</v>
      </c>
      <c r="J501" s="4" t="s">
        <v>323</v>
      </c>
      <c r="K501" s="6" t="s">
        <v>324</v>
      </c>
      <c r="L501" s="6" t="s">
        <v>1619</v>
      </c>
      <c r="R501" t="s">
        <v>1620</v>
      </c>
    </row>
    <row r="502" spans="1:18" x14ac:dyDescent="0.2">
      <c r="A502" s="4" t="s">
        <v>1621</v>
      </c>
      <c r="B502" s="4" t="s">
        <v>1622</v>
      </c>
      <c r="C502" s="5" t="s">
        <v>19</v>
      </c>
      <c r="D502" s="5">
        <v>200</v>
      </c>
      <c r="E502" s="5"/>
      <c r="F502" s="5">
        <f>$D502</f>
        <v>200</v>
      </c>
      <c r="G502" s="5"/>
      <c r="H502" s="5">
        <v>204.35</v>
      </c>
      <c r="I502" s="4">
        <v>0</v>
      </c>
      <c r="J502" s="4" t="s">
        <v>722</v>
      </c>
      <c r="K502" s="6" t="s">
        <v>723</v>
      </c>
      <c r="L502" s="6" t="s">
        <v>1623</v>
      </c>
      <c r="R502" t="s">
        <v>1624</v>
      </c>
    </row>
    <row r="503" spans="1:18" x14ac:dyDescent="0.2">
      <c r="A503" s="4" t="s">
        <v>1625</v>
      </c>
      <c r="B503" s="4" t="s">
        <v>1622</v>
      </c>
      <c r="C503" s="5" t="s">
        <v>19</v>
      </c>
      <c r="D503" s="5">
        <v>30</v>
      </c>
      <c r="E503" s="5"/>
      <c r="F503" s="5"/>
      <c r="G503" s="5"/>
      <c r="H503" s="5">
        <v>46.85</v>
      </c>
      <c r="I503" s="4">
        <v>0</v>
      </c>
      <c r="J503" s="4" t="s">
        <v>722</v>
      </c>
      <c r="K503" s="6" t="s">
        <v>723</v>
      </c>
      <c r="L503" s="6" t="s">
        <v>1626</v>
      </c>
      <c r="R503" t="s">
        <v>1627</v>
      </c>
    </row>
    <row r="504" spans="1:18" x14ac:dyDescent="0.2">
      <c r="A504" s="4" t="s">
        <v>1628</v>
      </c>
      <c r="B504" s="4" t="s">
        <v>1629</v>
      </c>
      <c r="C504" s="5" t="s">
        <v>19</v>
      </c>
      <c r="D504" s="5">
        <v>35</v>
      </c>
      <c r="E504" s="5">
        <f>D504</f>
        <v>35</v>
      </c>
      <c r="F504" s="5"/>
      <c r="G504" s="5"/>
      <c r="H504" s="5">
        <v>55.85</v>
      </c>
      <c r="I504" s="4">
        <v>0</v>
      </c>
      <c r="J504" s="4" t="s">
        <v>722</v>
      </c>
      <c r="K504" s="6" t="s">
        <v>723</v>
      </c>
      <c r="L504" s="6" t="s">
        <v>1630</v>
      </c>
      <c r="R504" t="s">
        <v>1631</v>
      </c>
    </row>
    <row r="505" spans="1:18" x14ac:dyDescent="0.2">
      <c r="A505" s="4" t="s">
        <v>1632</v>
      </c>
      <c r="B505" s="4" t="s">
        <v>1629</v>
      </c>
      <c r="C505" s="5" t="s">
        <v>19</v>
      </c>
      <c r="D505" s="5">
        <v>30</v>
      </c>
      <c r="E505" s="5">
        <f>D505</f>
        <v>30</v>
      </c>
      <c r="F505" s="5"/>
      <c r="G505" s="5"/>
      <c r="H505" s="5">
        <v>45.35</v>
      </c>
      <c r="I505" s="4">
        <v>0</v>
      </c>
      <c r="J505" s="4" t="s">
        <v>765</v>
      </c>
      <c r="K505" s="6" t="s">
        <v>42</v>
      </c>
      <c r="L505" s="6" t="s">
        <v>1633</v>
      </c>
      <c r="R505" t="s">
        <v>1634</v>
      </c>
    </row>
    <row r="506" spans="1:18" x14ac:dyDescent="0.2">
      <c r="A506" s="4"/>
      <c r="B506" s="4"/>
      <c r="C506" s="5"/>
      <c r="D506" s="5"/>
      <c r="E506" s="5"/>
      <c r="F506" s="5"/>
      <c r="G506" s="5"/>
      <c r="H506" s="5"/>
      <c r="I506" s="4"/>
      <c r="J506" s="4"/>
      <c r="K506" s="6"/>
      <c r="L506" s="6"/>
    </row>
    <row r="507" spans="1:18" x14ac:dyDescent="0.2">
      <c r="A507" s="4" t="s">
        <v>1635</v>
      </c>
      <c r="B507" s="4" t="s">
        <v>1636</v>
      </c>
      <c r="C507" s="5" t="s">
        <v>34</v>
      </c>
      <c r="D507" s="5">
        <v>800</v>
      </c>
      <c r="E507" s="5"/>
      <c r="F507" s="5">
        <f>$D507</f>
        <v>800</v>
      </c>
      <c r="G507" s="5"/>
      <c r="H507" s="5">
        <v>800.15</v>
      </c>
      <c r="I507" s="4">
        <v>0</v>
      </c>
      <c r="J507" s="4" t="s">
        <v>323</v>
      </c>
      <c r="K507" s="6" t="s">
        <v>324</v>
      </c>
      <c r="L507" s="6" t="s">
        <v>1637</v>
      </c>
      <c r="R507" t="s">
        <v>1638</v>
      </c>
    </row>
    <row r="508" spans="1:18" x14ac:dyDescent="0.2">
      <c r="A508" s="4" t="s">
        <v>1639</v>
      </c>
      <c r="B508" s="4" t="s">
        <v>1636</v>
      </c>
      <c r="C508" s="5" t="s">
        <v>19</v>
      </c>
      <c r="D508" s="5">
        <v>100</v>
      </c>
      <c r="E508" s="5">
        <f>D508</f>
        <v>100</v>
      </c>
      <c r="F508" s="5"/>
      <c r="G508" s="5"/>
      <c r="H508" s="5">
        <v>101.65</v>
      </c>
      <c r="I508" s="4">
        <v>0</v>
      </c>
      <c r="J508" s="4" t="s">
        <v>722</v>
      </c>
      <c r="K508" s="6" t="s">
        <v>723</v>
      </c>
      <c r="L508" s="6" t="s">
        <v>1640</v>
      </c>
      <c r="R508" t="s">
        <v>1641</v>
      </c>
    </row>
    <row r="509" spans="1:18" x14ac:dyDescent="0.2">
      <c r="A509" s="4" t="s">
        <v>1642</v>
      </c>
      <c r="B509" s="4" t="s">
        <v>1643</v>
      </c>
      <c r="C509" s="5" t="s">
        <v>19</v>
      </c>
      <c r="D509" s="5">
        <v>150</v>
      </c>
      <c r="E509" s="5">
        <f>D509</f>
        <v>150</v>
      </c>
      <c r="F509" s="5"/>
      <c r="G509" s="5"/>
      <c r="H509" s="5">
        <v>150.15</v>
      </c>
      <c r="I509" s="4">
        <v>0</v>
      </c>
      <c r="J509" s="4" t="s">
        <v>722</v>
      </c>
      <c r="K509" s="6" t="s">
        <v>723</v>
      </c>
      <c r="L509" s="6" t="s">
        <v>1644</v>
      </c>
      <c r="R509" t="s">
        <v>1645</v>
      </c>
    </row>
    <row r="510" spans="1:18" x14ac:dyDescent="0.2">
      <c r="A510" s="4" t="s">
        <v>1646</v>
      </c>
      <c r="B510" s="4" t="s">
        <v>1647</v>
      </c>
      <c r="C510" s="5" t="s">
        <v>19</v>
      </c>
      <c r="D510" s="5">
        <v>30</v>
      </c>
      <c r="E510" s="5"/>
      <c r="F510" s="5"/>
      <c r="G510" s="5"/>
      <c r="H510" s="5">
        <v>30.65</v>
      </c>
      <c r="I510" s="4">
        <v>0</v>
      </c>
      <c r="J510" s="4" t="s">
        <v>722</v>
      </c>
      <c r="K510" s="6" t="s">
        <v>723</v>
      </c>
      <c r="L510" s="6" t="s">
        <v>1648</v>
      </c>
      <c r="R510" t="s">
        <v>1649</v>
      </c>
    </row>
    <row r="511" spans="1:18" x14ac:dyDescent="0.2">
      <c r="A511" s="4" t="s">
        <v>1650</v>
      </c>
      <c r="B511" s="4" t="s">
        <v>1651</v>
      </c>
      <c r="C511" s="5" t="s">
        <v>19</v>
      </c>
      <c r="D511" s="5">
        <v>150</v>
      </c>
      <c r="E511" s="5">
        <f>D511</f>
        <v>150</v>
      </c>
      <c r="F511" s="5"/>
      <c r="G511" s="5"/>
      <c r="H511" s="5">
        <v>171.31</v>
      </c>
      <c r="I511" s="4">
        <v>0</v>
      </c>
      <c r="J511" s="4" t="s">
        <v>765</v>
      </c>
      <c r="K511" s="6" t="s">
        <v>42</v>
      </c>
      <c r="L511" s="6" t="s">
        <v>1652</v>
      </c>
      <c r="R511" t="s">
        <v>1653</v>
      </c>
    </row>
    <row r="512" spans="1:18" x14ac:dyDescent="0.2">
      <c r="A512" s="4" t="s">
        <v>1654</v>
      </c>
      <c r="B512" s="4" t="s">
        <v>1655</v>
      </c>
      <c r="C512" s="5" t="s">
        <v>19</v>
      </c>
      <c r="D512" s="5">
        <v>100</v>
      </c>
      <c r="E512" s="5">
        <f>D512</f>
        <v>100</v>
      </c>
      <c r="F512" s="5"/>
      <c r="G512" s="5"/>
      <c r="H512" s="5">
        <v>129.31</v>
      </c>
      <c r="I512" s="4">
        <v>0</v>
      </c>
      <c r="J512" s="4" t="s">
        <v>722</v>
      </c>
      <c r="K512" s="6" t="s">
        <v>723</v>
      </c>
      <c r="L512" s="6" t="s">
        <v>1656</v>
      </c>
      <c r="R512" t="s">
        <v>1657</v>
      </c>
    </row>
    <row r="513" spans="1:18" x14ac:dyDescent="0.2">
      <c r="A513" s="4" t="s">
        <v>1658</v>
      </c>
      <c r="B513" s="4" t="s">
        <v>1659</v>
      </c>
      <c r="C513" s="5" t="s">
        <v>19</v>
      </c>
      <c r="D513" s="5">
        <v>100</v>
      </c>
      <c r="E513" s="5">
        <f>D513</f>
        <v>100</v>
      </c>
      <c r="F513" s="5"/>
      <c r="G513" s="5"/>
      <c r="H513" s="5">
        <v>150.55000000000001</v>
      </c>
      <c r="I513" s="4">
        <v>0</v>
      </c>
      <c r="J513" s="4" t="s">
        <v>722</v>
      </c>
      <c r="K513" s="6" t="s">
        <v>723</v>
      </c>
      <c r="L513" s="6" t="s">
        <v>1640</v>
      </c>
      <c r="R513" t="s">
        <v>1660</v>
      </c>
    </row>
    <row r="514" spans="1:18" x14ac:dyDescent="0.2">
      <c r="A514" s="4" t="s">
        <v>1661</v>
      </c>
      <c r="B514" s="4" t="s">
        <v>1659</v>
      </c>
      <c r="C514" s="5" t="s">
        <v>19</v>
      </c>
      <c r="D514" s="5">
        <v>50</v>
      </c>
      <c r="E514" s="5"/>
      <c r="F514" s="5"/>
      <c r="G514" s="5"/>
      <c r="H514" s="5">
        <v>50.55</v>
      </c>
      <c r="I514" s="4">
        <v>0</v>
      </c>
      <c r="J514" s="4" t="s">
        <v>722</v>
      </c>
      <c r="K514" s="6" t="s">
        <v>723</v>
      </c>
      <c r="L514" s="6" t="s">
        <v>1662</v>
      </c>
      <c r="R514" t="s">
        <v>1663</v>
      </c>
    </row>
    <row r="515" spans="1:18" x14ac:dyDescent="0.2">
      <c r="A515" s="4" t="s">
        <v>1664</v>
      </c>
      <c r="B515" s="4" t="s">
        <v>1665</v>
      </c>
      <c r="C515" s="5" t="s">
        <v>19</v>
      </c>
      <c r="D515" s="5">
        <v>200</v>
      </c>
      <c r="E515" s="5"/>
      <c r="F515" s="5">
        <f>$D515</f>
        <v>200</v>
      </c>
      <c r="G515" s="5"/>
      <c r="H515" s="5">
        <v>230.8</v>
      </c>
      <c r="I515" s="4">
        <v>0</v>
      </c>
      <c r="J515" s="4" t="s">
        <v>722</v>
      </c>
      <c r="K515" s="6" t="s">
        <v>723</v>
      </c>
      <c r="L515" s="6" t="s">
        <v>1666</v>
      </c>
      <c r="R515" t="s">
        <v>1667</v>
      </c>
    </row>
    <row r="516" spans="1:18" x14ac:dyDescent="0.2">
      <c r="A516" s="4" t="s">
        <v>1668</v>
      </c>
      <c r="B516" s="4" t="s">
        <v>1669</v>
      </c>
      <c r="C516" s="5" t="s">
        <v>34</v>
      </c>
      <c r="D516" s="5">
        <v>90</v>
      </c>
      <c r="E516" s="5">
        <f>D516</f>
        <v>90</v>
      </c>
      <c r="F516" s="5"/>
      <c r="G516" s="5"/>
      <c r="H516" s="5">
        <v>100.3</v>
      </c>
      <c r="I516" s="4">
        <v>0</v>
      </c>
      <c r="J516" s="4" t="s">
        <v>323</v>
      </c>
      <c r="K516" s="6" t="s">
        <v>324</v>
      </c>
      <c r="L516" s="6" t="s">
        <v>1670</v>
      </c>
      <c r="R516" t="s">
        <v>1671</v>
      </c>
    </row>
    <row r="517" spans="1:18" x14ac:dyDescent="0.2">
      <c r="A517" s="4" t="s">
        <v>1672</v>
      </c>
      <c r="B517" s="4" t="s">
        <v>1673</v>
      </c>
      <c r="C517" s="5" t="s">
        <v>19</v>
      </c>
      <c r="D517" s="5">
        <v>60</v>
      </c>
      <c r="E517" s="5"/>
      <c r="F517" s="5"/>
      <c r="G517" s="5"/>
      <c r="H517" s="5">
        <v>60.3</v>
      </c>
      <c r="I517" s="4">
        <v>0</v>
      </c>
      <c r="J517" s="4" t="s">
        <v>722</v>
      </c>
      <c r="K517" s="6" t="s">
        <v>723</v>
      </c>
      <c r="L517" s="6" t="s">
        <v>1674</v>
      </c>
      <c r="R517" t="s">
        <v>1675</v>
      </c>
    </row>
    <row r="518" spans="1:18" x14ac:dyDescent="0.2">
      <c r="A518" s="4"/>
      <c r="B518" s="4"/>
      <c r="C518" s="5"/>
      <c r="D518" s="5"/>
      <c r="E518" s="5"/>
      <c r="F518" s="5"/>
      <c r="G518" s="5"/>
      <c r="H518" s="5"/>
      <c r="I518" s="4"/>
      <c r="J518" s="4"/>
      <c r="K518" s="6"/>
      <c r="L518" s="6"/>
    </row>
    <row r="519" spans="1:18" x14ac:dyDescent="0.2">
      <c r="A519" s="4" t="s">
        <v>1676</v>
      </c>
      <c r="B519" s="4" t="s">
        <v>1677</v>
      </c>
      <c r="C519" s="5" t="s">
        <v>34</v>
      </c>
      <c r="D519" s="5">
        <v>100</v>
      </c>
      <c r="E519" s="5">
        <f>D519</f>
        <v>100</v>
      </c>
      <c r="F519" s="5"/>
      <c r="G519" s="5"/>
      <c r="H519" s="5">
        <v>124.8</v>
      </c>
      <c r="I519" s="4">
        <v>0</v>
      </c>
      <c r="J519" s="4" t="s">
        <v>323</v>
      </c>
      <c r="K519" s="6" t="s">
        <v>324</v>
      </c>
      <c r="L519" s="6" t="s">
        <v>1678</v>
      </c>
      <c r="R519" t="s">
        <v>1679</v>
      </c>
    </row>
    <row r="520" spans="1:18" x14ac:dyDescent="0.2">
      <c r="A520" s="4" t="s">
        <v>1680</v>
      </c>
      <c r="B520" s="4" t="s">
        <v>1681</v>
      </c>
      <c r="C520" s="5" t="s">
        <v>19</v>
      </c>
      <c r="D520" s="5">
        <v>70</v>
      </c>
      <c r="E520" s="5">
        <f>D520</f>
        <v>70</v>
      </c>
      <c r="F520" s="5"/>
      <c r="G520" s="5"/>
      <c r="H520" s="5">
        <v>72.8</v>
      </c>
      <c r="I520" s="4">
        <v>0</v>
      </c>
      <c r="J520" s="4" t="s">
        <v>722</v>
      </c>
      <c r="K520" s="6" t="s">
        <v>723</v>
      </c>
      <c r="L520" s="6" t="s">
        <v>1682</v>
      </c>
      <c r="R520" t="s">
        <v>1683</v>
      </c>
    </row>
    <row r="521" spans="1:18" x14ac:dyDescent="0.2">
      <c r="A521" s="4" t="s">
        <v>1684</v>
      </c>
      <c r="B521" s="4" t="s">
        <v>1677</v>
      </c>
      <c r="C521" s="5" t="s">
        <v>19</v>
      </c>
      <c r="D521" s="5">
        <v>100</v>
      </c>
      <c r="E521" s="5">
        <f>D521</f>
        <v>100</v>
      </c>
      <c r="F521" s="5"/>
      <c r="G521" s="5"/>
      <c r="H521" s="5">
        <v>106.8</v>
      </c>
      <c r="I521" s="4">
        <v>0</v>
      </c>
      <c r="J521" s="4" t="s">
        <v>722</v>
      </c>
      <c r="K521" s="6" t="s">
        <v>723</v>
      </c>
      <c r="L521" s="6" t="s">
        <v>1685</v>
      </c>
      <c r="R521" t="s">
        <v>1686</v>
      </c>
    </row>
    <row r="522" spans="1:18" x14ac:dyDescent="0.2">
      <c r="A522" s="4" t="s">
        <v>1687</v>
      </c>
      <c r="B522" s="4" t="s">
        <v>1688</v>
      </c>
      <c r="C522" s="5" t="s">
        <v>19</v>
      </c>
      <c r="D522" s="5">
        <v>100</v>
      </c>
      <c r="E522" s="5"/>
      <c r="F522" s="5"/>
      <c r="G522" s="5"/>
      <c r="H522" s="5">
        <v>158.55000000000001</v>
      </c>
      <c r="I522" s="4">
        <v>0</v>
      </c>
      <c r="J522" s="4" t="s">
        <v>722</v>
      </c>
      <c r="K522" s="6" t="s">
        <v>723</v>
      </c>
      <c r="L522" s="6" t="s">
        <v>1689</v>
      </c>
      <c r="R522" t="s">
        <v>1690</v>
      </c>
    </row>
    <row r="523" spans="1:18" x14ac:dyDescent="0.2">
      <c r="A523" s="4" t="s">
        <v>1691</v>
      </c>
      <c r="B523" s="4" t="s">
        <v>1692</v>
      </c>
      <c r="C523" s="5" t="s">
        <v>19</v>
      </c>
      <c r="D523" s="5">
        <v>100</v>
      </c>
      <c r="E523" s="5">
        <f>D523</f>
        <v>100</v>
      </c>
      <c r="F523" s="5"/>
      <c r="G523" s="5"/>
      <c r="H523" s="5">
        <v>701.86</v>
      </c>
      <c r="I523" s="4">
        <v>0</v>
      </c>
      <c r="J523" s="4" t="s">
        <v>722</v>
      </c>
      <c r="K523" s="6" t="s">
        <v>723</v>
      </c>
      <c r="L523" s="6" t="s">
        <v>1693</v>
      </c>
      <c r="R523" t="s">
        <v>1694</v>
      </c>
    </row>
    <row r="524" spans="1:18" x14ac:dyDescent="0.2">
      <c r="A524" s="4" t="s">
        <v>1695</v>
      </c>
      <c r="B524" s="4" t="s">
        <v>1696</v>
      </c>
      <c r="C524" s="5" t="s">
        <v>34</v>
      </c>
      <c r="D524" s="5">
        <v>800</v>
      </c>
      <c r="E524" s="5"/>
      <c r="F524" s="5">
        <f>$D524</f>
        <v>800</v>
      </c>
      <c r="G524" s="5"/>
      <c r="H524" s="5">
        <v>853.36</v>
      </c>
      <c r="I524" s="4">
        <v>0</v>
      </c>
      <c r="J524" s="4" t="s">
        <v>323</v>
      </c>
      <c r="K524" s="6" t="s">
        <v>324</v>
      </c>
      <c r="L524" s="6" t="s">
        <v>1697</v>
      </c>
      <c r="R524" t="s">
        <v>1698</v>
      </c>
    </row>
    <row r="525" spans="1:18" x14ac:dyDescent="0.2">
      <c r="A525" s="4" t="s">
        <v>1699</v>
      </c>
      <c r="B525" s="4" t="s">
        <v>1700</v>
      </c>
      <c r="C525" s="5" t="s">
        <v>19</v>
      </c>
      <c r="D525" s="5">
        <v>200</v>
      </c>
      <c r="E525" s="5">
        <f>D525</f>
        <v>200</v>
      </c>
      <c r="F525" s="5"/>
      <c r="G525" s="5"/>
      <c r="H525" s="5">
        <v>201.36</v>
      </c>
      <c r="I525" s="4">
        <v>0</v>
      </c>
      <c r="J525" s="4" t="s">
        <v>722</v>
      </c>
      <c r="K525" s="6" t="s">
        <v>723</v>
      </c>
      <c r="L525" s="6" t="s">
        <v>1701</v>
      </c>
      <c r="R525" t="s">
        <v>1702</v>
      </c>
    </row>
    <row r="526" spans="1:18" x14ac:dyDescent="0.2">
      <c r="A526" s="4" t="s">
        <v>1703</v>
      </c>
      <c r="B526" s="4" t="s">
        <v>1704</v>
      </c>
      <c r="C526" s="5" t="s">
        <v>19</v>
      </c>
      <c r="D526" s="5">
        <v>200</v>
      </c>
      <c r="E526" s="5">
        <f>D526</f>
        <v>200</v>
      </c>
      <c r="F526" s="5"/>
      <c r="G526" s="5"/>
      <c r="H526" s="5">
        <v>254.5</v>
      </c>
      <c r="I526" s="4">
        <v>0</v>
      </c>
      <c r="J526" s="4" t="s">
        <v>722</v>
      </c>
      <c r="K526" s="6" t="s">
        <v>723</v>
      </c>
      <c r="L526" s="6" t="s">
        <v>1705</v>
      </c>
      <c r="R526" t="s">
        <v>1706</v>
      </c>
    </row>
    <row r="527" spans="1:18" x14ac:dyDescent="0.2">
      <c r="A527" s="4" t="s">
        <v>1707</v>
      </c>
      <c r="B527" s="4" t="s">
        <v>1708</v>
      </c>
      <c r="C527" s="5" t="s">
        <v>19</v>
      </c>
      <c r="D527" s="5">
        <v>50</v>
      </c>
      <c r="E527" s="5"/>
      <c r="F527" s="5"/>
      <c r="G527" s="5"/>
      <c r="H527" s="5">
        <v>75.5</v>
      </c>
      <c r="I527" s="4">
        <v>0</v>
      </c>
      <c r="J527" s="4" t="s">
        <v>722</v>
      </c>
      <c r="K527" s="6" t="s">
        <v>723</v>
      </c>
      <c r="L527" s="6" t="s">
        <v>1709</v>
      </c>
      <c r="R527" t="s">
        <v>1710</v>
      </c>
    </row>
    <row r="528" spans="1:18" x14ac:dyDescent="0.2">
      <c r="A528" s="4" t="s">
        <v>1711</v>
      </c>
      <c r="B528" s="4" t="s">
        <v>1712</v>
      </c>
      <c r="C528" s="5" t="s">
        <v>19</v>
      </c>
      <c r="D528" s="5">
        <v>200</v>
      </c>
      <c r="E528" s="5">
        <f>D528</f>
        <v>200</v>
      </c>
      <c r="F528" s="5"/>
      <c r="G528" s="5"/>
      <c r="H528" s="5">
        <v>261.75</v>
      </c>
      <c r="I528" s="4">
        <v>0</v>
      </c>
      <c r="J528" s="4" t="s">
        <v>722</v>
      </c>
      <c r="K528" s="6" t="s">
        <v>723</v>
      </c>
      <c r="L528" s="6" t="s">
        <v>1713</v>
      </c>
      <c r="R528" t="s">
        <v>1714</v>
      </c>
    </row>
    <row r="529" spans="1:18" x14ac:dyDescent="0.2">
      <c r="A529" s="4" t="s">
        <v>1715</v>
      </c>
      <c r="B529" s="4" t="s">
        <v>1716</v>
      </c>
      <c r="C529" s="5" t="s">
        <v>19</v>
      </c>
      <c r="D529" s="5">
        <v>300</v>
      </c>
      <c r="E529" s="5"/>
      <c r="F529" s="5">
        <f>$D529</f>
        <v>300</v>
      </c>
      <c r="G529" s="5"/>
      <c r="H529" s="5">
        <v>308.14999999999998</v>
      </c>
      <c r="I529" s="4">
        <v>0</v>
      </c>
      <c r="J529" s="4" t="s">
        <v>722</v>
      </c>
      <c r="K529" s="6" t="s">
        <v>723</v>
      </c>
      <c r="L529" s="6" t="s">
        <v>1717</v>
      </c>
      <c r="R529" t="s">
        <v>1718</v>
      </c>
    </row>
    <row r="530" spans="1:18" x14ac:dyDescent="0.2">
      <c r="A530" s="4" t="s">
        <v>1719</v>
      </c>
      <c r="B530" s="4" t="s">
        <v>1720</v>
      </c>
      <c r="C530" s="5" t="s">
        <v>19</v>
      </c>
      <c r="D530" s="5">
        <v>300</v>
      </c>
      <c r="E530" s="5">
        <f>D530</f>
        <v>300</v>
      </c>
      <c r="F530" s="5"/>
      <c r="G530" s="5"/>
      <c r="H530" s="5">
        <v>463.46</v>
      </c>
      <c r="I530" s="4">
        <v>0</v>
      </c>
      <c r="J530" s="4" t="s">
        <v>722</v>
      </c>
      <c r="K530" s="6" t="s">
        <v>723</v>
      </c>
      <c r="L530" s="6" t="s">
        <v>1721</v>
      </c>
      <c r="R530" t="s">
        <v>1722</v>
      </c>
    </row>
    <row r="531" spans="1:18" x14ac:dyDescent="0.2">
      <c r="A531" s="4"/>
      <c r="B531" s="4"/>
      <c r="C531" s="5"/>
      <c r="D531" s="5"/>
      <c r="E531" s="5"/>
      <c r="F531" s="5"/>
      <c r="G531" s="5"/>
      <c r="H531" s="5"/>
      <c r="I531" s="4"/>
      <c r="J531" s="4"/>
      <c r="K531" s="6"/>
      <c r="L531" s="6"/>
    </row>
    <row r="532" spans="1:18" x14ac:dyDescent="0.2">
      <c r="A532" s="4" t="s">
        <v>1723</v>
      </c>
      <c r="B532" s="4" t="s">
        <v>1724</v>
      </c>
      <c r="C532" s="5" t="s">
        <v>34</v>
      </c>
      <c r="D532" s="5">
        <v>800</v>
      </c>
      <c r="E532" s="5"/>
      <c r="F532" s="5">
        <f>$D532</f>
        <v>800</v>
      </c>
      <c r="G532" s="5"/>
      <c r="H532" s="5">
        <v>936.85</v>
      </c>
      <c r="I532" s="4">
        <v>0</v>
      </c>
      <c r="J532" s="4" t="s">
        <v>323</v>
      </c>
      <c r="K532" s="6" t="s">
        <v>324</v>
      </c>
      <c r="L532" s="6" t="s">
        <v>1725</v>
      </c>
      <c r="R532" t="s">
        <v>1726</v>
      </c>
    </row>
    <row r="533" spans="1:18" x14ac:dyDescent="0.2">
      <c r="A533" s="4" t="s">
        <v>1727</v>
      </c>
      <c r="B533" s="4" t="s">
        <v>1728</v>
      </c>
      <c r="C533" s="5" t="s">
        <v>34</v>
      </c>
      <c r="D533" s="5">
        <v>1000</v>
      </c>
      <c r="E533" s="5">
        <f>$D533</f>
        <v>1000</v>
      </c>
      <c r="F533" s="5"/>
      <c r="G533" s="5"/>
      <c r="H533" s="5">
        <v>1040.5</v>
      </c>
      <c r="I533" s="4">
        <v>0</v>
      </c>
      <c r="J533" s="4" t="s">
        <v>323</v>
      </c>
      <c r="K533" s="6" t="s">
        <v>324</v>
      </c>
      <c r="L533" s="6" t="s">
        <v>1729</v>
      </c>
      <c r="R533" t="s">
        <v>1730</v>
      </c>
    </row>
    <row r="534" spans="1:18" x14ac:dyDescent="0.2">
      <c r="A534" s="4" t="s">
        <v>1731</v>
      </c>
      <c r="B534" s="4" t="s">
        <v>1732</v>
      </c>
      <c r="C534" s="5" t="s">
        <v>19</v>
      </c>
      <c r="D534" s="5">
        <v>95</v>
      </c>
      <c r="E534" s="5">
        <f>D534</f>
        <v>95</v>
      </c>
      <c r="F534" s="5"/>
      <c r="G534" s="5"/>
      <c r="H534" s="5">
        <v>95</v>
      </c>
      <c r="I534" s="4">
        <v>0</v>
      </c>
      <c r="J534" s="4" t="s">
        <v>722</v>
      </c>
      <c r="K534" s="6" t="s">
        <v>723</v>
      </c>
      <c r="L534" s="6" t="s">
        <v>1733</v>
      </c>
      <c r="R534" t="s">
        <v>1734</v>
      </c>
    </row>
    <row r="535" spans="1:18" x14ac:dyDescent="0.2">
      <c r="A535" s="4" t="s">
        <v>1735</v>
      </c>
      <c r="B535" s="4" t="s">
        <v>1736</v>
      </c>
      <c r="C535" s="5" t="s">
        <v>19</v>
      </c>
      <c r="D535" s="5">
        <v>140</v>
      </c>
      <c r="E535" s="5">
        <f>D535</f>
        <v>140</v>
      </c>
      <c r="F535" s="5"/>
      <c r="G535" s="5"/>
      <c r="H535" s="5">
        <v>140</v>
      </c>
      <c r="I535" s="4">
        <v>0</v>
      </c>
      <c r="J535" s="4" t="s">
        <v>722</v>
      </c>
      <c r="K535" s="6" t="s">
        <v>723</v>
      </c>
      <c r="L535" s="6" t="s">
        <v>1737</v>
      </c>
      <c r="R535" t="s">
        <v>1738</v>
      </c>
    </row>
    <row r="536" spans="1:18" x14ac:dyDescent="0.2">
      <c r="A536" s="4" t="s">
        <v>1739</v>
      </c>
      <c r="B536" s="4" t="s">
        <v>1740</v>
      </c>
      <c r="C536" s="5" t="s">
        <v>19</v>
      </c>
      <c r="D536" s="5">
        <v>400</v>
      </c>
      <c r="E536" s="5"/>
      <c r="F536" s="5"/>
      <c r="G536" s="5"/>
      <c r="H536" s="5">
        <v>400</v>
      </c>
      <c r="I536" s="4">
        <v>0</v>
      </c>
      <c r="J536" s="4" t="s">
        <v>722</v>
      </c>
      <c r="K536" s="6" t="s">
        <v>723</v>
      </c>
      <c r="L536" s="6" t="s">
        <v>1741</v>
      </c>
      <c r="R536" t="s">
        <v>1742</v>
      </c>
    </row>
    <row r="537" spans="1:18" x14ac:dyDescent="0.2">
      <c r="A537" s="4" t="s">
        <v>1743</v>
      </c>
      <c r="B537" s="4" t="s">
        <v>1744</v>
      </c>
      <c r="C537" s="5" t="s">
        <v>92</v>
      </c>
      <c r="D537" s="5">
        <v>11</v>
      </c>
      <c r="E537" s="5"/>
      <c r="F537" s="5"/>
      <c r="G537" s="5"/>
      <c r="H537" s="5">
        <v>50</v>
      </c>
      <c r="I537" s="4">
        <v>0</v>
      </c>
      <c r="J537" s="4" t="s">
        <v>93</v>
      </c>
      <c r="K537" s="6" t="s">
        <v>92</v>
      </c>
      <c r="L537" s="6" t="s">
        <v>1745</v>
      </c>
      <c r="R537" t="s">
        <v>1746</v>
      </c>
    </row>
    <row r="538" spans="1:18" x14ac:dyDescent="0.2">
      <c r="A538" s="4" t="s">
        <v>1747</v>
      </c>
      <c r="B538" s="4" t="s">
        <v>1748</v>
      </c>
      <c r="C538" s="5" t="s">
        <v>19</v>
      </c>
      <c r="D538" s="5">
        <v>200</v>
      </c>
      <c r="E538" s="5">
        <f>D538</f>
        <v>200</v>
      </c>
      <c r="F538" s="5"/>
      <c r="G538" s="5"/>
      <c r="H538" s="5">
        <v>203.25</v>
      </c>
      <c r="I538" s="4">
        <v>0</v>
      </c>
      <c r="J538" s="4" t="s">
        <v>722</v>
      </c>
      <c r="K538" s="6" t="s">
        <v>723</v>
      </c>
      <c r="L538" s="6" t="s">
        <v>1749</v>
      </c>
      <c r="R538" t="s">
        <v>1750</v>
      </c>
    </row>
    <row r="539" spans="1:18" x14ac:dyDescent="0.2">
      <c r="A539" s="4" t="s">
        <v>1751</v>
      </c>
      <c r="B539" s="4" t="s">
        <v>1752</v>
      </c>
      <c r="C539" s="5" t="s">
        <v>19</v>
      </c>
      <c r="D539" s="5">
        <v>100</v>
      </c>
      <c r="E539" s="5">
        <f>D539</f>
        <v>100</v>
      </c>
      <c r="F539" s="5"/>
      <c r="G539" s="5"/>
      <c r="H539" s="5">
        <v>186.25</v>
      </c>
      <c r="I539" s="4">
        <v>0</v>
      </c>
      <c r="J539" s="4" t="s">
        <v>722</v>
      </c>
      <c r="K539" s="6" t="s">
        <v>723</v>
      </c>
      <c r="L539" s="6" t="s">
        <v>1753</v>
      </c>
      <c r="R539" t="s">
        <v>1754</v>
      </c>
    </row>
    <row r="540" spans="1:18" x14ac:dyDescent="0.2">
      <c r="A540" s="4"/>
      <c r="B540" s="4"/>
      <c r="C540" s="5"/>
      <c r="D540" s="5"/>
      <c r="E540" s="5"/>
      <c r="F540" s="5"/>
      <c r="G540" s="5"/>
      <c r="H540" s="5"/>
      <c r="I540" s="4"/>
      <c r="J540" s="4"/>
      <c r="K540" s="6"/>
      <c r="L540" s="6"/>
    </row>
    <row r="541" spans="1:18" x14ac:dyDescent="0.2">
      <c r="A541" s="4" t="s">
        <v>1755</v>
      </c>
      <c r="B541" s="4" t="s">
        <v>1756</v>
      </c>
      <c r="C541" s="5" t="s">
        <v>34</v>
      </c>
      <c r="D541" s="5">
        <v>800</v>
      </c>
      <c r="E541" s="5"/>
      <c r="F541" s="5">
        <f>$D541</f>
        <v>800</v>
      </c>
      <c r="G541" s="5"/>
      <c r="H541" s="5">
        <v>800</v>
      </c>
      <c r="I541" s="4">
        <v>0</v>
      </c>
      <c r="J541" s="4" t="s">
        <v>323</v>
      </c>
      <c r="K541" s="6" t="s">
        <v>324</v>
      </c>
      <c r="L541" s="6" t="s">
        <v>1757</v>
      </c>
      <c r="R541" t="s">
        <v>1758</v>
      </c>
    </row>
    <row r="542" spans="1:18" x14ac:dyDescent="0.2">
      <c r="A542" s="4" t="s">
        <v>1759</v>
      </c>
      <c r="B542" s="4" t="s">
        <v>1756</v>
      </c>
      <c r="C542" s="5" t="s">
        <v>19</v>
      </c>
      <c r="D542" s="5">
        <v>600</v>
      </c>
      <c r="E542" s="5">
        <f>D542</f>
        <v>600</v>
      </c>
      <c r="F542" s="5"/>
      <c r="G542" s="5"/>
      <c r="H542" s="5">
        <v>600</v>
      </c>
      <c r="I542" s="4">
        <v>0</v>
      </c>
      <c r="J542" s="4" t="s">
        <v>722</v>
      </c>
      <c r="K542" s="6" t="s">
        <v>723</v>
      </c>
      <c r="L542" s="6" t="s">
        <v>1760</v>
      </c>
      <c r="R542" t="s">
        <v>1761</v>
      </c>
    </row>
    <row r="543" spans="1:18" x14ac:dyDescent="0.2">
      <c r="A543" s="4" t="s">
        <v>1762</v>
      </c>
      <c r="B543" s="4" t="s">
        <v>1763</v>
      </c>
      <c r="C543" s="5" t="s">
        <v>19</v>
      </c>
      <c r="D543" s="5">
        <v>700</v>
      </c>
      <c r="E543" s="5">
        <f>D543</f>
        <v>700</v>
      </c>
      <c r="F543" s="5"/>
      <c r="G543" s="5"/>
      <c r="H543" s="5">
        <v>1037.6199999999999</v>
      </c>
      <c r="I543" s="4">
        <v>0</v>
      </c>
      <c r="J543" s="4" t="s">
        <v>722</v>
      </c>
      <c r="K543" s="6" t="s">
        <v>723</v>
      </c>
      <c r="L543" s="6" t="s">
        <v>1764</v>
      </c>
      <c r="R543" t="s">
        <v>1765</v>
      </c>
    </row>
    <row r="544" spans="1:18" x14ac:dyDescent="0.2">
      <c r="A544" s="4" t="s">
        <v>1766</v>
      </c>
      <c r="B544" s="4" t="s">
        <v>1767</v>
      </c>
      <c r="C544" s="5" t="s">
        <v>92</v>
      </c>
      <c r="D544" s="5">
        <v>29</v>
      </c>
      <c r="E544" s="5"/>
      <c r="F544" s="5"/>
      <c r="G544" s="5"/>
      <c r="H544" s="5">
        <v>611.37</v>
      </c>
      <c r="I544" s="4">
        <v>0</v>
      </c>
      <c r="J544" s="4" t="s">
        <v>93</v>
      </c>
      <c r="K544" s="6" t="s">
        <v>92</v>
      </c>
      <c r="L544" s="6" t="s">
        <v>1768</v>
      </c>
      <c r="R544" t="s">
        <v>1769</v>
      </c>
    </row>
    <row r="545" spans="1:18" x14ac:dyDescent="0.2">
      <c r="A545" s="4"/>
      <c r="B545" s="4"/>
      <c r="C545" s="5"/>
      <c r="D545" s="5"/>
      <c r="E545" s="5"/>
      <c r="F545" s="5"/>
      <c r="G545" s="5"/>
      <c r="H545" s="5"/>
      <c r="I545" s="4"/>
      <c r="J545" s="4"/>
      <c r="K545" s="6"/>
      <c r="L545" s="6"/>
    </row>
    <row r="546" spans="1:18" x14ac:dyDescent="0.2">
      <c r="A546" s="4" t="s">
        <v>1770</v>
      </c>
      <c r="B546" s="4" t="s">
        <v>1771</v>
      </c>
      <c r="C546" s="5" t="s">
        <v>34</v>
      </c>
      <c r="D546" s="5">
        <v>800</v>
      </c>
      <c r="E546" s="5"/>
      <c r="F546" s="5">
        <f>$D546</f>
        <v>800</v>
      </c>
      <c r="G546" s="5"/>
      <c r="H546" s="5">
        <v>837.64</v>
      </c>
      <c r="I546" s="4">
        <v>0</v>
      </c>
      <c r="J546" s="4" t="s">
        <v>323</v>
      </c>
      <c r="K546" s="6" t="s">
        <v>324</v>
      </c>
      <c r="L546" s="6" t="s">
        <v>1772</v>
      </c>
      <c r="R546" t="s">
        <v>1773</v>
      </c>
    </row>
    <row r="547" spans="1:18" x14ac:dyDescent="0.2">
      <c r="A547" s="4" t="s">
        <v>1774</v>
      </c>
      <c r="B547" s="4" t="s">
        <v>1775</v>
      </c>
      <c r="C547" s="5" t="s">
        <v>19</v>
      </c>
      <c r="D547" s="5">
        <v>100</v>
      </c>
      <c r="E547" s="5">
        <f>D547</f>
        <v>100</v>
      </c>
      <c r="F547" s="5"/>
      <c r="G547" s="5"/>
      <c r="H547" s="5">
        <v>100.82</v>
      </c>
      <c r="I547" s="4">
        <v>0</v>
      </c>
      <c r="J547" s="4" t="s">
        <v>722</v>
      </c>
      <c r="K547" s="6" t="s">
        <v>723</v>
      </c>
      <c r="L547" s="6" t="s">
        <v>1776</v>
      </c>
      <c r="R547" t="s">
        <v>1777</v>
      </c>
    </row>
    <row r="548" spans="1:18" x14ac:dyDescent="0.2">
      <c r="A548" s="4" t="s">
        <v>1778</v>
      </c>
      <c r="B548" s="4" t="s">
        <v>1779</v>
      </c>
      <c r="C548" s="5" t="s">
        <v>19</v>
      </c>
      <c r="D548" s="5">
        <v>150</v>
      </c>
      <c r="E548" s="5">
        <f>$D548</f>
        <v>150</v>
      </c>
      <c r="F548" s="5"/>
      <c r="G548" s="5"/>
      <c r="H548" s="5">
        <v>153.82</v>
      </c>
      <c r="I548" s="4">
        <v>0</v>
      </c>
      <c r="J548" s="4" t="s">
        <v>765</v>
      </c>
      <c r="K548" s="6" t="s">
        <v>42</v>
      </c>
      <c r="L548" s="6" t="s">
        <v>1780</v>
      </c>
      <c r="R548" t="s">
        <v>1781</v>
      </c>
    </row>
    <row r="549" spans="1:18" x14ac:dyDescent="0.2">
      <c r="A549" s="4" t="s">
        <v>1782</v>
      </c>
      <c r="B549" s="4" t="s">
        <v>1783</v>
      </c>
      <c r="C549" s="5" t="s">
        <v>19</v>
      </c>
      <c r="D549" s="5">
        <v>150</v>
      </c>
      <c r="E549" s="5">
        <f>D549</f>
        <v>150</v>
      </c>
      <c r="F549" s="5"/>
      <c r="G549" s="5"/>
      <c r="H549" s="5">
        <v>397.1</v>
      </c>
      <c r="I549" s="4">
        <v>0</v>
      </c>
      <c r="J549" s="4" t="s">
        <v>722</v>
      </c>
      <c r="K549" s="6" t="s">
        <v>723</v>
      </c>
      <c r="L549" s="6" t="s">
        <v>1784</v>
      </c>
      <c r="R549" t="s">
        <v>1785</v>
      </c>
    </row>
    <row r="550" spans="1:18" x14ac:dyDescent="0.2">
      <c r="A550" s="4" t="s">
        <v>1786</v>
      </c>
      <c r="B550" s="4" t="s">
        <v>1787</v>
      </c>
      <c r="C550" s="5" t="s">
        <v>19</v>
      </c>
      <c r="D550" s="5">
        <v>300</v>
      </c>
      <c r="E550" s="5">
        <f>D550</f>
        <v>300</v>
      </c>
      <c r="F550" s="5"/>
      <c r="G550" s="5"/>
      <c r="H550" s="5">
        <v>300.35000000000002</v>
      </c>
      <c r="I550" s="4">
        <v>0</v>
      </c>
      <c r="J550" s="4" t="s">
        <v>722</v>
      </c>
      <c r="K550" s="6" t="s">
        <v>723</v>
      </c>
      <c r="L550" s="6" t="s">
        <v>1788</v>
      </c>
      <c r="R550" t="s">
        <v>1789</v>
      </c>
    </row>
    <row r="551" spans="1:18" x14ac:dyDescent="0.2">
      <c r="A551" s="4" t="s">
        <v>1790</v>
      </c>
      <c r="B551" s="4" t="s">
        <v>1791</v>
      </c>
      <c r="C551" s="5" t="s">
        <v>19</v>
      </c>
      <c r="D551" s="5">
        <v>105</v>
      </c>
      <c r="E551" s="5"/>
      <c r="F551" s="5"/>
      <c r="G551" s="5"/>
      <c r="H551" s="5">
        <v>110.35</v>
      </c>
      <c r="I551" s="4">
        <v>0</v>
      </c>
      <c r="J551" s="4" t="s">
        <v>765</v>
      </c>
      <c r="K551" s="6" t="s">
        <v>42</v>
      </c>
      <c r="L551" s="6" t="s">
        <v>1792</v>
      </c>
      <c r="R551" t="s">
        <v>1793</v>
      </c>
    </row>
    <row r="552" spans="1:18" x14ac:dyDescent="0.2">
      <c r="A552" s="4" t="s">
        <v>1794</v>
      </c>
      <c r="B552" s="4" t="s">
        <v>1795</v>
      </c>
      <c r="C552" s="5" t="s">
        <v>19</v>
      </c>
      <c r="D552" s="5">
        <v>500</v>
      </c>
      <c r="E552" s="5"/>
      <c r="F552" s="5"/>
      <c r="G552" s="5"/>
      <c r="H552" s="5">
        <v>520.85</v>
      </c>
      <c r="I552" s="4">
        <v>0</v>
      </c>
      <c r="J552" s="4" t="s">
        <v>765</v>
      </c>
      <c r="K552" s="6" t="s">
        <v>42</v>
      </c>
      <c r="L552" s="6" t="s">
        <v>1796</v>
      </c>
      <c r="R552" t="s">
        <v>1797</v>
      </c>
    </row>
    <row r="553" spans="1:18" x14ac:dyDescent="0.2">
      <c r="A553" s="4" t="s">
        <v>1798</v>
      </c>
      <c r="B553" s="4" t="s">
        <v>1795</v>
      </c>
      <c r="C553" s="5" t="s">
        <v>19</v>
      </c>
      <c r="D553" s="5">
        <v>60</v>
      </c>
      <c r="E553" s="5"/>
      <c r="F553" s="5"/>
      <c r="G553" s="5"/>
      <c r="H553" s="5">
        <v>102.48</v>
      </c>
      <c r="I553" s="4">
        <v>0</v>
      </c>
      <c r="J553" s="4" t="s">
        <v>722</v>
      </c>
      <c r="K553" s="6" t="s">
        <v>723</v>
      </c>
      <c r="L553" s="6" t="s">
        <v>1799</v>
      </c>
      <c r="R553" t="s">
        <v>1800</v>
      </c>
    </row>
    <row r="554" spans="1:18" x14ac:dyDescent="0.2">
      <c r="A554" s="4" t="s">
        <v>1801</v>
      </c>
      <c r="B554" s="4" t="s">
        <v>1795</v>
      </c>
      <c r="C554" s="5" t="s">
        <v>19</v>
      </c>
      <c r="D554" s="5">
        <v>300</v>
      </c>
      <c r="E554" s="5"/>
      <c r="F554" s="5">
        <f>$D554</f>
        <v>300</v>
      </c>
      <c r="G554" s="5"/>
      <c r="H554" s="5">
        <v>2411.17</v>
      </c>
      <c r="I554" s="4">
        <v>0</v>
      </c>
      <c r="J554" s="4" t="s">
        <v>722</v>
      </c>
      <c r="K554" s="6" t="s">
        <v>723</v>
      </c>
      <c r="L554" s="6" t="s">
        <v>1802</v>
      </c>
      <c r="R554" t="s">
        <v>1803</v>
      </c>
    </row>
    <row r="555" spans="1:18" x14ac:dyDescent="0.2">
      <c r="A555" s="4"/>
      <c r="B555" s="4"/>
      <c r="C555" s="5"/>
      <c r="D555" s="5"/>
      <c r="E555" s="5"/>
      <c r="F555" s="5"/>
      <c r="G555" s="5"/>
      <c r="H555" s="5"/>
      <c r="I555" s="4"/>
      <c r="J555" s="4"/>
      <c r="K555" s="6"/>
      <c r="L555" s="6"/>
    </row>
    <row r="556" spans="1:18" x14ac:dyDescent="0.2">
      <c r="A556" s="4" t="s">
        <v>1804</v>
      </c>
      <c r="B556" s="4" t="s">
        <v>1805</v>
      </c>
      <c r="C556" s="5" t="s">
        <v>19</v>
      </c>
      <c r="D556" s="5">
        <v>1900</v>
      </c>
      <c r="E556" s="5">
        <f>D556</f>
        <v>1900</v>
      </c>
      <c r="F556" s="5"/>
      <c r="G556" s="5"/>
      <c r="H556" s="5">
        <v>2364.92</v>
      </c>
      <c r="I556" s="4">
        <v>0</v>
      </c>
      <c r="J556" s="4" t="s">
        <v>722</v>
      </c>
      <c r="K556" s="6" t="s">
        <v>723</v>
      </c>
      <c r="L556" s="6" t="s">
        <v>1806</v>
      </c>
      <c r="R556" t="s">
        <v>1807</v>
      </c>
    </row>
    <row r="557" spans="1:18" x14ac:dyDescent="0.2">
      <c r="A557" s="4" t="s">
        <v>1808</v>
      </c>
      <c r="B557" s="4" t="s">
        <v>1809</v>
      </c>
      <c r="C557" s="5" t="s">
        <v>34</v>
      </c>
      <c r="D557" s="5">
        <v>800</v>
      </c>
      <c r="E557" s="5"/>
      <c r="F557" s="5">
        <f>$D557</f>
        <v>800</v>
      </c>
      <c r="G557" s="5"/>
      <c r="H557" s="5">
        <v>924.81</v>
      </c>
      <c r="I557" s="4">
        <v>0</v>
      </c>
      <c r="J557" s="4" t="s">
        <v>323</v>
      </c>
      <c r="K557" s="6" t="s">
        <v>324</v>
      </c>
      <c r="L557" s="6" t="s">
        <v>1810</v>
      </c>
      <c r="R557" t="s">
        <v>1811</v>
      </c>
    </row>
    <row r="558" spans="1:18" x14ac:dyDescent="0.2">
      <c r="A558" s="4" t="s">
        <v>1812</v>
      </c>
      <c r="B558" s="4" t="s">
        <v>1813</v>
      </c>
      <c r="C558" s="5" t="s">
        <v>19</v>
      </c>
      <c r="D558" s="5">
        <v>200</v>
      </c>
      <c r="E558" s="5">
        <f>D558</f>
        <v>200</v>
      </c>
      <c r="F558" s="5"/>
      <c r="G558" s="5"/>
      <c r="H558" s="5">
        <v>200.81</v>
      </c>
      <c r="I558" s="4">
        <v>0</v>
      </c>
      <c r="J558" s="4" t="s">
        <v>722</v>
      </c>
      <c r="K558" s="6" t="s">
        <v>723</v>
      </c>
      <c r="L558" s="6" t="s">
        <v>1814</v>
      </c>
      <c r="R558" t="s">
        <v>1815</v>
      </c>
    </row>
    <row r="559" spans="1:18" x14ac:dyDescent="0.2">
      <c r="A559" s="4" t="s">
        <v>1816</v>
      </c>
      <c r="B559" s="4" t="s">
        <v>1817</v>
      </c>
      <c r="C559" s="5" t="s">
        <v>34</v>
      </c>
      <c r="D559" s="5">
        <v>1000</v>
      </c>
      <c r="E559" s="5">
        <f>$D559</f>
        <v>1000</v>
      </c>
      <c r="F559" s="5"/>
      <c r="G559" s="5"/>
      <c r="H559" s="5">
        <v>1001.46</v>
      </c>
      <c r="I559" s="4">
        <v>0</v>
      </c>
      <c r="J559" s="4" t="s">
        <v>323</v>
      </c>
      <c r="K559" s="6" t="s">
        <v>324</v>
      </c>
      <c r="L559" s="6" t="s">
        <v>1818</v>
      </c>
      <c r="R559" t="s">
        <v>1819</v>
      </c>
    </row>
    <row r="560" spans="1:18" x14ac:dyDescent="0.2">
      <c r="A560" s="4" t="s">
        <v>1820</v>
      </c>
      <c r="B560" s="4" t="s">
        <v>1821</v>
      </c>
      <c r="C560" s="5" t="s">
        <v>34</v>
      </c>
      <c r="D560" s="5">
        <v>200</v>
      </c>
      <c r="E560" s="5">
        <f>$D560</f>
        <v>200</v>
      </c>
      <c r="F560" s="5"/>
      <c r="G560" s="5"/>
      <c r="H560" s="5">
        <v>227</v>
      </c>
      <c r="I560" s="4">
        <v>0</v>
      </c>
      <c r="J560" s="4" t="s">
        <v>323</v>
      </c>
      <c r="K560" s="6" t="s">
        <v>324</v>
      </c>
      <c r="L560" s="6" t="s">
        <v>1822</v>
      </c>
      <c r="R560" t="s">
        <v>1823</v>
      </c>
    </row>
    <row r="561" spans="1:18" x14ac:dyDescent="0.2">
      <c r="A561" s="4" t="s">
        <v>1824</v>
      </c>
      <c r="B561" s="4" t="s">
        <v>1825</v>
      </c>
      <c r="C561" s="5" t="s">
        <v>19</v>
      </c>
      <c r="D561" s="5">
        <v>90</v>
      </c>
      <c r="E561" s="5"/>
      <c r="F561" s="5"/>
      <c r="G561" s="5"/>
      <c r="H561" s="5">
        <v>90</v>
      </c>
      <c r="I561" s="4">
        <v>0</v>
      </c>
      <c r="J561" s="4" t="s">
        <v>722</v>
      </c>
      <c r="K561" s="6" t="s">
        <v>723</v>
      </c>
      <c r="L561" s="6" t="s">
        <v>1826</v>
      </c>
      <c r="R561" t="s">
        <v>1827</v>
      </c>
    </row>
    <row r="562" spans="1:18" x14ac:dyDescent="0.2">
      <c r="A562" s="4" t="s">
        <v>1828</v>
      </c>
      <c r="B562" s="4" t="s">
        <v>1829</v>
      </c>
      <c r="C562" s="5" t="s">
        <v>92</v>
      </c>
      <c r="D562" s="5">
        <v>30</v>
      </c>
      <c r="E562" s="5"/>
      <c r="F562" s="5"/>
      <c r="G562" s="5"/>
      <c r="H562" s="5">
        <v>55</v>
      </c>
      <c r="I562" s="4">
        <v>0</v>
      </c>
      <c r="J562" s="4" t="s">
        <v>93</v>
      </c>
      <c r="K562" s="6" t="s">
        <v>92</v>
      </c>
      <c r="L562" s="6" t="s">
        <v>1830</v>
      </c>
      <c r="R562" t="s">
        <v>1831</v>
      </c>
    </row>
    <row r="563" spans="1:18" x14ac:dyDescent="0.2">
      <c r="A563" s="4" t="s">
        <v>1832</v>
      </c>
      <c r="B563" s="4" t="s">
        <v>1833</v>
      </c>
      <c r="C563" s="5" t="s">
        <v>19</v>
      </c>
      <c r="D563" s="5">
        <v>150</v>
      </c>
      <c r="E563" s="5">
        <f>D563</f>
        <v>150</v>
      </c>
      <c r="F563" s="5"/>
      <c r="G563" s="5"/>
      <c r="H563" s="5">
        <v>150</v>
      </c>
      <c r="I563" s="4">
        <v>0</v>
      </c>
      <c r="J563" s="4" t="s">
        <v>722</v>
      </c>
      <c r="K563" s="6" t="s">
        <v>723</v>
      </c>
      <c r="L563" s="6" t="s">
        <v>1834</v>
      </c>
      <c r="R563" t="s">
        <v>1835</v>
      </c>
    </row>
    <row r="564" spans="1:18" x14ac:dyDescent="0.2">
      <c r="A564" s="4" t="s">
        <v>1836</v>
      </c>
      <c r="B564" s="4" t="s">
        <v>1837</v>
      </c>
      <c r="C564" s="5" t="s">
        <v>19</v>
      </c>
      <c r="D564" s="5">
        <v>100</v>
      </c>
      <c r="E564" s="5">
        <f>D564</f>
        <v>100</v>
      </c>
      <c r="F564" s="5"/>
      <c r="G564" s="5"/>
      <c r="H564" s="5">
        <v>104.2</v>
      </c>
      <c r="I564" s="4">
        <v>0</v>
      </c>
      <c r="J564" s="4" t="s">
        <v>722</v>
      </c>
      <c r="K564" s="6" t="s">
        <v>723</v>
      </c>
      <c r="L564" s="6" t="s">
        <v>1838</v>
      </c>
      <c r="R564" t="s">
        <v>1839</v>
      </c>
    </row>
    <row r="565" spans="1:18" x14ac:dyDescent="0.2">
      <c r="A565" s="4"/>
      <c r="B565" s="4"/>
      <c r="C565" s="5"/>
      <c r="D565" s="5"/>
      <c r="E565" s="5"/>
      <c r="F565" s="5"/>
      <c r="G565" s="5"/>
      <c r="H565" s="5"/>
      <c r="I565" s="4"/>
      <c r="J565" s="4"/>
      <c r="K565" s="6"/>
      <c r="L565" s="6"/>
    </row>
    <row r="566" spans="1:18" x14ac:dyDescent="0.2">
      <c r="A566" s="4" t="s">
        <v>1840</v>
      </c>
      <c r="B566" s="4" t="s">
        <v>1841</v>
      </c>
      <c r="C566" s="5" t="s">
        <v>19</v>
      </c>
      <c r="D566" s="5">
        <v>1500</v>
      </c>
      <c r="E566" s="5">
        <f>D566</f>
        <v>1500</v>
      </c>
      <c r="F566" s="5"/>
      <c r="G566" s="5"/>
      <c r="H566" s="5">
        <v>1916.96</v>
      </c>
      <c r="I566" s="4">
        <v>0</v>
      </c>
      <c r="J566" s="4" t="s">
        <v>722</v>
      </c>
      <c r="K566" s="6" t="s">
        <v>723</v>
      </c>
      <c r="L566" s="6" t="s">
        <v>1842</v>
      </c>
      <c r="R566" t="s">
        <v>1843</v>
      </c>
    </row>
    <row r="567" spans="1:18" x14ac:dyDescent="0.2">
      <c r="A567" s="4" t="s">
        <v>1844</v>
      </c>
      <c r="B567" s="4" t="s">
        <v>1845</v>
      </c>
      <c r="C567" s="5" t="s">
        <v>34</v>
      </c>
      <c r="D567" s="5">
        <v>800</v>
      </c>
      <c r="E567" s="5"/>
      <c r="F567" s="5">
        <f>$D567</f>
        <v>800</v>
      </c>
      <c r="G567" s="5"/>
      <c r="H567" s="5">
        <v>839.9</v>
      </c>
      <c r="I567" s="4">
        <v>0</v>
      </c>
      <c r="J567" s="4" t="s">
        <v>323</v>
      </c>
      <c r="K567" s="6" t="s">
        <v>324</v>
      </c>
      <c r="L567" s="6" t="s">
        <v>1846</v>
      </c>
      <c r="R567" t="s">
        <v>1847</v>
      </c>
    </row>
    <row r="568" spans="1:18" x14ac:dyDescent="0.2">
      <c r="A568" s="4" t="s">
        <v>1848</v>
      </c>
      <c r="B568" s="4" t="s">
        <v>1849</v>
      </c>
      <c r="C568" s="5" t="s">
        <v>19</v>
      </c>
      <c r="D568" s="5">
        <v>300</v>
      </c>
      <c r="E568" s="5">
        <f>D568</f>
        <v>300</v>
      </c>
      <c r="F568" s="5"/>
      <c r="G568" s="5"/>
      <c r="H568" s="5">
        <v>314.26</v>
      </c>
      <c r="I568" s="4">
        <v>0</v>
      </c>
      <c r="J568" s="4" t="s">
        <v>722</v>
      </c>
      <c r="K568" s="6" t="s">
        <v>723</v>
      </c>
      <c r="L568" s="6" t="s">
        <v>1850</v>
      </c>
      <c r="R568" t="s">
        <v>1851</v>
      </c>
    </row>
    <row r="569" spans="1:18" x14ac:dyDescent="0.2">
      <c r="A569" s="4" t="s">
        <v>1852</v>
      </c>
      <c r="B569" s="4" t="s">
        <v>1853</v>
      </c>
      <c r="C569" s="5" t="s">
        <v>19</v>
      </c>
      <c r="D569" s="5">
        <v>300</v>
      </c>
      <c r="E569" s="5">
        <f>D569</f>
        <v>300</v>
      </c>
      <c r="F569" s="5"/>
      <c r="G569" s="5"/>
      <c r="H569" s="5">
        <v>317.76</v>
      </c>
      <c r="I569" s="4">
        <v>0</v>
      </c>
      <c r="J569" s="4" t="s">
        <v>722</v>
      </c>
      <c r="K569" s="6" t="s">
        <v>723</v>
      </c>
      <c r="L569" s="6" t="s">
        <v>1854</v>
      </c>
      <c r="R569" t="s">
        <v>1855</v>
      </c>
    </row>
    <row r="570" spans="1:18" x14ac:dyDescent="0.2">
      <c r="A570" s="4" t="s">
        <v>1856</v>
      </c>
      <c r="B570" s="4" t="s">
        <v>1857</v>
      </c>
      <c r="C570" s="5" t="s">
        <v>19</v>
      </c>
      <c r="D570" s="5">
        <v>200</v>
      </c>
      <c r="E570" s="5">
        <f>D570</f>
        <v>200</v>
      </c>
      <c r="F570" s="5"/>
      <c r="G570" s="5"/>
      <c r="H570" s="5">
        <v>201.76</v>
      </c>
      <c r="I570" s="4">
        <v>0</v>
      </c>
      <c r="J570" s="4" t="s">
        <v>722</v>
      </c>
      <c r="K570" s="6" t="s">
        <v>723</v>
      </c>
      <c r="L570" s="6" t="s">
        <v>1858</v>
      </c>
      <c r="R570" t="s">
        <v>1859</v>
      </c>
    </row>
    <row r="571" spans="1:18" x14ac:dyDescent="0.2">
      <c r="A571" s="4" t="s">
        <v>1860</v>
      </c>
      <c r="B571" s="4" t="s">
        <v>1861</v>
      </c>
      <c r="C571" s="5" t="s">
        <v>19</v>
      </c>
      <c r="D571" s="5">
        <v>1100</v>
      </c>
      <c r="E571" s="5"/>
      <c r="F571" s="5"/>
      <c r="G571" s="5"/>
      <c r="H571" s="5">
        <v>1233.76</v>
      </c>
      <c r="I571" s="4">
        <v>0</v>
      </c>
      <c r="J571" s="4" t="s">
        <v>765</v>
      </c>
      <c r="K571" s="6" t="s">
        <v>42</v>
      </c>
      <c r="L571" s="6" t="s">
        <v>1862</v>
      </c>
      <c r="R571" t="s">
        <v>1863</v>
      </c>
    </row>
    <row r="572" spans="1:18" x14ac:dyDescent="0.2">
      <c r="A572" s="4" t="s">
        <v>1864</v>
      </c>
      <c r="B572" s="4" t="s">
        <v>1861</v>
      </c>
      <c r="C572" s="5" t="s">
        <v>19</v>
      </c>
      <c r="D572" s="5">
        <v>150</v>
      </c>
      <c r="E572" s="5">
        <f>D572</f>
        <v>150</v>
      </c>
      <c r="F572" s="5"/>
      <c r="G572" s="5"/>
      <c r="H572" s="5">
        <v>150.44</v>
      </c>
      <c r="I572" s="4">
        <v>0</v>
      </c>
      <c r="J572" s="4" t="s">
        <v>722</v>
      </c>
      <c r="K572" s="6" t="s">
        <v>723</v>
      </c>
      <c r="L572" s="6" t="s">
        <v>1865</v>
      </c>
      <c r="R572" t="s">
        <v>1866</v>
      </c>
    </row>
    <row r="573" spans="1:18" x14ac:dyDescent="0.2">
      <c r="A573" s="4" t="s">
        <v>1867</v>
      </c>
      <c r="B573" s="4" t="s">
        <v>1868</v>
      </c>
      <c r="C573" s="5" t="s">
        <v>19</v>
      </c>
      <c r="D573" s="5">
        <v>120</v>
      </c>
      <c r="E573" s="5">
        <f>D573</f>
        <v>120</v>
      </c>
      <c r="F573" s="5"/>
      <c r="G573" s="5"/>
      <c r="H573" s="5">
        <v>137.4</v>
      </c>
      <c r="I573" s="4">
        <v>0</v>
      </c>
      <c r="J573" s="4" t="s">
        <v>722</v>
      </c>
      <c r="K573" s="6" t="s">
        <v>723</v>
      </c>
      <c r="L573" s="6" t="s">
        <v>1869</v>
      </c>
      <c r="R573" t="s">
        <v>1870</v>
      </c>
    </row>
    <row r="574" spans="1:18" x14ac:dyDescent="0.2">
      <c r="A574" s="4" t="s">
        <v>1871</v>
      </c>
      <c r="B574" s="4" t="s">
        <v>1868</v>
      </c>
      <c r="C574" s="5" t="s">
        <v>19</v>
      </c>
      <c r="D574" s="5">
        <v>200</v>
      </c>
      <c r="E574" s="5">
        <f>D574</f>
        <v>200</v>
      </c>
      <c r="F574" s="5"/>
      <c r="G574" s="5"/>
      <c r="H574" s="5">
        <v>202.9</v>
      </c>
      <c r="I574" s="4">
        <v>0</v>
      </c>
      <c r="J574" s="4" t="s">
        <v>722</v>
      </c>
      <c r="K574" s="6" t="s">
        <v>723</v>
      </c>
      <c r="L574" s="6" t="s">
        <v>1872</v>
      </c>
      <c r="R574" t="s">
        <v>1873</v>
      </c>
    </row>
    <row r="575" spans="1:18" x14ac:dyDescent="0.2">
      <c r="A575" s="4" t="s">
        <v>1874</v>
      </c>
      <c r="B575" s="4" t="s">
        <v>1875</v>
      </c>
      <c r="C575" s="5" t="s">
        <v>19</v>
      </c>
      <c r="D575" s="5">
        <v>200</v>
      </c>
      <c r="E575" s="5">
        <f>D575</f>
        <v>200</v>
      </c>
      <c r="F575" s="5"/>
      <c r="G575" s="5"/>
      <c r="H575" s="5">
        <v>213.48</v>
      </c>
      <c r="I575" s="4">
        <v>0</v>
      </c>
      <c r="J575" s="4" t="s">
        <v>722</v>
      </c>
      <c r="K575" s="6" t="s">
        <v>723</v>
      </c>
      <c r="L575" s="6" t="s">
        <v>1876</v>
      </c>
      <c r="R575" t="s">
        <v>1877</v>
      </c>
    </row>
    <row r="576" spans="1:18" x14ac:dyDescent="0.2">
      <c r="A576" s="4"/>
      <c r="B576" s="4"/>
      <c r="C576" s="5"/>
      <c r="D576" s="5"/>
      <c r="E576" s="5"/>
      <c r="F576" s="5"/>
      <c r="G576" s="5"/>
      <c r="H576" s="5"/>
      <c r="I576" s="4"/>
      <c r="J576" s="4"/>
      <c r="K576" s="6"/>
      <c r="L576" s="6"/>
    </row>
    <row r="577" spans="1:18" x14ac:dyDescent="0.2">
      <c r="A577" s="4" t="s">
        <v>1878</v>
      </c>
      <c r="B577" s="4" t="s">
        <v>1879</v>
      </c>
      <c r="C577" s="5" t="s">
        <v>34</v>
      </c>
      <c r="D577" s="5">
        <v>800</v>
      </c>
      <c r="E577" s="5"/>
      <c r="F577" s="5">
        <f>$D577</f>
        <v>800</v>
      </c>
      <c r="G577" s="5"/>
      <c r="H577" s="5">
        <v>800.62</v>
      </c>
      <c r="I577" s="4">
        <v>0</v>
      </c>
      <c r="J577" s="4" t="s">
        <v>323</v>
      </c>
      <c r="K577" s="6" t="s">
        <v>324</v>
      </c>
      <c r="L577" s="6" t="s">
        <v>1880</v>
      </c>
      <c r="R577" t="s">
        <v>1881</v>
      </c>
    </row>
    <row r="578" spans="1:18" x14ac:dyDescent="0.2">
      <c r="A578" s="4" t="s">
        <v>1882</v>
      </c>
      <c r="B578" s="4" t="s">
        <v>1883</v>
      </c>
      <c r="C578" s="5" t="s">
        <v>19</v>
      </c>
      <c r="D578" s="5">
        <v>200</v>
      </c>
      <c r="E578" s="5">
        <f>D578</f>
        <v>200</v>
      </c>
      <c r="F578" s="5"/>
      <c r="G578" s="5"/>
      <c r="H578" s="5">
        <v>200</v>
      </c>
      <c r="I578" s="4">
        <v>0</v>
      </c>
      <c r="J578" s="4" t="s">
        <v>722</v>
      </c>
      <c r="K578" s="6" t="s">
        <v>723</v>
      </c>
      <c r="L578" s="6" t="s">
        <v>1884</v>
      </c>
      <c r="R578" t="s">
        <v>1885</v>
      </c>
    </row>
    <row r="579" spans="1:18" x14ac:dyDescent="0.2">
      <c r="A579" s="4" t="s">
        <v>1886</v>
      </c>
      <c r="B579" s="4" t="s">
        <v>1887</v>
      </c>
      <c r="C579" s="5" t="s">
        <v>19</v>
      </c>
      <c r="D579" s="5">
        <v>200</v>
      </c>
      <c r="E579" s="5">
        <f>D579</f>
        <v>200</v>
      </c>
      <c r="F579" s="5"/>
      <c r="G579" s="5"/>
      <c r="H579" s="5">
        <v>204.25</v>
      </c>
      <c r="I579" s="4">
        <v>0</v>
      </c>
      <c r="J579" s="4" t="s">
        <v>722</v>
      </c>
      <c r="K579" s="6" t="s">
        <v>723</v>
      </c>
      <c r="L579" s="6" t="s">
        <v>1888</v>
      </c>
      <c r="R579" t="s">
        <v>1889</v>
      </c>
    </row>
    <row r="580" spans="1:18" x14ac:dyDescent="0.2">
      <c r="A580" s="4" t="s">
        <v>1890</v>
      </c>
      <c r="B580" s="4" t="s">
        <v>1891</v>
      </c>
      <c r="C580" s="5" t="s">
        <v>19</v>
      </c>
      <c r="D580" s="5">
        <v>140</v>
      </c>
      <c r="E580" s="5">
        <f>D580</f>
        <v>140</v>
      </c>
      <c r="F580" s="5"/>
      <c r="G580" s="5"/>
      <c r="H580" s="5">
        <v>140.75</v>
      </c>
      <c r="I580" s="4">
        <v>0</v>
      </c>
      <c r="J580" s="4" t="s">
        <v>722</v>
      </c>
      <c r="K580" s="6" t="s">
        <v>723</v>
      </c>
      <c r="L580" s="6" t="s">
        <v>1892</v>
      </c>
      <c r="R580" t="s">
        <v>1893</v>
      </c>
    </row>
    <row r="581" spans="1:18" x14ac:dyDescent="0.2">
      <c r="A581" s="4" t="s">
        <v>1894</v>
      </c>
      <c r="B581" s="4" t="s">
        <v>1895</v>
      </c>
      <c r="C581" s="5" t="s">
        <v>19</v>
      </c>
      <c r="D581" s="5">
        <v>200</v>
      </c>
      <c r="E581" s="5">
        <f>D581</f>
        <v>200</v>
      </c>
      <c r="F581" s="5"/>
      <c r="G581" s="5"/>
      <c r="H581" s="5">
        <v>249.5</v>
      </c>
      <c r="I581" s="4">
        <v>0</v>
      </c>
      <c r="J581" s="4" t="s">
        <v>722</v>
      </c>
      <c r="K581" s="6" t="s">
        <v>723</v>
      </c>
      <c r="L581" s="6" t="s">
        <v>1896</v>
      </c>
      <c r="R581" t="s">
        <v>1897</v>
      </c>
    </row>
    <row r="582" spans="1:18" x14ac:dyDescent="0.2">
      <c r="A582" s="4"/>
      <c r="B582" s="4"/>
      <c r="C582" s="5"/>
      <c r="D582" s="5"/>
      <c r="E582" s="5"/>
      <c r="F582" s="5"/>
      <c r="G582" s="5"/>
      <c r="H582" s="5"/>
      <c r="I582" s="4"/>
      <c r="J582" s="4"/>
      <c r="K582" s="6"/>
      <c r="L582" s="6"/>
    </row>
    <row r="583" spans="1:18" x14ac:dyDescent="0.2">
      <c r="A583" s="4" t="s">
        <v>1898</v>
      </c>
      <c r="B583" s="4" t="s">
        <v>1899</v>
      </c>
      <c r="C583" s="5" t="s">
        <v>19</v>
      </c>
      <c r="D583" s="5">
        <v>150</v>
      </c>
      <c r="E583" s="5">
        <f>D583</f>
        <v>150</v>
      </c>
      <c r="F583" s="5"/>
      <c r="G583" s="5"/>
      <c r="H583" s="5">
        <v>514</v>
      </c>
      <c r="I583" s="4">
        <v>0</v>
      </c>
      <c r="J583" s="4" t="s">
        <v>722</v>
      </c>
      <c r="K583" s="6" t="s">
        <v>723</v>
      </c>
      <c r="L583" s="6" t="s">
        <v>1900</v>
      </c>
      <c r="R583" t="s">
        <v>1901</v>
      </c>
    </row>
    <row r="584" spans="1:18" x14ac:dyDescent="0.2">
      <c r="A584" s="4" t="s">
        <v>1902</v>
      </c>
      <c r="B584" s="4" t="s">
        <v>1903</v>
      </c>
      <c r="C584" s="5" t="s">
        <v>34</v>
      </c>
      <c r="D584" s="5">
        <v>625</v>
      </c>
      <c r="E584" s="5"/>
      <c r="F584" s="5">
        <f>$D584</f>
        <v>625</v>
      </c>
      <c r="G584" s="5"/>
      <c r="H584" s="5">
        <v>739.5</v>
      </c>
      <c r="I584" s="4">
        <v>0</v>
      </c>
      <c r="J584" s="4" t="s">
        <v>323</v>
      </c>
      <c r="K584" s="6" t="s">
        <v>324</v>
      </c>
      <c r="L584" s="6" t="s">
        <v>1904</v>
      </c>
      <c r="R584" t="s">
        <v>1905</v>
      </c>
    </row>
    <row r="585" spans="1:18" x14ac:dyDescent="0.2">
      <c r="A585" s="4" t="s">
        <v>1906</v>
      </c>
      <c r="B585" s="4" t="s">
        <v>1903</v>
      </c>
      <c r="C585" s="5" t="s">
        <v>19</v>
      </c>
      <c r="D585" s="5">
        <v>200</v>
      </c>
      <c r="E585" s="5">
        <f>D585</f>
        <v>200</v>
      </c>
      <c r="F585" s="5"/>
      <c r="G585" s="5"/>
      <c r="H585" s="5">
        <v>200</v>
      </c>
      <c r="I585" s="4">
        <v>0</v>
      </c>
      <c r="J585" s="4" t="s">
        <v>722</v>
      </c>
      <c r="K585" s="6" t="s">
        <v>723</v>
      </c>
      <c r="L585" s="6" t="s">
        <v>1907</v>
      </c>
      <c r="R585" t="s">
        <v>1908</v>
      </c>
    </row>
    <row r="586" spans="1:18" x14ac:dyDescent="0.2">
      <c r="A586" s="4" t="s">
        <v>1909</v>
      </c>
      <c r="B586" s="4" t="s">
        <v>1910</v>
      </c>
      <c r="C586" s="5" t="s">
        <v>19</v>
      </c>
      <c r="D586" s="5">
        <v>625</v>
      </c>
      <c r="E586" s="5"/>
      <c r="F586" s="5">
        <f>$D586</f>
        <v>625</v>
      </c>
      <c r="G586" s="5"/>
      <c r="H586" s="5">
        <v>700.29</v>
      </c>
      <c r="I586" s="4">
        <v>0</v>
      </c>
      <c r="J586" s="4" t="s">
        <v>722</v>
      </c>
      <c r="K586" s="6" t="s">
        <v>723</v>
      </c>
      <c r="L586" s="6" t="s">
        <v>1911</v>
      </c>
      <c r="R586" t="s">
        <v>1912</v>
      </c>
    </row>
    <row r="587" spans="1:18" x14ac:dyDescent="0.2">
      <c r="A587" s="4" t="s">
        <v>1913</v>
      </c>
      <c r="B587" s="4" t="s">
        <v>1914</v>
      </c>
      <c r="C587" s="5" t="s">
        <v>19</v>
      </c>
      <c r="D587" s="5">
        <v>315</v>
      </c>
      <c r="E587" s="5">
        <f>D587</f>
        <v>315</v>
      </c>
      <c r="F587" s="5"/>
      <c r="G587" s="5"/>
      <c r="H587" s="5">
        <v>504.54</v>
      </c>
      <c r="I587" s="4">
        <v>0</v>
      </c>
      <c r="J587" s="4" t="s">
        <v>722</v>
      </c>
      <c r="K587" s="6" t="s">
        <v>723</v>
      </c>
      <c r="L587" s="6" t="s">
        <v>1915</v>
      </c>
      <c r="R587" t="s">
        <v>1916</v>
      </c>
    </row>
    <row r="588" spans="1:18" x14ac:dyDescent="0.2">
      <c r="A588" s="4" t="s">
        <v>1917</v>
      </c>
      <c r="B588" s="4" t="s">
        <v>1914</v>
      </c>
      <c r="C588" s="5" t="s">
        <v>19</v>
      </c>
      <c r="D588" s="5">
        <v>200</v>
      </c>
      <c r="E588" s="5">
        <f>D588</f>
        <v>200</v>
      </c>
      <c r="F588" s="5"/>
      <c r="G588" s="5"/>
      <c r="H588" s="5">
        <v>209.54</v>
      </c>
      <c r="I588" s="4">
        <v>0</v>
      </c>
      <c r="J588" s="4" t="s">
        <v>722</v>
      </c>
      <c r="K588" s="6" t="s">
        <v>723</v>
      </c>
      <c r="L588" s="6" t="s">
        <v>1918</v>
      </c>
      <c r="R588" t="s">
        <v>1919</v>
      </c>
    </row>
    <row r="589" spans="1:18" x14ac:dyDescent="0.2">
      <c r="A589" s="4" t="s">
        <v>1920</v>
      </c>
      <c r="B589" s="4" t="s">
        <v>1921</v>
      </c>
      <c r="C589" s="5" t="s">
        <v>19</v>
      </c>
      <c r="D589" s="5">
        <v>150</v>
      </c>
      <c r="E589" s="5">
        <f>D589</f>
        <v>150</v>
      </c>
      <c r="F589" s="5"/>
      <c r="G589" s="5"/>
      <c r="H589" s="5">
        <v>163.79</v>
      </c>
      <c r="I589" s="4">
        <v>0</v>
      </c>
      <c r="J589" s="4" t="s">
        <v>722</v>
      </c>
      <c r="K589" s="6" t="s">
        <v>723</v>
      </c>
      <c r="L589" s="6" t="s">
        <v>1922</v>
      </c>
      <c r="R589" t="s">
        <v>1923</v>
      </c>
    </row>
    <row r="590" spans="1:18" x14ac:dyDescent="0.2">
      <c r="A590" s="4" t="s">
        <v>1924</v>
      </c>
      <c r="B590" s="4" t="s">
        <v>1921</v>
      </c>
      <c r="C590" s="5" t="s">
        <v>19</v>
      </c>
      <c r="D590" s="5">
        <v>150</v>
      </c>
      <c r="E590" s="5"/>
      <c r="F590" s="5"/>
      <c r="G590" s="5"/>
      <c r="H590" s="5">
        <v>157.33000000000001</v>
      </c>
      <c r="I590" s="4">
        <v>0</v>
      </c>
      <c r="J590" s="4" t="s">
        <v>722</v>
      </c>
      <c r="K590" s="6" t="s">
        <v>723</v>
      </c>
      <c r="L590" s="6" t="s">
        <v>1925</v>
      </c>
      <c r="R590" t="s">
        <v>1926</v>
      </c>
    </row>
    <row r="591" spans="1:18" x14ac:dyDescent="0.2">
      <c r="A591" s="4" t="s">
        <v>1927</v>
      </c>
      <c r="B591" s="4" t="s">
        <v>1928</v>
      </c>
      <c r="C591" s="5" t="s">
        <v>19</v>
      </c>
      <c r="D591" s="5">
        <v>250</v>
      </c>
      <c r="E591" s="5">
        <f>D591</f>
        <v>250</v>
      </c>
      <c r="F591" s="5"/>
      <c r="G591" s="5"/>
      <c r="H591" s="5">
        <v>261.68</v>
      </c>
      <c r="I591" s="4">
        <v>0</v>
      </c>
      <c r="J591" s="4" t="s">
        <v>722</v>
      </c>
      <c r="K591" s="6" t="s">
        <v>723</v>
      </c>
      <c r="L591" s="6" t="s">
        <v>1929</v>
      </c>
      <c r="R591" t="s">
        <v>1930</v>
      </c>
    </row>
    <row r="592" spans="1:18" x14ac:dyDescent="0.2">
      <c r="A592" s="4" t="s">
        <v>1931</v>
      </c>
      <c r="B592" s="4" t="s">
        <v>1932</v>
      </c>
      <c r="C592" s="5" t="s">
        <v>19</v>
      </c>
      <c r="D592" s="5">
        <v>200</v>
      </c>
      <c r="E592" s="5">
        <f>D592</f>
        <v>200</v>
      </c>
      <c r="F592" s="5"/>
      <c r="G592" s="5"/>
      <c r="H592" s="5">
        <v>204.43</v>
      </c>
      <c r="I592" s="4">
        <v>0</v>
      </c>
      <c r="J592" s="4" t="s">
        <v>722</v>
      </c>
      <c r="K592" s="6" t="s">
        <v>723</v>
      </c>
      <c r="L592" s="6" t="s">
        <v>1933</v>
      </c>
      <c r="R592" t="s">
        <v>1934</v>
      </c>
    </row>
    <row r="593" spans="1:18" x14ac:dyDescent="0.2">
      <c r="A593" s="4" t="s">
        <v>1935</v>
      </c>
      <c r="B593" s="4" t="s">
        <v>1936</v>
      </c>
      <c r="C593" s="5" t="s">
        <v>19</v>
      </c>
      <c r="D593" s="5">
        <v>200</v>
      </c>
      <c r="E593" s="5"/>
      <c r="F593" s="5"/>
      <c r="G593" s="5"/>
      <c r="H593" s="5">
        <v>222.93</v>
      </c>
      <c r="I593" s="4">
        <v>0</v>
      </c>
      <c r="J593" s="4" t="s">
        <v>722</v>
      </c>
      <c r="K593" s="6" t="s">
        <v>723</v>
      </c>
      <c r="L593" s="6" t="s">
        <v>1937</v>
      </c>
      <c r="R593" t="s">
        <v>1938</v>
      </c>
    </row>
    <row r="594" spans="1:18" x14ac:dyDescent="0.2">
      <c r="A594" s="4" t="s">
        <v>1939</v>
      </c>
      <c r="B594" s="4" t="s">
        <v>1940</v>
      </c>
      <c r="C594" s="5" t="s">
        <v>19</v>
      </c>
      <c r="D594" s="5">
        <v>200</v>
      </c>
      <c r="E594" s="5">
        <f>D594</f>
        <v>200</v>
      </c>
      <c r="F594" s="5"/>
      <c r="G594" s="5"/>
      <c r="H594" s="5">
        <v>211.43</v>
      </c>
      <c r="I594" s="4">
        <v>0</v>
      </c>
      <c r="J594" s="4" t="s">
        <v>722</v>
      </c>
      <c r="K594" s="6" t="s">
        <v>723</v>
      </c>
      <c r="L594" s="6" t="s">
        <v>1941</v>
      </c>
      <c r="R594" t="s">
        <v>1942</v>
      </c>
    </row>
    <row r="595" spans="1:18" x14ac:dyDescent="0.2">
      <c r="A595" s="4" t="s">
        <v>1943</v>
      </c>
      <c r="B595" s="4" t="s">
        <v>1944</v>
      </c>
      <c r="C595" s="5" t="s">
        <v>19</v>
      </c>
      <c r="D595" s="5">
        <v>300</v>
      </c>
      <c r="E595" s="5">
        <f>D595</f>
        <v>300</v>
      </c>
      <c r="F595" s="5"/>
      <c r="G595" s="5"/>
      <c r="H595" s="5">
        <v>300.18</v>
      </c>
      <c r="I595" s="4">
        <v>0</v>
      </c>
      <c r="J595" s="4" t="s">
        <v>722</v>
      </c>
      <c r="K595" s="6" t="s">
        <v>723</v>
      </c>
      <c r="L595" s="6" t="s">
        <v>1945</v>
      </c>
      <c r="R595" t="s">
        <v>1946</v>
      </c>
    </row>
    <row r="596" spans="1:18" x14ac:dyDescent="0.2">
      <c r="A596" s="4" t="s">
        <v>1947</v>
      </c>
      <c r="B596" s="4" t="s">
        <v>1948</v>
      </c>
      <c r="C596" s="5" t="s">
        <v>19</v>
      </c>
      <c r="D596" s="5">
        <v>140</v>
      </c>
      <c r="E596" s="5">
        <f>D596</f>
        <v>140</v>
      </c>
      <c r="F596" s="5"/>
      <c r="G596" s="5"/>
      <c r="H596" s="5">
        <v>146.18</v>
      </c>
      <c r="I596" s="4">
        <v>0</v>
      </c>
      <c r="J596" s="4" t="s">
        <v>722</v>
      </c>
      <c r="K596" s="6" t="s">
        <v>723</v>
      </c>
      <c r="L596" s="6" t="s">
        <v>1949</v>
      </c>
      <c r="R596" t="s">
        <v>1950</v>
      </c>
    </row>
    <row r="597" spans="1:18" x14ac:dyDescent="0.2">
      <c r="A597" s="4"/>
      <c r="B597" s="4"/>
      <c r="C597" s="5"/>
      <c r="D597" s="5"/>
      <c r="E597" s="5"/>
      <c r="F597" s="5"/>
      <c r="G597" s="5"/>
      <c r="H597" s="5"/>
      <c r="I597" s="4"/>
      <c r="J597" s="4"/>
      <c r="K597" s="6"/>
      <c r="L597" s="6"/>
    </row>
    <row r="598" spans="1:18" x14ac:dyDescent="0.2">
      <c r="A598" s="4" t="s">
        <v>1951</v>
      </c>
      <c r="B598" s="4" t="s">
        <v>1952</v>
      </c>
      <c r="C598" s="5" t="s">
        <v>19</v>
      </c>
      <c r="D598" s="5">
        <v>200</v>
      </c>
      <c r="E598" s="5">
        <f>D598</f>
        <v>200</v>
      </c>
      <c r="F598" s="5"/>
      <c r="G598" s="5"/>
      <c r="H598" s="5">
        <v>200.1</v>
      </c>
      <c r="I598" s="4">
        <v>0</v>
      </c>
      <c r="J598" s="4" t="s">
        <v>722</v>
      </c>
      <c r="K598" s="6" t="s">
        <v>723</v>
      </c>
      <c r="L598" s="6" t="s">
        <v>1953</v>
      </c>
      <c r="R598" t="s">
        <v>1954</v>
      </c>
    </row>
    <row r="599" spans="1:18" x14ac:dyDescent="0.2">
      <c r="A599" s="4" t="s">
        <v>1955</v>
      </c>
      <c r="B599" s="4" t="s">
        <v>1956</v>
      </c>
      <c r="C599" s="5" t="s">
        <v>19</v>
      </c>
      <c r="D599" s="5">
        <v>700</v>
      </c>
      <c r="E599" s="5">
        <f>D599</f>
        <v>700</v>
      </c>
      <c r="F599" s="5"/>
      <c r="G599" s="5"/>
      <c r="H599" s="5">
        <v>923.85</v>
      </c>
      <c r="I599" s="4">
        <v>0</v>
      </c>
      <c r="J599" s="4" t="s">
        <v>722</v>
      </c>
      <c r="K599" s="6" t="s">
        <v>723</v>
      </c>
      <c r="L599" s="6" t="s">
        <v>1957</v>
      </c>
      <c r="R599" t="s">
        <v>1958</v>
      </c>
    </row>
    <row r="600" spans="1:18" x14ac:dyDescent="0.2">
      <c r="A600" s="4" t="s">
        <v>1959</v>
      </c>
      <c r="B600" s="4" t="s">
        <v>1960</v>
      </c>
      <c r="C600" s="5" t="s">
        <v>19</v>
      </c>
      <c r="D600" s="5">
        <v>220</v>
      </c>
      <c r="E600" s="5">
        <f>$D600</f>
        <v>220</v>
      </c>
      <c r="F600" s="5"/>
      <c r="G600" s="5"/>
      <c r="H600" s="5">
        <v>534.35</v>
      </c>
      <c r="I600" s="4">
        <v>0</v>
      </c>
      <c r="J600" s="4" t="s">
        <v>765</v>
      </c>
      <c r="K600" s="6" t="s">
        <v>42</v>
      </c>
      <c r="L600" s="6" t="s">
        <v>1961</v>
      </c>
      <c r="R600" t="s">
        <v>1962</v>
      </c>
    </row>
    <row r="601" spans="1:18" x14ac:dyDescent="0.2">
      <c r="A601" s="4" t="s">
        <v>1963</v>
      </c>
      <c r="B601" s="4" t="s">
        <v>1964</v>
      </c>
      <c r="C601" s="5" t="s">
        <v>19</v>
      </c>
      <c r="D601" s="5">
        <v>625</v>
      </c>
      <c r="E601" s="5"/>
      <c r="F601" s="5">
        <f>$D601</f>
        <v>625</v>
      </c>
      <c r="G601" s="5"/>
      <c r="H601" s="5">
        <v>827.6</v>
      </c>
      <c r="I601" s="4">
        <v>0</v>
      </c>
      <c r="J601" s="4" t="s">
        <v>722</v>
      </c>
      <c r="K601" s="6" t="s">
        <v>723</v>
      </c>
      <c r="L601" s="6" t="s">
        <v>1965</v>
      </c>
      <c r="R601" t="s">
        <v>1966</v>
      </c>
    </row>
    <row r="602" spans="1:18" x14ac:dyDescent="0.2">
      <c r="A602" s="4" t="s">
        <v>1967</v>
      </c>
      <c r="B602" s="4" t="s">
        <v>1964</v>
      </c>
      <c r="C602" s="5" t="s">
        <v>19</v>
      </c>
      <c r="D602" s="5">
        <v>250</v>
      </c>
      <c r="E602" s="5">
        <f>D602</f>
        <v>250</v>
      </c>
      <c r="F602" s="5"/>
      <c r="G602" s="5"/>
      <c r="H602" s="5">
        <v>256.10000000000002</v>
      </c>
      <c r="I602" s="4">
        <v>0</v>
      </c>
      <c r="J602" s="4" t="s">
        <v>722</v>
      </c>
      <c r="K602" s="6" t="s">
        <v>723</v>
      </c>
      <c r="L602" s="6" t="s">
        <v>1968</v>
      </c>
      <c r="R602" t="s">
        <v>1969</v>
      </c>
    </row>
    <row r="603" spans="1:18" x14ac:dyDescent="0.2">
      <c r="A603" s="4"/>
      <c r="B603" s="4"/>
      <c r="C603" s="5"/>
      <c r="D603" s="5"/>
      <c r="E603" s="5"/>
      <c r="F603" s="5"/>
      <c r="G603" s="5"/>
      <c r="H603" s="5"/>
      <c r="I603" s="4"/>
      <c r="J603" s="4"/>
      <c r="K603" s="6"/>
      <c r="L603" s="6"/>
    </row>
    <row r="604" spans="1:18" x14ac:dyDescent="0.2">
      <c r="A604" s="4" t="s">
        <v>1970</v>
      </c>
      <c r="B604" s="4" t="s">
        <v>1971</v>
      </c>
      <c r="C604" s="5" t="s">
        <v>19</v>
      </c>
      <c r="D604" s="5">
        <v>100</v>
      </c>
      <c r="E604" s="5">
        <f>D604</f>
        <v>100</v>
      </c>
      <c r="F604" s="5"/>
      <c r="G604" s="5"/>
      <c r="H604" s="5">
        <v>200.1</v>
      </c>
      <c r="I604" s="4">
        <v>0</v>
      </c>
      <c r="J604" s="4" t="s">
        <v>722</v>
      </c>
      <c r="K604" s="6" t="s">
        <v>723</v>
      </c>
      <c r="L604" s="6" t="s">
        <v>1972</v>
      </c>
      <c r="R604" t="s">
        <v>1973</v>
      </c>
    </row>
    <row r="605" spans="1:18" x14ac:dyDescent="0.2">
      <c r="A605" s="4" t="s">
        <v>1974</v>
      </c>
      <c r="B605" s="4" t="s">
        <v>1971</v>
      </c>
      <c r="C605" s="5" t="s">
        <v>19</v>
      </c>
      <c r="D605" s="5">
        <v>100</v>
      </c>
      <c r="E605" s="5">
        <f>D605</f>
        <v>100</v>
      </c>
      <c r="F605" s="5"/>
      <c r="G605" s="5"/>
      <c r="H605" s="5">
        <v>100.1</v>
      </c>
      <c r="I605" s="4">
        <v>0</v>
      </c>
      <c r="J605" s="4" t="s">
        <v>722</v>
      </c>
      <c r="K605" s="6" t="s">
        <v>723</v>
      </c>
      <c r="L605" s="6" t="s">
        <v>1975</v>
      </c>
      <c r="R605" t="s">
        <v>1976</v>
      </c>
    </row>
    <row r="606" spans="1:18" x14ac:dyDescent="0.2">
      <c r="A606" s="4" t="s">
        <v>1977</v>
      </c>
      <c r="B606" s="4" t="s">
        <v>1978</v>
      </c>
      <c r="C606" s="5" t="s">
        <v>19</v>
      </c>
      <c r="D606" s="5">
        <v>300</v>
      </c>
      <c r="E606" s="5">
        <f>D606</f>
        <v>300</v>
      </c>
      <c r="F606" s="5"/>
      <c r="G606" s="5"/>
      <c r="H606" s="5">
        <v>303.73</v>
      </c>
      <c r="I606" s="4">
        <v>0</v>
      </c>
      <c r="J606" s="4" t="s">
        <v>722</v>
      </c>
      <c r="K606" s="6" t="s">
        <v>723</v>
      </c>
      <c r="L606" s="6" t="s">
        <v>1979</v>
      </c>
      <c r="R606" t="s">
        <v>1980</v>
      </c>
    </row>
    <row r="607" spans="1:18" x14ac:dyDescent="0.2">
      <c r="A607" s="4"/>
      <c r="B607" s="4"/>
      <c r="C607" s="5"/>
      <c r="D607" s="5"/>
      <c r="E607" s="5"/>
      <c r="F607" s="5"/>
      <c r="G607" s="5"/>
      <c r="H607" s="5"/>
      <c r="I607" s="4"/>
      <c r="J607" s="4"/>
      <c r="K607" s="6"/>
      <c r="L607" s="6"/>
    </row>
    <row r="608" spans="1:18" x14ac:dyDescent="0.2">
      <c r="A608" s="4" t="s">
        <v>1981</v>
      </c>
      <c r="B608" s="4" t="s">
        <v>1982</v>
      </c>
      <c r="C608" s="5" t="s">
        <v>19</v>
      </c>
      <c r="D608" s="5">
        <v>625</v>
      </c>
      <c r="E608" s="5">
        <f t="shared" ref="E608:E613" si="7">D608</f>
        <v>625</v>
      </c>
      <c r="F608" s="5"/>
      <c r="G608" s="5"/>
      <c r="H608" s="5">
        <v>691.5</v>
      </c>
      <c r="I608" s="4">
        <v>0</v>
      </c>
      <c r="J608" s="4" t="s">
        <v>722</v>
      </c>
      <c r="K608" s="6" t="s">
        <v>723</v>
      </c>
      <c r="L608" s="6" t="s">
        <v>1983</v>
      </c>
      <c r="R608" t="s">
        <v>1984</v>
      </c>
    </row>
    <row r="609" spans="1:18" x14ac:dyDescent="0.2">
      <c r="A609" s="4" t="s">
        <v>1985</v>
      </c>
      <c r="B609" s="4" t="s">
        <v>1986</v>
      </c>
      <c r="C609" s="5" t="s">
        <v>19</v>
      </c>
      <c r="D609" s="5">
        <v>200</v>
      </c>
      <c r="E609" s="5">
        <f t="shared" si="7"/>
        <v>200</v>
      </c>
      <c r="F609" s="5"/>
      <c r="G609" s="5"/>
      <c r="H609" s="5">
        <v>200</v>
      </c>
      <c r="I609" s="4">
        <v>0</v>
      </c>
      <c r="J609" s="4" t="s">
        <v>722</v>
      </c>
      <c r="K609" s="6" t="s">
        <v>723</v>
      </c>
      <c r="L609" s="6" t="s">
        <v>1987</v>
      </c>
      <c r="R609" t="s">
        <v>1988</v>
      </c>
    </row>
    <row r="610" spans="1:18" x14ac:dyDescent="0.2">
      <c r="A610" s="4" t="s">
        <v>1989</v>
      </c>
      <c r="B610" s="4" t="s">
        <v>1990</v>
      </c>
      <c r="C610" s="5" t="s">
        <v>19</v>
      </c>
      <c r="D610" s="5">
        <v>100</v>
      </c>
      <c r="E610" s="5">
        <f t="shared" si="7"/>
        <v>100</v>
      </c>
      <c r="F610" s="5"/>
      <c r="G610" s="5"/>
      <c r="H610" s="5">
        <v>100.98</v>
      </c>
      <c r="I610" s="4">
        <v>0</v>
      </c>
      <c r="J610" s="4" t="s">
        <v>722</v>
      </c>
      <c r="K610" s="6" t="s">
        <v>723</v>
      </c>
      <c r="L610" s="6" t="s">
        <v>1991</v>
      </c>
      <c r="R610" t="s">
        <v>1992</v>
      </c>
    </row>
    <row r="611" spans="1:18" x14ac:dyDescent="0.2">
      <c r="A611" s="4" t="s">
        <v>1993</v>
      </c>
      <c r="B611" s="4" t="s">
        <v>1994</v>
      </c>
      <c r="C611" s="5" t="s">
        <v>19</v>
      </c>
      <c r="D611" s="5">
        <v>110</v>
      </c>
      <c r="E611" s="5">
        <f t="shared" si="7"/>
        <v>110</v>
      </c>
      <c r="F611" s="5"/>
      <c r="G611" s="5"/>
      <c r="H611" s="5">
        <v>116.98</v>
      </c>
      <c r="I611" s="4">
        <v>0</v>
      </c>
      <c r="J611" s="4" t="s">
        <v>722</v>
      </c>
      <c r="K611" s="6" t="s">
        <v>723</v>
      </c>
      <c r="L611" s="6" t="s">
        <v>1995</v>
      </c>
      <c r="R611" t="s">
        <v>1996</v>
      </c>
    </row>
    <row r="612" spans="1:18" x14ac:dyDescent="0.2">
      <c r="A612" s="4" t="s">
        <v>1997</v>
      </c>
      <c r="B612" s="4" t="s">
        <v>1998</v>
      </c>
      <c r="C612" s="5" t="s">
        <v>19</v>
      </c>
      <c r="D612" s="5">
        <v>150</v>
      </c>
      <c r="E612" s="5">
        <f t="shared" si="7"/>
        <v>150</v>
      </c>
      <c r="F612" s="5"/>
      <c r="G612" s="5"/>
      <c r="H612" s="5">
        <v>159.72999999999999</v>
      </c>
      <c r="I612" s="4">
        <v>0</v>
      </c>
      <c r="J612" s="4" t="s">
        <v>722</v>
      </c>
      <c r="K612" s="6" t="s">
        <v>723</v>
      </c>
      <c r="L612" s="6" t="s">
        <v>1999</v>
      </c>
      <c r="R612" t="s">
        <v>2000</v>
      </c>
    </row>
    <row r="613" spans="1:18" x14ac:dyDescent="0.2">
      <c r="A613" s="4" t="s">
        <v>2001</v>
      </c>
      <c r="B613" s="4" t="s">
        <v>2002</v>
      </c>
      <c r="C613" s="5" t="s">
        <v>19</v>
      </c>
      <c r="D613" s="5">
        <v>150</v>
      </c>
      <c r="E613" s="5">
        <f t="shared" si="7"/>
        <v>150</v>
      </c>
      <c r="F613" s="5"/>
      <c r="G613" s="5"/>
      <c r="H613" s="5">
        <v>153.47999999999999</v>
      </c>
      <c r="I613" s="4">
        <v>0</v>
      </c>
      <c r="J613" s="4" t="s">
        <v>722</v>
      </c>
      <c r="K613" s="6" t="s">
        <v>723</v>
      </c>
      <c r="L613" s="6" t="s">
        <v>2003</v>
      </c>
      <c r="R613" t="s">
        <v>2004</v>
      </c>
    </row>
    <row r="614" spans="1:18" x14ac:dyDescent="0.2">
      <c r="A614" s="4"/>
      <c r="B614" s="4"/>
      <c r="C614" s="5"/>
      <c r="D614" s="5"/>
      <c r="E614" s="5"/>
      <c r="F614" s="5"/>
      <c r="G614" s="5"/>
      <c r="H614" s="5"/>
      <c r="I614" s="4"/>
      <c r="J614" s="4"/>
      <c r="K614" s="6"/>
      <c r="L614" s="6"/>
    </row>
    <row r="615" spans="1:18" x14ac:dyDescent="0.2">
      <c r="A615" s="4" t="s">
        <v>2005</v>
      </c>
      <c r="B615" s="4" t="s">
        <v>2006</v>
      </c>
      <c r="C615" s="5" t="s">
        <v>34</v>
      </c>
      <c r="D615" s="5">
        <v>625</v>
      </c>
      <c r="E615" s="5"/>
      <c r="F615" s="5">
        <f>D615</f>
        <v>625</v>
      </c>
      <c r="G615" s="5"/>
      <c r="H615" s="5">
        <v>626.23</v>
      </c>
      <c r="I615" s="4">
        <v>0</v>
      </c>
      <c r="J615" s="4" t="s">
        <v>323</v>
      </c>
      <c r="K615" s="6" t="s">
        <v>324</v>
      </c>
      <c r="L615" s="6" t="s">
        <v>2007</v>
      </c>
      <c r="R615" t="s">
        <v>2008</v>
      </c>
    </row>
    <row r="616" spans="1:18" x14ac:dyDescent="0.2">
      <c r="A616" s="4" t="s">
        <v>2009</v>
      </c>
      <c r="B616" s="4" t="s">
        <v>2006</v>
      </c>
      <c r="C616" s="5" t="s">
        <v>19</v>
      </c>
      <c r="D616" s="5">
        <v>100</v>
      </c>
      <c r="E616" s="5">
        <f t="shared" ref="E616:E622" si="8">D616</f>
        <v>100</v>
      </c>
      <c r="F616" s="5"/>
      <c r="G616" s="5"/>
      <c r="H616" s="5">
        <v>104.23</v>
      </c>
      <c r="I616" s="4">
        <v>0</v>
      </c>
      <c r="J616" s="4" t="s">
        <v>722</v>
      </c>
      <c r="K616" s="6" t="s">
        <v>723</v>
      </c>
      <c r="L616" s="6" t="s">
        <v>2010</v>
      </c>
      <c r="R616" t="s">
        <v>2011</v>
      </c>
    </row>
    <row r="617" spans="1:18" x14ac:dyDescent="0.2">
      <c r="A617" s="4" t="s">
        <v>2012</v>
      </c>
      <c r="B617" s="4" t="s">
        <v>2013</v>
      </c>
      <c r="C617" s="5" t="s">
        <v>19</v>
      </c>
      <c r="D617" s="5">
        <v>200</v>
      </c>
      <c r="E617" s="5">
        <f t="shared" si="8"/>
        <v>200</v>
      </c>
      <c r="F617" s="5"/>
      <c r="G617" s="5"/>
      <c r="H617" s="5">
        <v>350.73</v>
      </c>
      <c r="I617" s="4">
        <v>0</v>
      </c>
      <c r="J617" s="4" t="s">
        <v>722</v>
      </c>
      <c r="K617" s="6" t="s">
        <v>723</v>
      </c>
      <c r="L617" s="6" t="s">
        <v>2014</v>
      </c>
      <c r="R617" t="s">
        <v>2015</v>
      </c>
    </row>
    <row r="618" spans="1:18" x14ac:dyDescent="0.2">
      <c r="A618" s="4" t="s">
        <v>2016</v>
      </c>
      <c r="B618" s="4" t="s">
        <v>2013</v>
      </c>
      <c r="C618" s="5" t="s">
        <v>19</v>
      </c>
      <c r="D618" s="5">
        <v>150</v>
      </c>
      <c r="E618" s="5">
        <f t="shared" si="8"/>
        <v>150</v>
      </c>
      <c r="F618" s="5"/>
      <c r="G618" s="5"/>
      <c r="H618" s="5">
        <v>150.72999999999999</v>
      </c>
      <c r="I618" s="4">
        <v>0</v>
      </c>
      <c r="J618" s="4" t="s">
        <v>722</v>
      </c>
      <c r="K618" s="6" t="s">
        <v>723</v>
      </c>
      <c r="L618" s="6" t="s">
        <v>2017</v>
      </c>
      <c r="R618" t="s">
        <v>2018</v>
      </c>
    </row>
    <row r="619" spans="1:18" x14ac:dyDescent="0.2">
      <c r="A619" s="4" t="s">
        <v>2019</v>
      </c>
      <c r="B619" s="4" t="s">
        <v>2020</v>
      </c>
      <c r="C619" s="5" t="s">
        <v>19</v>
      </c>
      <c r="D619" s="5">
        <v>200</v>
      </c>
      <c r="E619" s="5">
        <f t="shared" si="8"/>
        <v>200</v>
      </c>
      <c r="F619" s="5"/>
      <c r="G619" s="5"/>
      <c r="H619" s="5">
        <v>217.73</v>
      </c>
      <c r="I619" s="4">
        <v>0</v>
      </c>
      <c r="J619" s="4" t="s">
        <v>722</v>
      </c>
      <c r="K619" s="6" t="s">
        <v>723</v>
      </c>
      <c r="L619" s="6" t="s">
        <v>2021</v>
      </c>
      <c r="R619" t="s">
        <v>2022</v>
      </c>
    </row>
    <row r="620" spans="1:18" x14ac:dyDescent="0.2">
      <c r="A620" s="4" t="s">
        <v>2023</v>
      </c>
      <c r="B620" s="4" t="s">
        <v>2024</v>
      </c>
      <c r="C620" s="5" t="s">
        <v>19</v>
      </c>
      <c r="D620" s="5">
        <v>150</v>
      </c>
      <c r="E620" s="5">
        <f t="shared" si="8"/>
        <v>150</v>
      </c>
      <c r="F620" s="5"/>
      <c r="G620" s="5"/>
      <c r="H620" s="5">
        <v>150.97999999999999</v>
      </c>
      <c r="I620" s="4">
        <v>0</v>
      </c>
      <c r="J620" s="4" t="s">
        <v>722</v>
      </c>
      <c r="K620" s="6" t="s">
        <v>723</v>
      </c>
      <c r="L620" s="6" t="s">
        <v>2025</v>
      </c>
      <c r="R620" t="s">
        <v>2026</v>
      </c>
    </row>
    <row r="621" spans="1:18" x14ac:dyDescent="0.2">
      <c r="A621" s="4" t="s">
        <v>2027</v>
      </c>
      <c r="B621" s="4" t="s">
        <v>2028</v>
      </c>
      <c r="C621" s="5" t="s">
        <v>19</v>
      </c>
      <c r="D621" s="5">
        <v>150</v>
      </c>
      <c r="E621" s="5">
        <f t="shared" si="8"/>
        <v>150</v>
      </c>
      <c r="F621" s="5"/>
      <c r="G621" s="5"/>
      <c r="H621" s="5">
        <v>150.22999999999999</v>
      </c>
      <c r="I621" s="4">
        <v>0</v>
      </c>
      <c r="J621" s="4" t="s">
        <v>722</v>
      </c>
      <c r="K621" s="6" t="s">
        <v>723</v>
      </c>
      <c r="L621" s="6" t="s">
        <v>2029</v>
      </c>
      <c r="R621" t="s">
        <v>2030</v>
      </c>
    </row>
    <row r="622" spans="1:18" x14ac:dyDescent="0.2">
      <c r="A622" s="4" t="s">
        <v>2031</v>
      </c>
      <c r="B622" s="4" t="s">
        <v>2032</v>
      </c>
      <c r="C622" s="5" t="s">
        <v>19</v>
      </c>
      <c r="D622" s="5">
        <v>200</v>
      </c>
      <c r="E622" s="5">
        <f t="shared" si="8"/>
        <v>200</v>
      </c>
      <c r="F622" s="5"/>
      <c r="G622" s="5"/>
      <c r="H622" s="5">
        <v>200.48</v>
      </c>
      <c r="I622" s="4">
        <v>0</v>
      </c>
      <c r="J622" s="4" t="s">
        <v>722</v>
      </c>
      <c r="K622" s="6" t="s">
        <v>723</v>
      </c>
      <c r="L622" s="6" t="s">
        <v>2033</v>
      </c>
      <c r="R622" t="s">
        <v>2034</v>
      </c>
    </row>
    <row r="623" spans="1:18" x14ac:dyDescent="0.2">
      <c r="A623" s="4"/>
      <c r="B623" s="4"/>
      <c r="C623" s="5"/>
      <c r="D623" s="5"/>
      <c r="E623" s="5"/>
      <c r="F623" s="5"/>
      <c r="G623" s="5"/>
      <c r="H623" s="5"/>
      <c r="I623" s="4"/>
      <c r="J623" s="4"/>
      <c r="K623" s="6"/>
      <c r="L623" s="6"/>
    </row>
    <row r="624" spans="1:18" x14ac:dyDescent="0.2">
      <c r="A624" s="4" t="s">
        <v>2035</v>
      </c>
      <c r="B624" s="4" t="s">
        <v>2036</v>
      </c>
      <c r="C624" s="5" t="s">
        <v>19</v>
      </c>
      <c r="D624" s="5">
        <v>150</v>
      </c>
      <c r="E624" s="5">
        <f>D624</f>
        <v>150</v>
      </c>
      <c r="F624" s="5"/>
      <c r="G624" s="5"/>
      <c r="H624" s="5">
        <v>153.72999999999999</v>
      </c>
      <c r="I624" s="4">
        <v>0</v>
      </c>
      <c r="J624" s="4" t="s">
        <v>722</v>
      </c>
      <c r="K624" s="6" t="s">
        <v>723</v>
      </c>
      <c r="L624" s="6" t="s">
        <v>2037</v>
      </c>
      <c r="R624" t="s">
        <v>2038</v>
      </c>
    </row>
    <row r="625" spans="1:18" x14ac:dyDescent="0.2">
      <c r="A625" s="4" t="s">
        <v>2039</v>
      </c>
      <c r="B625" s="4" t="s">
        <v>2040</v>
      </c>
      <c r="C625" s="5" t="s">
        <v>34</v>
      </c>
      <c r="D625" s="5">
        <v>625</v>
      </c>
      <c r="E625" s="5"/>
      <c r="F625" s="5">
        <f>D625</f>
        <v>625</v>
      </c>
      <c r="G625" s="5"/>
      <c r="H625" s="5">
        <v>703.73</v>
      </c>
      <c r="I625" s="4">
        <v>0</v>
      </c>
      <c r="J625" s="4" t="s">
        <v>323</v>
      </c>
      <c r="K625" s="6" t="s">
        <v>324</v>
      </c>
      <c r="L625" s="6" t="s">
        <v>2041</v>
      </c>
      <c r="R625" t="s">
        <v>2042</v>
      </c>
    </row>
    <row r="626" spans="1:18" x14ac:dyDescent="0.2">
      <c r="A626" s="4" t="s">
        <v>2043</v>
      </c>
      <c r="B626" s="4" t="s">
        <v>2044</v>
      </c>
      <c r="C626" s="5" t="s">
        <v>19</v>
      </c>
      <c r="D626" s="5">
        <v>200</v>
      </c>
      <c r="E626" s="5">
        <f>D626</f>
        <v>200</v>
      </c>
      <c r="F626" s="5"/>
      <c r="G626" s="5"/>
      <c r="H626" s="5">
        <v>219.98</v>
      </c>
      <c r="I626" s="4">
        <v>0</v>
      </c>
      <c r="J626" s="4" t="s">
        <v>722</v>
      </c>
      <c r="K626" s="6" t="s">
        <v>723</v>
      </c>
      <c r="L626" s="6" t="s">
        <v>2045</v>
      </c>
      <c r="R626" t="s">
        <v>2046</v>
      </c>
    </row>
    <row r="627" spans="1:18" x14ac:dyDescent="0.2">
      <c r="A627" s="4" t="s">
        <v>2047</v>
      </c>
      <c r="B627" s="4" t="s">
        <v>2048</v>
      </c>
      <c r="C627" s="5" t="s">
        <v>19</v>
      </c>
      <c r="D627" s="5">
        <v>200</v>
      </c>
      <c r="E627" s="5">
        <f>D627</f>
        <v>200</v>
      </c>
      <c r="F627" s="5"/>
      <c r="G627" s="5"/>
      <c r="H627" s="5">
        <v>207.98</v>
      </c>
      <c r="I627" s="4">
        <v>0</v>
      </c>
      <c r="J627" s="4" t="s">
        <v>722</v>
      </c>
      <c r="K627" s="6" t="s">
        <v>723</v>
      </c>
      <c r="L627" s="6" t="s">
        <v>2049</v>
      </c>
      <c r="R627" t="s">
        <v>2050</v>
      </c>
    </row>
    <row r="628" spans="1:18" x14ac:dyDescent="0.2">
      <c r="A628" s="4" t="s">
        <v>2051</v>
      </c>
      <c r="B628" s="4" t="s">
        <v>2052</v>
      </c>
      <c r="C628" s="5" t="s">
        <v>19</v>
      </c>
      <c r="D628" s="5">
        <v>90</v>
      </c>
      <c r="E628" s="5">
        <f>D628</f>
        <v>90</v>
      </c>
      <c r="F628" s="5"/>
      <c r="G628" s="5"/>
      <c r="H628" s="5">
        <v>130.65</v>
      </c>
      <c r="I628" s="4">
        <v>0</v>
      </c>
      <c r="J628" s="4" t="s">
        <v>722</v>
      </c>
      <c r="K628" s="6" t="s">
        <v>723</v>
      </c>
      <c r="L628" s="6" t="s">
        <v>2053</v>
      </c>
      <c r="R628" t="s">
        <v>2054</v>
      </c>
    </row>
    <row r="629" spans="1:18" x14ac:dyDescent="0.2">
      <c r="A629" s="4" t="s">
        <v>2055</v>
      </c>
      <c r="B629" s="4" t="s">
        <v>2056</v>
      </c>
      <c r="C629" s="5" t="s">
        <v>19</v>
      </c>
      <c r="D629" s="5">
        <v>100</v>
      </c>
      <c r="E629" s="5">
        <f>D629</f>
        <v>100</v>
      </c>
      <c r="F629" s="5"/>
      <c r="G629" s="5"/>
      <c r="H629" s="5">
        <v>101.99</v>
      </c>
      <c r="I629" s="4">
        <v>0</v>
      </c>
      <c r="J629" s="4" t="s">
        <v>722</v>
      </c>
      <c r="K629" s="6" t="s">
        <v>723</v>
      </c>
      <c r="L629" s="6" t="s">
        <v>2057</v>
      </c>
      <c r="R629" t="s">
        <v>2058</v>
      </c>
    </row>
    <row r="630" spans="1:18" x14ac:dyDescent="0.2">
      <c r="A630" s="4" t="s">
        <v>2059</v>
      </c>
      <c r="B630" s="4" t="s">
        <v>2060</v>
      </c>
      <c r="C630" s="5" t="s">
        <v>19</v>
      </c>
      <c r="D630" s="5">
        <v>200</v>
      </c>
      <c r="E630" s="5"/>
      <c r="F630" s="5"/>
      <c r="G630" s="5"/>
      <c r="H630" s="5">
        <v>201.74</v>
      </c>
      <c r="I630" s="4">
        <v>0</v>
      </c>
      <c r="J630" s="4" t="s">
        <v>722</v>
      </c>
      <c r="K630" s="6" t="s">
        <v>723</v>
      </c>
      <c r="L630" s="6" t="s">
        <v>2061</v>
      </c>
      <c r="R630" t="s">
        <v>2062</v>
      </c>
    </row>
    <row r="631" spans="1:18" x14ac:dyDescent="0.2">
      <c r="A631" s="4"/>
      <c r="B631" s="4"/>
      <c r="C631" s="5"/>
      <c r="D631" s="5"/>
      <c r="E631" s="5"/>
      <c r="F631" s="5"/>
      <c r="G631" s="5"/>
      <c r="H631" s="5"/>
      <c r="I631" s="4"/>
      <c r="J631" s="4"/>
      <c r="K631" s="6"/>
      <c r="L631" s="6"/>
    </row>
    <row r="632" spans="1:18" x14ac:dyDescent="0.2">
      <c r="A632" s="4" t="s">
        <v>2063</v>
      </c>
      <c r="B632" s="4" t="s">
        <v>2064</v>
      </c>
      <c r="C632" s="5" t="s">
        <v>34</v>
      </c>
      <c r="D632" s="5">
        <v>625</v>
      </c>
      <c r="E632" s="5"/>
      <c r="F632" s="5">
        <f>D632</f>
        <v>625</v>
      </c>
      <c r="G632" s="5"/>
      <c r="H632" s="5">
        <v>647.39</v>
      </c>
      <c r="I632" s="4">
        <v>0</v>
      </c>
      <c r="J632" s="4" t="s">
        <v>323</v>
      </c>
      <c r="K632" s="6" t="s">
        <v>324</v>
      </c>
      <c r="L632" s="6" t="s">
        <v>2065</v>
      </c>
      <c r="R632" t="s">
        <v>2066</v>
      </c>
    </row>
    <row r="633" spans="1:18" x14ac:dyDescent="0.2">
      <c r="A633" s="4" t="s">
        <v>2067</v>
      </c>
      <c r="B633" s="4" t="s">
        <v>2068</v>
      </c>
      <c r="C633" s="5" t="s">
        <v>19</v>
      </c>
      <c r="D633" s="5">
        <v>5100</v>
      </c>
      <c r="E633" s="5"/>
      <c r="F633" s="5">
        <f>D633</f>
        <v>5100</v>
      </c>
      <c r="G633" s="5"/>
      <c r="H633" s="5">
        <v>5640.97</v>
      </c>
      <c r="I633" s="4">
        <v>0</v>
      </c>
      <c r="J633" s="4" t="s">
        <v>722</v>
      </c>
      <c r="K633" s="6" t="s">
        <v>723</v>
      </c>
      <c r="L633" s="6" t="s">
        <v>2069</v>
      </c>
      <c r="R633" t="s">
        <v>2070</v>
      </c>
    </row>
    <row r="634" spans="1:18" x14ac:dyDescent="0.2">
      <c r="A634" s="4" t="s">
        <v>2071</v>
      </c>
      <c r="B634" s="4" t="s">
        <v>2072</v>
      </c>
      <c r="C634" s="5" t="s">
        <v>19</v>
      </c>
      <c r="D634" s="5">
        <v>625</v>
      </c>
      <c r="E634" s="5"/>
      <c r="F634" s="5">
        <f>D634</f>
        <v>625</v>
      </c>
      <c r="G634" s="5"/>
      <c r="H634" s="5">
        <v>626.97</v>
      </c>
      <c r="I634" s="4">
        <v>0</v>
      </c>
      <c r="J634" s="4" t="s">
        <v>722</v>
      </c>
      <c r="K634" s="6" t="s">
        <v>723</v>
      </c>
      <c r="L634" s="6" t="s">
        <v>2069</v>
      </c>
      <c r="R634" t="s">
        <v>2073</v>
      </c>
    </row>
    <row r="635" spans="1:18" x14ac:dyDescent="0.2">
      <c r="A635" s="4"/>
      <c r="B635" s="4"/>
      <c r="C635" s="5"/>
      <c r="D635" s="5"/>
      <c r="E635" s="5"/>
      <c r="F635" s="5"/>
      <c r="G635" s="5"/>
      <c r="H635" s="5"/>
      <c r="I635" s="4"/>
      <c r="J635" s="4"/>
      <c r="K635" s="6"/>
      <c r="L635" s="6"/>
    </row>
    <row r="636" spans="1:18" x14ac:dyDescent="0.2">
      <c r="A636" s="4" t="s">
        <v>2074</v>
      </c>
      <c r="B636" s="4" t="s">
        <v>2075</v>
      </c>
      <c r="C636" s="5" t="s">
        <v>19</v>
      </c>
      <c r="D636" s="5">
        <v>300</v>
      </c>
      <c r="E636" s="5">
        <f t="shared" ref="E636:E644" si="9">D636</f>
        <v>300</v>
      </c>
      <c r="F636" s="5"/>
      <c r="G636" s="5"/>
      <c r="H636" s="5">
        <v>312.97000000000003</v>
      </c>
      <c r="I636" s="4">
        <v>0</v>
      </c>
      <c r="J636" s="4" t="s">
        <v>722</v>
      </c>
      <c r="K636" s="6" t="s">
        <v>723</v>
      </c>
      <c r="L636" s="6" t="s">
        <v>1640</v>
      </c>
      <c r="R636" t="s">
        <v>2076</v>
      </c>
    </row>
    <row r="637" spans="1:18" x14ac:dyDescent="0.2">
      <c r="A637" s="4" t="s">
        <v>2077</v>
      </c>
      <c r="B637" s="4" t="s">
        <v>2078</v>
      </c>
      <c r="C637" s="5" t="s">
        <v>19</v>
      </c>
      <c r="D637" s="5">
        <v>200</v>
      </c>
      <c r="E637" s="5">
        <f t="shared" si="9"/>
        <v>200</v>
      </c>
      <c r="F637" s="5"/>
      <c r="G637" s="5"/>
      <c r="H637" s="5">
        <v>212.97</v>
      </c>
      <c r="I637" s="4">
        <v>0</v>
      </c>
      <c r="J637" s="4" t="s">
        <v>722</v>
      </c>
      <c r="K637" s="6" t="s">
        <v>723</v>
      </c>
      <c r="L637" s="6" t="s">
        <v>1640</v>
      </c>
      <c r="R637" t="s">
        <v>2079</v>
      </c>
    </row>
    <row r="638" spans="1:18" x14ac:dyDescent="0.2">
      <c r="A638" s="4" t="s">
        <v>2080</v>
      </c>
      <c r="B638" s="4" t="s">
        <v>2081</v>
      </c>
      <c r="C638" s="5" t="s">
        <v>19</v>
      </c>
      <c r="D638" s="5">
        <v>150</v>
      </c>
      <c r="E638" s="5">
        <f t="shared" si="9"/>
        <v>150</v>
      </c>
      <c r="F638" s="5"/>
      <c r="G638" s="5"/>
      <c r="H638" s="5">
        <v>232.97</v>
      </c>
      <c r="I638" s="4">
        <v>0</v>
      </c>
      <c r="J638" s="4" t="s">
        <v>722</v>
      </c>
      <c r="K638" s="6" t="s">
        <v>723</v>
      </c>
      <c r="L638" s="6" t="s">
        <v>1640</v>
      </c>
      <c r="R638" t="s">
        <v>2082</v>
      </c>
    </row>
    <row r="639" spans="1:18" x14ac:dyDescent="0.2">
      <c r="A639" s="4" t="s">
        <v>2083</v>
      </c>
      <c r="B639" s="4" t="s">
        <v>2084</v>
      </c>
      <c r="C639" s="5" t="s">
        <v>19</v>
      </c>
      <c r="D639" s="5">
        <v>80</v>
      </c>
      <c r="E639" s="5">
        <f t="shared" si="9"/>
        <v>80</v>
      </c>
      <c r="F639" s="5"/>
      <c r="G639" s="5"/>
      <c r="H639" s="5">
        <v>82.97</v>
      </c>
      <c r="I639" s="4">
        <v>0</v>
      </c>
      <c r="J639" s="4" t="s">
        <v>722</v>
      </c>
      <c r="K639" s="6" t="s">
        <v>723</v>
      </c>
      <c r="L639" s="6" t="s">
        <v>1640</v>
      </c>
      <c r="R639" t="s">
        <v>2085</v>
      </c>
    </row>
    <row r="640" spans="1:18" x14ac:dyDescent="0.2">
      <c r="A640" s="4" t="s">
        <v>2086</v>
      </c>
      <c r="B640" s="4" t="s">
        <v>2087</v>
      </c>
      <c r="C640" s="5" t="s">
        <v>19</v>
      </c>
      <c r="D640" s="5">
        <v>150</v>
      </c>
      <c r="E640" s="5">
        <f t="shared" si="9"/>
        <v>150</v>
      </c>
      <c r="F640" s="5"/>
      <c r="G640" s="5"/>
      <c r="H640" s="5">
        <v>152.97</v>
      </c>
      <c r="I640" s="4">
        <v>0</v>
      </c>
      <c r="J640" s="4" t="s">
        <v>722</v>
      </c>
      <c r="K640" s="6" t="s">
        <v>723</v>
      </c>
      <c r="L640" s="6" t="s">
        <v>1640</v>
      </c>
      <c r="R640" t="s">
        <v>2088</v>
      </c>
    </row>
    <row r="641" spans="1:18" x14ac:dyDescent="0.2">
      <c r="A641" s="4" t="s">
        <v>2089</v>
      </c>
      <c r="B641" s="4" t="s">
        <v>2090</v>
      </c>
      <c r="C641" s="5" t="s">
        <v>19</v>
      </c>
      <c r="D641" s="5">
        <v>300</v>
      </c>
      <c r="E641" s="5">
        <f t="shared" si="9"/>
        <v>300</v>
      </c>
      <c r="F641" s="5"/>
      <c r="G641" s="5"/>
      <c r="H641" s="5">
        <v>302.97000000000003</v>
      </c>
      <c r="I641" s="4">
        <v>0</v>
      </c>
      <c r="J641" s="4" t="s">
        <v>722</v>
      </c>
      <c r="K641" s="6" t="s">
        <v>723</v>
      </c>
      <c r="L641" s="6" t="s">
        <v>1640</v>
      </c>
      <c r="R641" t="s">
        <v>2091</v>
      </c>
    </row>
    <row r="642" spans="1:18" x14ac:dyDescent="0.2">
      <c r="A642" s="4" t="s">
        <v>2092</v>
      </c>
      <c r="B642" s="4" t="s">
        <v>2093</v>
      </c>
      <c r="C642" s="5" t="s">
        <v>19</v>
      </c>
      <c r="D642" s="5">
        <v>150</v>
      </c>
      <c r="E642" s="5">
        <f t="shared" si="9"/>
        <v>150</v>
      </c>
      <c r="F642" s="5"/>
      <c r="G642" s="5"/>
      <c r="H642" s="5">
        <v>152.97</v>
      </c>
      <c r="I642" s="4">
        <v>0</v>
      </c>
      <c r="J642" s="4" t="s">
        <v>722</v>
      </c>
      <c r="K642" s="6" t="s">
        <v>723</v>
      </c>
      <c r="L642" s="6" t="s">
        <v>1640</v>
      </c>
      <c r="R642" t="s">
        <v>2094</v>
      </c>
    </row>
    <row r="643" spans="1:18" x14ac:dyDescent="0.2">
      <c r="A643" s="4" t="s">
        <v>2095</v>
      </c>
      <c r="B643" s="4" t="s">
        <v>2096</v>
      </c>
      <c r="C643" s="5" t="s">
        <v>19</v>
      </c>
      <c r="D643" s="5">
        <v>150</v>
      </c>
      <c r="E643" s="5">
        <f t="shared" si="9"/>
        <v>150</v>
      </c>
      <c r="F643" s="5"/>
      <c r="G643" s="5"/>
      <c r="H643" s="5">
        <v>152.97</v>
      </c>
      <c r="I643" s="4">
        <v>0</v>
      </c>
      <c r="J643" s="4" t="s">
        <v>722</v>
      </c>
      <c r="K643" s="6" t="s">
        <v>723</v>
      </c>
      <c r="L643" s="6" t="s">
        <v>1640</v>
      </c>
      <c r="R643" t="s">
        <v>2097</v>
      </c>
    </row>
    <row r="644" spans="1:18" x14ac:dyDescent="0.2">
      <c r="A644" s="4" t="s">
        <v>2098</v>
      </c>
      <c r="B644" s="4" t="s">
        <v>2099</v>
      </c>
      <c r="C644" s="5" t="s">
        <v>19</v>
      </c>
      <c r="D644" s="5">
        <v>300</v>
      </c>
      <c r="E644" s="5">
        <f t="shared" si="9"/>
        <v>300</v>
      </c>
      <c r="F644" s="5"/>
      <c r="G644" s="5"/>
      <c r="H644" s="5">
        <v>302.97000000000003</v>
      </c>
      <c r="I644" s="4">
        <v>0</v>
      </c>
      <c r="J644" s="4" t="s">
        <v>722</v>
      </c>
      <c r="K644" s="6" t="s">
        <v>723</v>
      </c>
      <c r="L644" s="6" t="s">
        <v>1640</v>
      </c>
      <c r="R644" t="s">
        <v>2100</v>
      </c>
    </row>
    <row r="645" spans="1:18" x14ac:dyDescent="0.2">
      <c r="A645" s="4"/>
      <c r="B645" s="4"/>
      <c r="C645" s="5"/>
      <c r="D645" s="5"/>
      <c r="E645" s="5"/>
      <c r="F645" s="5"/>
      <c r="G645" s="5"/>
      <c r="H645" s="5"/>
      <c r="I645" s="4"/>
      <c r="J645" s="4"/>
      <c r="K645" s="6"/>
      <c r="L645" s="6"/>
    </row>
    <row r="646" spans="1:18" x14ac:dyDescent="0.2">
      <c r="A646" s="4" t="s">
        <v>2101</v>
      </c>
      <c r="B646" s="4" t="s">
        <v>2102</v>
      </c>
      <c r="C646" s="5" t="s">
        <v>19</v>
      </c>
      <c r="D646" s="5">
        <v>100</v>
      </c>
      <c r="E646" s="5">
        <f>D646</f>
        <v>100</v>
      </c>
      <c r="F646" s="5"/>
      <c r="G646" s="5"/>
      <c r="H646" s="5">
        <v>1682.97</v>
      </c>
      <c r="I646" s="4">
        <v>0</v>
      </c>
      <c r="J646" s="4" t="s">
        <v>722</v>
      </c>
      <c r="K646" s="6" t="s">
        <v>723</v>
      </c>
      <c r="L646" s="6" t="s">
        <v>1640</v>
      </c>
      <c r="R646" t="s">
        <v>2103</v>
      </c>
    </row>
    <row r="647" spans="1:18" x14ac:dyDescent="0.2">
      <c r="A647" s="4" t="s">
        <v>2104</v>
      </c>
      <c r="B647" s="4" t="s">
        <v>2102</v>
      </c>
      <c r="C647" s="5" t="s">
        <v>19</v>
      </c>
      <c r="D647" s="5">
        <v>600</v>
      </c>
      <c r="E647" s="5">
        <f>D647</f>
        <v>600</v>
      </c>
      <c r="F647" s="5"/>
      <c r="G647" s="5"/>
      <c r="H647" s="5">
        <v>1782.97</v>
      </c>
      <c r="I647" s="4">
        <v>0</v>
      </c>
      <c r="J647" s="4" t="s">
        <v>722</v>
      </c>
      <c r="K647" s="6" t="s">
        <v>723</v>
      </c>
      <c r="L647" s="6" t="s">
        <v>1640</v>
      </c>
      <c r="R647" t="s">
        <v>2105</v>
      </c>
    </row>
    <row r="648" spans="1:18" x14ac:dyDescent="0.2">
      <c r="A648" s="4" t="s">
        <v>2106</v>
      </c>
      <c r="B648" s="4" t="s">
        <v>2102</v>
      </c>
      <c r="C648" s="5" t="s">
        <v>19</v>
      </c>
      <c r="D648" s="5">
        <v>1000</v>
      </c>
      <c r="E648" s="5">
        <f>D648</f>
        <v>1000</v>
      </c>
      <c r="F648" s="5"/>
      <c r="G648" s="5"/>
      <c r="H648" s="5">
        <v>1182.97</v>
      </c>
      <c r="I648" s="4">
        <v>0</v>
      </c>
      <c r="J648" s="4" t="s">
        <v>722</v>
      </c>
      <c r="K648" s="6" t="s">
        <v>723</v>
      </c>
      <c r="L648" s="6" t="s">
        <v>1640</v>
      </c>
      <c r="R648" t="s">
        <v>2107</v>
      </c>
    </row>
    <row r="649" spans="1:18" x14ac:dyDescent="0.2">
      <c r="A649" s="4" t="s">
        <v>2108</v>
      </c>
      <c r="B649" s="4" t="s">
        <v>2109</v>
      </c>
      <c r="C649" s="5" t="s">
        <v>34</v>
      </c>
      <c r="D649" s="5">
        <v>625</v>
      </c>
      <c r="E649" s="5"/>
      <c r="F649" s="5">
        <f>D649</f>
        <v>625</v>
      </c>
      <c r="G649" s="5"/>
      <c r="H649" s="5">
        <v>1232.97</v>
      </c>
      <c r="I649" s="4">
        <v>0</v>
      </c>
      <c r="J649" s="4" t="s">
        <v>323</v>
      </c>
      <c r="K649" s="6" t="s">
        <v>324</v>
      </c>
      <c r="L649" s="6" t="s">
        <v>2065</v>
      </c>
      <c r="R649" t="s">
        <v>2110</v>
      </c>
    </row>
    <row r="650" spans="1:18" x14ac:dyDescent="0.2">
      <c r="A650" s="4" t="s">
        <v>2111</v>
      </c>
      <c r="B650" s="4" t="s">
        <v>2112</v>
      </c>
      <c r="C650" s="5" t="s">
        <v>19</v>
      </c>
      <c r="D650" s="5">
        <v>100</v>
      </c>
      <c r="E650" s="5">
        <f t="shared" ref="E650:E655" si="10">D650</f>
        <v>100</v>
      </c>
      <c r="F650" s="5"/>
      <c r="G650" s="5"/>
      <c r="H650" s="5">
        <v>657.97</v>
      </c>
      <c r="I650" s="4">
        <v>0</v>
      </c>
      <c r="J650" s="4" t="s">
        <v>722</v>
      </c>
      <c r="K650" s="6" t="s">
        <v>723</v>
      </c>
      <c r="L650" s="6" t="s">
        <v>1640</v>
      </c>
      <c r="R650" t="s">
        <v>2113</v>
      </c>
    </row>
    <row r="651" spans="1:18" x14ac:dyDescent="0.2">
      <c r="A651" s="4" t="s">
        <v>2114</v>
      </c>
      <c r="B651" s="4" t="s">
        <v>2115</v>
      </c>
      <c r="C651" s="5" t="s">
        <v>19</v>
      </c>
      <c r="D651" s="5">
        <v>600</v>
      </c>
      <c r="E651" s="5">
        <f t="shared" si="10"/>
        <v>600</v>
      </c>
      <c r="F651" s="5"/>
      <c r="G651" s="5"/>
      <c r="H651" s="5">
        <v>607.97</v>
      </c>
      <c r="I651" s="4">
        <v>0</v>
      </c>
      <c r="J651" s="4" t="s">
        <v>722</v>
      </c>
      <c r="K651" s="6" t="s">
        <v>723</v>
      </c>
      <c r="L651" s="6" t="s">
        <v>1640</v>
      </c>
      <c r="R651" t="s">
        <v>2116</v>
      </c>
    </row>
    <row r="652" spans="1:18" x14ac:dyDescent="0.2">
      <c r="A652" s="4" t="s">
        <v>2117</v>
      </c>
      <c r="B652" s="4" t="s">
        <v>2118</v>
      </c>
      <c r="C652" s="5" t="s">
        <v>19</v>
      </c>
      <c r="D652" s="5">
        <v>300</v>
      </c>
      <c r="E652" s="5">
        <f t="shared" si="10"/>
        <v>300</v>
      </c>
      <c r="F652" s="5"/>
      <c r="G652" s="5"/>
      <c r="H652" s="5">
        <v>307.97000000000003</v>
      </c>
      <c r="I652" s="4">
        <v>0</v>
      </c>
      <c r="J652" s="4" t="s">
        <v>722</v>
      </c>
      <c r="K652" s="6" t="s">
        <v>723</v>
      </c>
      <c r="L652" s="6" t="s">
        <v>1640</v>
      </c>
      <c r="R652" t="s">
        <v>2119</v>
      </c>
    </row>
    <row r="653" spans="1:18" x14ac:dyDescent="0.2">
      <c r="A653" s="4" t="s">
        <v>2120</v>
      </c>
      <c r="B653" s="4" t="s">
        <v>2121</v>
      </c>
      <c r="C653" s="5" t="s">
        <v>19</v>
      </c>
      <c r="D653" s="5">
        <v>1400</v>
      </c>
      <c r="E653" s="5">
        <f t="shared" si="10"/>
        <v>1400</v>
      </c>
      <c r="F653" s="5"/>
      <c r="G653" s="5"/>
      <c r="H653" s="5">
        <v>1407.97</v>
      </c>
      <c r="I653" s="4">
        <v>0</v>
      </c>
      <c r="J653" s="4" t="s">
        <v>722</v>
      </c>
      <c r="K653" s="6" t="s">
        <v>723</v>
      </c>
      <c r="L653" s="6" t="s">
        <v>1640</v>
      </c>
      <c r="R653" t="s">
        <v>2122</v>
      </c>
    </row>
    <row r="654" spans="1:18" x14ac:dyDescent="0.2">
      <c r="A654" s="4" t="s">
        <v>2123</v>
      </c>
      <c r="B654" s="4" t="s">
        <v>2124</v>
      </c>
      <c r="C654" s="5" t="s">
        <v>19</v>
      </c>
      <c r="D654" s="5">
        <v>300</v>
      </c>
      <c r="E654" s="5">
        <f t="shared" si="10"/>
        <v>300</v>
      </c>
      <c r="F654" s="5"/>
      <c r="G654" s="5"/>
      <c r="H654" s="5">
        <v>307.97000000000003</v>
      </c>
      <c r="I654" s="4">
        <v>0</v>
      </c>
      <c r="J654" s="4" t="s">
        <v>722</v>
      </c>
      <c r="K654" s="6" t="s">
        <v>723</v>
      </c>
      <c r="L654" s="6" t="s">
        <v>1640</v>
      </c>
      <c r="R654" t="s">
        <v>2125</v>
      </c>
    </row>
    <row r="655" spans="1:18" x14ac:dyDescent="0.2">
      <c r="A655" s="4" t="s">
        <v>2126</v>
      </c>
      <c r="B655" s="4" t="s">
        <v>2127</v>
      </c>
      <c r="C655" s="5" t="s">
        <v>19</v>
      </c>
      <c r="D655" s="5">
        <v>300</v>
      </c>
      <c r="E655" s="5">
        <f t="shared" si="10"/>
        <v>300</v>
      </c>
      <c r="F655" s="5"/>
      <c r="G655" s="5"/>
      <c r="H655" s="5">
        <v>307.97000000000003</v>
      </c>
      <c r="I655" s="4">
        <v>0</v>
      </c>
      <c r="J655" s="4" t="s">
        <v>722</v>
      </c>
      <c r="K655" s="6" t="s">
        <v>723</v>
      </c>
      <c r="L655" s="6" t="s">
        <v>1640</v>
      </c>
      <c r="R655" t="s">
        <v>2128</v>
      </c>
    </row>
    <row r="656" spans="1:18" x14ac:dyDescent="0.2">
      <c r="A656" s="4"/>
      <c r="B656" s="4"/>
      <c r="C656" s="5"/>
      <c r="D656" s="5"/>
      <c r="E656" s="5"/>
      <c r="F656" s="5"/>
      <c r="G656" s="5"/>
      <c r="H656" s="5"/>
      <c r="I656" s="4"/>
      <c r="J656" s="4"/>
      <c r="K656" s="6"/>
      <c r="L656" s="6"/>
    </row>
    <row r="657" spans="1:18" x14ac:dyDescent="0.2">
      <c r="A657" s="4" t="s">
        <v>2129</v>
      </c>
      <c r="B657" s="4" t="s">
        <v>2130</v>
      </c>
      <c r="C657" s="5" t="s">
        <v>19</v>
      </c>
      <c r="D657" s="5">
        <v>600</v>
      </c>
      <c r="E657" s="5">
        <f>D657</f>
        <v>600</v>
      </c>
      <c r="F657" s="5"/>
      <c r="G657" s="5"/>
      <c r="H657" s="5">
        <v>607.97</v>
      </c>
      <c r="I657" s="4">
        <v>0</v>
      </c>
      <c r="J657" s="4" t="s">
        <v>722</v>
      </c>
      <c r="K657" s="6" t="s">
        <v>723</v>
      </c>
      <c r="L657" s="6" t="s">
        <v>1640</v>
      </c>
      <c r="R657" t="s">
        <v>2131</v>
      </c>
    </row>
    <row r="658" spans="1:18" x14ac:dyDescent="0.2">
      <c r="A658" s="4" t="s">
        <v>2132</v>
      </c>
      <c r="B658" s="4" t="s">
        <v>2133</v>
      </c>
      <c r="C658" s="5" t="s">
        <v>34</v>
      </c>
      <c r="D658" s="5">
        <v>625</v>
      </c>
      <c r="E658" s="5"/>
      <c r="F658" s="5">
        <f>D658</f>
        <v>625</v>
      </c>
      <c r="G658" s="5"/>
      <c r="H658" s="5">
        <v>852.37</v>
      </c>
      <c r="I658" s="4">
        <v>0</v>
      </c>
      <c r="J658" s="4" t="s">
        <v>323</v>
      </c>
      <c r="K658" s="6" t="s">
        <v>324</v>
      </c>
      <c r="L658" s="6" t="s">
        <v>2065</v>
      </c>
      <c r="R658" t="s">
        <v>2134</v>
      </c>
    </row>
    <row r="659" spans="1:18" x14ac:dyDescent="0.2">
      <c r="A659" s="4" t="s">
        <v>2135</v>
      </c>
      <c r="B659" s="4" t="s">
        <v>2136</v>
      </c>
      <c r="C659" s="5" t="s">
        <v>19</v>
      </c>
      <c r="D659" s="5">
        <v>300</v>
      </c>
      <c r="E659" s="5">
        <f>D659</f>
        <v>300</v>
      </c>
      <c r="F659" s="5"/>
      <c r="G659" s="5"/>
      <c r="H659" s="5">
        <v>481.37</v>
      </c>
      <c r="I659" s="4">
        <v>0</v>
      </c>
      <c r="J659" s="4" t="s">
        <v>722</v>
      </c>
      <c r="K659" s="6" t="s">
        <v>723</v>
      </c>
      <c r="L659" s="6" t="s">
        <v>1640</v>
      </c>
      <c r="R659" t="s">
        <v>2137</v>
      </c>
    </row>
    <row r="660" spans="1:18" x14ac:dyDescent="0.2">
      <c r="A660" s="4" t="s">
        <v>2138</v>
      </c>
      <c r="B660" s="4" t="s">
        <v>2136</v>
      </c>
      <c r="C660" s="5" t="s">
        <v>19</v>
      </c>
      <c r="D660" s="5">
        <v>250</v>
      </c>
      <c r="E660" s="5"/>
      <c r="F660" s="5">
        <f>D660</f>
        <v>250</v>
      </c>
      <c r="G660" s="5"/>
      <c r="H660" s="5">
        <v>250.87</v>
      </c>
      <c r="I660" s="4">
        <v>0</v>
      </c>
      <c r="J660" s="4" t="s">
        <v>722</v>
      </c>
      <c r="K660" s="6" t="s">
        <v>723</v>
      </c>
      <c r="L660" s="6" t="s">
        <v>2139</v>
      </c>
      <c r="R660" t="s">
        <v>2140</v>
      </c>
    </row>
    <row r="661" spans="1:18" x14ac:dyDescent="0.2">
      <c r="A661" s="4" t="s">
        <v>2141</v>
      </c>
      <c r="B661" s="4" t="s">
        <v>2142</v>
      </c>
      <c r="C661" s="5" t="s">
        <v>19</v>
      </c>
      <c r="D661" s="5">
        <v>300</v>
      </c>
      <c r="E661" s="5">
        <f>D661</f>
        <v>300</v>
      </c>
      <c r="F661" s="5"/>
      <c r="G661" s="5"/>
      <c r="H661" s="5">
        <v>301.3</v>
      </c>
      <c r="I661" s="4">
        <v>0</v>
      </c>
      <c r="J661" s="4" t="s">
        <v>722</v>
      </c>
      <c r="K661" s="6" t="s">
        <v>723</v>
      </c>
      <c r="L661" s="6" t="s">
        <v>1640</v>
      </c>
      <c r="R661" t="s">
        <v>2143</v>
      </c>
    </row>
    <row r="662" spans="1:18" x14ac:dyDescent="0.2">
      <c r="A662" s="4" t="s">
        <v>2144</v>
      </c>
      <c r="B662" s="4" t="s">
        <v>2145</v>
      </c>
      <c r="C662" s="5" t="s">
        <v>19</v>
      </c>
      <c r="D662" s="5">
        <v>300</v>
      </c>
      <c r="E662" s="5">
        <f>D662</f>
        <v>300</v>
      </c>
      <c r="F662" s="5"/>
      <c r="G662" s="5"/>
      <c r="H662" s="5">
        <v>301.25</v>
      </c>
      <c r="I662" s="4">
        <v>0</v>
      </c>
      <c r="J662" s="4" t="s">
        <v>765</v>
      </c>
      <c r="K662" s="6" t="s">
        <v>42</v>
      </c>
      <c r="L662" s="6" t="s">
        <v>2146</v>
      </c>
      <c r="R662" t="s">
        <v>2147</v>
      </c>
    </row>
    <row r="663" spans="1:18" x14ac:dyDescent="0.2">
      <c r="A663" s="4" t="s">
        <v>2148</v>
      </c>
      <c r="B663" s="4" t="s">
        <v>2149</v>
      </c>
      <c r="C663" s="5" t="s">
        <v>19</v>
      </c>
      <c r="D663" s="5">
        <v>300</v>
      </c>
      <c r="E663" s="5">
        <f>D663</f>
        <v>300</v>
      </c>
      <c r="F663" s="5"/>
      <c r="G663" s="5"/>
      <c r="H663" s="5">
        <v>309.75</v>
      </c>
      <c r="I663" s="4">
        <v>0</v>
      </c>
      <c r="J663" s="4" t="s">
        <v>722</v>
      </c>
      <c r="K663" s="6" t="s">
        <v>723</v>
      </c>
      <c r="L663" s="6" t="s">
        <v>1640</v>
      </c>
      <c r="R663" t="s">
        <v>2150</v>
      </c>
    </row>
    <row r="664" spans="1:18" x14ac:dyDescent="0.2">
      <c r="A664" s="4" t="s">
        <v>2151</v>
      </c>
      <c r="B664" s="4" t="s">
        <v>2152</v>
      </c>
      <c r="C664" s="5" t="s">
        <v>19</v>
      </c>
      <c r="D664" s="5">
        <v>300</v>
      </c>
      <c r="E664" s="5">
        <f>D664</f>
        <v>300</v>
      </c>
      <c r="F664" s="5"/>
      <c r="G664" s="5"/>
      <c r="H664" s="5">
        <v>314.24</v>
      </c>
      <c r="I664" s="4">
        <v>0</v>
      </c>
      <c r="J664" s="4" t="s">
        <v>722</v>
      </c>
      <c r="K664" s="6" t="s">
        <v>723</v>
      </c>
      <c r="L664" s="6" t="s">
        <v>1640</v>
      </c>
      <c r="R664" t="s">
        <v>2153</v>
      </c>
    </row>
    <row r="665" spans="1:18" x14ac:dyDescent="0.2">
      <c r="A665" s="4"/>
      <c r="B665" s="4"/>
      <c r="C665" s="5"/>
      <c r="D665" s="5"/>
      <c r="E665" s="5"/>
      <c r="F665" s="5"/>
      <c r="G665" s="5"/>
      <c r="H665" s="5"/>
      <c r="I665" s="4"/>
      <c r="J665" s="4"/>
      <c r="K665" s="6"/>
      <c r="L665" s="6"/>
    </row>
    <row r="666" spans="1:18" x14ac:dyDescent="0.2">
      <c r="A666" s="4" t="s">
        <v>2154</v>
      </c>
      <c r="B666" s="4" t="s">
        <v>2155</v>
      </c>
      <c r="C666" s="5" t="s">
        <v>34</v>
      </c>
      <c r="D666" s="5">
        <v>625</v>
      </c>
      <c r="E666" s="5"/>
      <c r="F666" s="5">
        <f>D666</f>
        <v>625</v>
      </c>
      <c r="G666" s="5"/>
      <c r="H666" s="5">
        <v>638.99</v>
      </c>
      <c r="I666" s="4">
        <v>0</v>
      </c>
      <c r="J666" s="4" t="s">
        <v>323</v>
      </c>
      <c r="K666" s="6" t="s">
        <v>324</v>
      </c>
      <c r="L666" s="6" t="s">
        <v>2065</v>
      </c>
      <c r="R666" t="s">
        <v>2156</v>
      </c>
    </row>
    <row r="667" spans="1:18" x14ac:dyDescent="0.2">
      <c r="A667" s="4" t="s">
        <v>2157</v>
      </c>
      <c r="B667" s="4" t="s">
        <v>2158</v>
      </c>
      <c r="C667" s="5" t="s">
        <v>19</v>
      </c>
      <c r="D667" s="5">
        <v>200</v>
      </c>
      <c r="E667" s="5">
        <f t="shared" ref="E667:E674" si="11">D667</f>
        <v>200</v>
      </c>
      <c r="F667" s="5"/>
      <c r="G667" s="5"/>
      <c r="H667" s="5">
        <v>202.99</v>
      </c>
      <c r="I667" s="4">
        <v>0</v>
      </c>
      <c r="J667" s="4" t="s">
        <v>722</v>
      </c>
      <c r="K667" s="6" t="s">
        <v>723</v>
      </c>
      <c r="L667" s="6" t="s">
        <v>1640</v>
      </c>
      <c r="R667" t="s">
        <v>2159</v>
      </c>
    </row>
    <row r="668" spans="1:18" x14ac:dyDescent="0.2">
      <c r="A668" s="4" t="s">
        <v>2160</v>
      </c>
      <c r="B668" s="4" t="s">
        <v>2161</v>
      </c>
      <c r="C668" s="5" t="s">
        <v>19</v>
      </c>
      <c r="D668" s="5">
        <v>200</v>
      </c>
      <c r="E668" s="5">
        <f t="shared" si="11"/>
        <v>200</v>
      </c>
      <c r="F668" s="5"/>
      <c r="G668" s="5"/>
      <c r="H668" s="5">
        <v>204.49</v>
      </c>
      <c r="I668" s="4">
        <v>0</v>
      </c>
      <c r="J668" s="4" t="s">
        <v>722</v>
      </c>
      <c r="K668" s="6" t="s">
        <v>723</v>
      </c>
      <c r="L668" s="6" t="s">
        <v>1640</v>
      </c>
      <c r="R668" t="s">
        <v>2162</v>
      </c>
    </row>
    <row r="669" spans="1:18" x14ac:dyDescent="0.2">
      <c r="A669" s="4" t="s">
        <v>2163</v>
      </c>
      <c r="B669" s="4" t="s">
        <v>2164</v>
      </c>
      <c r="C669" s="5" t="s">
        <v>19</v>
      </c>
      <c r="D669" s="5">
        <v>200</v>
      </c>
      <c r="E669" s="5">
        <f t="shared" si="11"/>
        <v>200</v>
      </c>
      <c r="F669" s="5"/>
      <c r="G669" s="5"/>
      <c r="H669" s="5">
        <v>226.24</v>
      </c>
      <c r="I669" s="4">
        <v>0</v>
      </c>
      <c r="J669" s="4" t="s">
        <v>722</v>
      </c>
      <c r="K669" s="6" t="s">
        <v>723</v>
      </c>
      <c r="L669" s="6" t="s">
        <v>1640</v>
      </c>
      <c r="R669" t="s">
        <v>2165</v>
      </c>
    </row>
    <row r="670" spans="1:18" x14ac:dyDescent="0.2">
      <c r="A670" s="4" t="s">
        <v>2166</v>
      </c>
      <c r="B670" s="4" t="s">
        <v>2167</v>
      </c>
      <c r="C670" s="5" t="s">
        <v>19</v>
      </c>
      <c r="D670" s="5">
        <v>200</v>
      </c>
      <c r="E670" s="5">
        <f t="shared" si="11"/>
        <v>200</v>
      </c>
      <c r="F670" s="5"/>
      <c r="G670" s="5"/>
      <c r="H670" s="5">
        <v>202.24</v>
      </c>
      <c r="I670" s="4">
        <v>0</v>
      </c>
      <c r="J670" s="4" t="s">
        <v>722</v>
      </c>
      <c r="K670" s="6" t="s">
        <v>723</v>
      </c>
      <c r="L670" s="6" t="s">
        <v>1640</v>
      </c>
      <c r="R670" t="s">
        <v>2168</v>
      </c>
    </row>
    <row r="671" spans="1:18" x14ac:dyDescent="0.2">
      <c r="A671" s="4" t="s">
        <v>2169</v>
      </c>
      <c r="B671" s="4" t="s">
        <v>2170</v>
      </c>
      <c r="C671" s="5" t="s">
        <v>19</v>
      </c>
      <c r="D671" s="5">
        <v>300</v>
      </c>
      <c r="E671" s="5">
        <f t="shared" si="11"/>
        <v>300</v>
      </c>
      <c r="F671" s="5"/>
      <c r="G671" s="5"/>
      <c r="H671" s="5">
        <v>301.82</v>
      </c>
      <c r="I671" s="4">
        <v>0</v>
      </c>
      <c r="J671" s="4" t="s">
        <v>722</v>
      </c>
      <c r="K671" s="6" t="s">
        <v>723</v>
      </c>
      <c r="L671" s="6" t="s">
        <v>1640</v>
      </c>
      <c r="R671" t="s">
        <v>2171</v>
      </c>
    </row>
    <row r="672" spans="1:18" x14ac:dyDescent="0.2">
      <c r="A672" s="4" t="s">
        <v>2172</v>
      </c>
      <c r="B672" s="4" t="s">
        <v>2173</v>
      </c>
      <c r="C672" s="5" t="s">
        <v>19</v>
      </c>
      <c r="D672" s="5">
        <v>200</v>
      </c>
      <c r="E672" s="5">
        <f t="shared" si="11"/>
        <v>200</v>
      </c>
      <c r="F672" s="5"/>
      <c r="G672" s="5"/>
      <c r="H672" s="5">
        <v>281.36</v>
      </c>
      <c r="I672" s="4">
        <v>0</v>
      </c>
      <c r="J672" s="4" t="s">
        <v>722</v>
      </c>
      <c r="K672" s="6" t="s">
        <v>723</v>
      </c>
      <c r="L672" s="6" t="s">
        <v>1640</v>
      </c>
      <c r="R672" t="s">
        <v>2174</v>
      </c>
    </row>
    <row r="673" spans="1:18" x14ac:dyDescent="0.2">
      <c r="A673" s="4" t="s">
        <v>2175</v>
      </c>
      <c r="B673" s="4" t="s">
        <v>2176</v>
      </c>
      <c r="C673" s="5" t="s">
        <v>19</v>
      </c>
      <c r="D673" s="5">
        <v>400</v>
      </c>
      <c r="E673" s="5">
        <f t="shared" si="11"/>
        <v>400</v>
      </c>
      <c r="F673" s="5"/>
      <c r="G673" s="5"/>
      <c r="H673" s="5">
        <v>439.34</v>
      </c>
      <c r="I673" s="4">
        <v>0</v>
      </c>
      <c r="J673" s="4" t="s">
        <v>722</v>
      </c>
      <c r="K673" s="6" t="s">
        <v>723</v>
      </c>
      <c r="L673" s="6" t="s">
        <v>1640</v>
      </c>
      <c r="R673" t="s">
        <v>2177</v>
      </c>
    </row>
    <row r="674" spans="1:18" x14ac:dyDescent="0.2">
      <c r="A674" s="4" t="s">
        <v>2178</v>
      </c>
      <c r="B674" s="4" t="s">
        <v>2179</v>
      </c>
      <c r="C674" s="5" t="s">
        <v>19</v>
      </c>
      <c r="D674" s="5">
        <v>250</v>
      </c>
      <c r="E674" s="5">
        <f t="shared" si="11"/>
        <v>250</v>
      </c>
      <c r="F674" s="5"/>
      <c r="G674" s="5"/>
      <c r="H674" s="5">
        <v>261.83999999999997</v>
      </c>
      <c r="I674" s="4">
        <v>0</v>
      </c>
      <c r="J674" s="4" t="s">
        <v>722</v>
      </c>
      <c r="K674" s="6" t="s">
        <v>723</v>
      </c>
      <c r="L674" s="6" t="s">
        <v>1640</v>
      </c>
      <c r="R674" t="s">
        <v>2180</v>
      </c>
    </row>
    <row r="675" spans="1:18" x14ac:dyDescent="0.2">
      <c r="A675" s="4"/>
      <c r="B675" s="4"/>
      <c r="C675" s="5"/>
      <c r="D675" s="5"/>
      <c r="E675" s="5"/>
      <c r="F675" s="5"/>
      <c r="G675" s="5"/>
      <c r="H675" s="5"/>
      <c r="I675" s="4"/>
      <c r="J675" s="4"/>
      <c r="K675" s="6"/>
      <c r="L675" s="6"/>
    </row>
    <row r="676" spans="1:18" x14ac:dyDescent="0.2">
      <c r="A676" s="4" t="s">
        <v>2181</v>
      </c>
      <c r="B676" s="4" t="s">
        <v>2182</v>
      </c>
      <c r="C676" s="5" t="s">
        <v>19</v>
      </c>
      <c r="D676" s="5">
        <v>200</v>
      </c>
      <c r="E676" s="5">
        <f>D676</f>
        <v>200</v>
      </c>
      <c r="F676" s="5"/>
      <c r="G676" s="5"/>
      <c r="H676" s="5">
        <v>259.58999999999997</v>
      </c>
      <c r="I676" s="4">
        <v>0</v>
      </c>
      <c r="J676" s="4" t="s">
        <v>722</v>
      </c>
      <c r="K676" s="6" t="s">
        <v>723</v>
      </c>
      <c r="L676" s="6" t="s">
        <v>1640</v>
      </c>
      <c r="R676" t="s">
        <v>2183</v>
      </c>
    </row>
    <row r="677" spans="1:18" x14ac:dyDescent="0.2">
      <c r="A677" s="4" t="s">
        <v>2184</v>
      </c>
      <c r="B677" s="4" t="s">
        <v>2185</v>
      </c>
      <c r="C677" s="5" t="s">
        <v>92</v>
      </c>
      <c r="D677" s="5">
        <v>6</v>
      </c>
      <c r="E677" s="5"/>
      <c r="F677" s="5"/>
      <c r="G677" s="5"/>
      <c r="H677" s="5">
        <v>722.09</v>
      </c>
      <c r="I677" s="4">
        <v>0</v>
      </c>
      <c r="J677" s="4" t="s">
        <v>93</v>
      </c>
      <c r="K677" s="6" t="s">
        <v>92</v>
      </c>
      <c r="L677" s="6" t="s">
        <v>2186</v>
      </c>
      <c r="R677" t="s">
        <v>2187</v>
      </c>
    </row>
    <row r="678" spans="1:18" x14ac:dyDescent="0.2">
      <c r="A678" s="4" t="s">
        <v>2188</v>
      </c>
      <c r="B678" s="4" t="s">
        <v>2185</v>
      </c>
      <c r="C678" s="5" t="s">
        <v>92</v>
      </c>
      <c r="D678" s="5">
        <v>6</v>
      </c>
      <c r="E678" s="5"/>
      <c r="F678" s="5"/>
      <c r="G678" s="5"/>
      <c r="H678" s="5">
        <v>722.09</v>
      </c>
      <c r="I678" s="4">
        <v>0</v>
      </c>
      <c r="J678" s="4" t="s">
        <v>93</v>
      </c>
      <c r="K678" s="6" t="s">
        <v>92</v>
      </c>
      <c r="L678" s="6" t="s">
        <v>2186</v>
      </c>
      <c r="R678" t="s">
        <v>2189</v>
      </c>
    </row>
    <row r="679" spans="1:18" x14ac:dyDescent="0.2">
      <c r="A679" s="4" t="s">
        <v>2190</v>
      </c>
      <c r="B679" s="4" t="s">
        <v>2185</v>
      </c>
      <c r="C679" s="5" t="s">
        <v>92</v>
      </c>
      <c r="D679" s="5">
        <v>6</v>
      </c>
      <c r="E679" s="5"/>
      <c r="F679" s="5"/>
      <c r="G679" s="5"/>
      <c r="H679" s="5">
        <v>722.09</v>
      </c>
      <c r="I679" s="4">
        <v>0</v>
      </c>
      <c r="J679" s="4" t="s">
        <v>93</v>
      </c>
      <c r="K679" s="6" t="s">
        <v>92</v>
      </c>
      <c r="L679" s="6" t="s">
        <v>2186</v>
      </c>
      <c r="R679" t="s">
        <v>2191</v>
      </c>
    </row>
    <row r="680" spans="1:18" x14ac:dyDescent="0.2">
      <c r="A680" s="4" t="s">
        <v>2192</v>
      </c>
      <c r="B680" s="4" t="s">
        <v>2185</v>
      </c>
      <c r="C680" s="5" t="s">
        <v>92</v>
      </c>
      <c r="D680" s="5">
        <v>6</v>
      </c>
      <c r="E680" s="5"/>
      <c r="F680" s="5"/>
      <c r="G680" s="5"/>
      <c r="H680" s="5">
        <v>722.09</v>
      </c>
      <c r="I680" s="4">
        <v>0</v>
      </c>
      <c r="J680" s="4" t="s">
        <v>93</v>
      </c>
      <c r="K680" s="6" t="s">
        <v>92</v>
      </c>
      <c r="L680" s="6" t="s">
        <v>2186</v>
      </c>
      <c r="R680" t="s">
        <v>2193</v>
      </c>
    </row>
    <row r="681" spans="1:18" x14ac:dyDescent="0.2">
      <c r="A681" s="4" t="s">
        <v>2194</v>
      </c>
      <c r="B681" s="4" t="s">
        <v>2195</v>
      </c>
      <c r="C681" s="5" t="s">
        <v>34</v>
      </c>
      <c r="D681" s="5">
        <v>550</v>
      </c>
      <c r="E681" s="5"/>
      <c r="F681" s="5">
        <f>D681</f>
        <v>550</v>
      </c>
      <c r="G681" s="5"/>
      <c r="H681" s="5">
        <v>918.34</v>
      </c>
      <c r="I681" s="4">
        <v>0</v>
      </c>
      <c r="J681" s="4" t="s">
        <v>323</v>
      </c>
      <c r="K681" s="6" t="s">
        <v>324</v>
      </c>
      <c r="L681" s="6" t="s">
        <v>2065</v>
      </c>
      <c r="R681" t="s">
        <v>2196</v>
      </c>
    </row>
    <row r="682" spans="1:18" x14ac:dyDescent="0.2">
      <c r="A682" s="4" t="s">
        <v>2197</v>
      </c>
      <c r="B682" s="4" t="s">
        <v>2185</v>
      </c>
      <c r="C682" s="5" t="s">
        <v>19</v>
      </c>
      <c r="D682" s="5">
        <v>300</v>
      </c>
      <c r="E682" s="5">
        <f>D682</f>
        <v>300</v>
      </c>
      <c r="F682" s="5"/>
      <c r="G682" s="5"/>
      <c r="H682" s="5">
        <v>377.34</v>
      </c>
      <c r="I682" s="4">
        <v>0</v>
      </c>
      <c r="J682" s="4" t="s">
        <v>722</v>
      </c>
      <c r="K682" s="6" t="s">
        <v>723</v>
      </c>
      <c r="L682" s="6" t="s">
        <v>1640</v>
      </c>
      <c r="R682" t="s">
        <v>2198</v>
      </c>
    </row>
    <row r="683" spans="1:18" x14ac:dyDescent="0.2">
      <c r="A683" s="4" t="s">
        <v>2199</v>
      </c>
      <c r="B683" s="4" t="s">
        <v>2200</v>
      </c>
      <c r="C683" s="5" t="s">
        <v>19</v>
      </c>
      <c r="D683" s="5">
        <v>300</v>
      </c>
      <c r="E683" s="5">
        <f>D683</f>
        <v>300</v>
      </c>
      <c r="F683" s="5"/>
      <c r="G683" s="5"/>
      <c r="H683" s="5">
        <v>319.33999999999997</v>
      </c>
      <c r="I683" s="4">
        <v>0</v>
      </c>
      <c r="J683" s="4" t="s">
        <v>722</v>
      </c>
      <c r="K683" s="6" t="s">
        <v>723</v>
      </c>
      <c r="L683" s="6" t="s">
        <v>1640</v>
      </c>
      <c r="R683" t="s">
        <v>2201</v>
      </c>
    </row>
    <row r="684" spans="1:18" x14ac:dyDescent="0.2">
      <c r="A684" s="4" t="s">
        <v>2202</v>
      </c>
      <c r="B684" s="4" t="s">
        <v>2203</v>
      </c>
      <c r="C684" s="5" t="s">
        <v>19</v>
      </c>
      <c r="D684" s="5">
        <v>300</v>
      </c>
      <c r="E684" s="5">
        <f>D684</f>
        <v>300</v>
      </c>
      <c r="F684" s="5"/>
      <c r="G684" s="5"/>
      <c r="H684" s="5">
        <v>410.09</v>
      </c>
      <c r="I684" s="4">
        <v>0</v>
      </c>
      <c r="J684" s="4" t="s">
        <v>722</v>
      </c>
      <c r="K684" s="6" t="s">
        <v>723</v>
      </c>
      <c r="L684" s="6" t="s">
        <v>1640</v>
      </c>
      <c r="R684" t="s">
        <v>2204</v>
      </c>
    </row>
    <row r="685" spans="1:18" x14ac:dyDescent="0.2">
      <c r="A685" s="4" t="s">
        <v>2205</v>
      </c>
      <c r="B685" s="4" t="s">
        <v>2206</v>
      </c>
      <c r="C685" s="5" t="s">
        <v>19</v>
      </c>
      <c r="D685" s="5">
        <v>200</v>
      </c>
      <c r="E685" s="5">
        <f>D685</f>
        <v>200</v>
      </c>
      <c r="F685" s="5"/>
      <c r="G685" s="5"/>
      <c r="H685" s="5">
        <v>351.48</v>
      </c>
      <c r="I685" s="4">
        <v>0</v>
      </c>
      <c r="J685" s="4" t="s">
        <v>722</v>
      </c>
      <c r="K685" s="6" t="s">
        <v>723</v>
      </c>
      <c r="L685" s="6" t="s">
        <v>1640</v>
      </c>
      <c r="R685" t="s">
        <v>2207</v>
      </c>
    </row>
    <row r="686" spans="1:18" x14ac:dyDescent="0.2">
      <c r="A686" s="4"/>
      <c r="B686" s="4"/>
      <c r="C686" s="5"/>
      <c r="D686" s="5"/>
      <c r="E686" s="5"/>
      <c r="F686" s="5"/>
      <c r="G686" s="5"/>
      <c r="H686" s="5"/>
      <c r="I686" s="4"/>
      <c r="J686" s="4"/>
      <c r="K686" s="6"/>
      <c r="L686" s="6"/>
    </row>
    <row r="687" spans="1:18" x14ac:dyDescent="0.2">
      <c r="A687" s="4" t="s">
        <v>2208</v>
      </c>
      <c r="B687" s="4" t="s">
        <v>2209</v>
      </c>
      <c r="C687" s="5" t="s">
        <v>19</v>
      </c>
      <c r="D687" s="5">
        <v>300</v>
      </c>
      <c r="E687" s="5">
        <f>D687</f>
        <v>300</v>
      </c>
      <c r="F687" s="5"/>
      <c r="G687" s="5"/>
      <c r="H687" s="5">
        <v>854.73</v>
      </c>
      <c r="I687" s="4">
        <v>0</v>
      </c>
      <c r="J687" s="4" t="s">
        <v>722</v>
      </c>
      <c r="K687" s="6" t="s">
        <v>723</v>
      </c>
      <c r="L687" s="6" t="s">
        <v>1640</v>
      </c>
      <c r="R687" t="s">
        <v>2210</v>
      </c>
    </row>
    <row r="688" spans="1:18" x14ac:dyDescent="0.2">
      <c r="A688" s="4" t="s">
        <v>2211</v>
      </c>
      <c r="B688" s="4" t="s">
        <v>2212</v>
      </c>
      <c r="C688" s="5" t="s">
        <v>34</v>
      </c>
      <c r="D688" s="5">
        <v>550</v>
      </c>
      <c r="E688" s="5"/>
      <c r="F688" s="5">
        <f>D688</f>
        <v>550</v>
      </c>
      <c r="G688" s="5"/>
      <c r="H688" s="5">
        <v>554.73</v>
      </c>
      <c r="I688" s="4">
        <v>0</v>
      </c>
      <c r="J688" s="4" t="s">
        <v>323</v>
      </c>
      <c r="K688" s="6" t="s">
        <v>324</v>
      </c>
      <c r="L688" s="6" t="s">
        <v>2065</v>
      </c>
      <c r="R688" t="s">
        <v>2213</v>
      </c>
    </row>
    <row r="689" spans="1:18" x14ac:dyDescent="0.2">
      <c r="A689" s="4" t="s">
        <v>2214</v>
      </c>
      <c r="B689" s="4" t="s">
        <v>2215</v>
      </c>
      <c r="C689" s="5" t="s">
        <v>19</v>
      </c>
      <c r="D689" s="5">
        <v>200</v>
      </c>
      <c r="E689" s="5">
        <f t="shared" ref="E689:E694" si="12">D689</f>
        <v>200</v>
      </c>
      <c r="F689" s="5"/>
      <c r="G689" s="5"/>
      <c r="H689" s="5">
        <v>279.73</v>
      </c>
      <c r="I689" s="4">
        <v>0</v>
      </c>
      <c r="J689" s="4" t="s">
        <v>722</v>
      </c>
      <c r="K689" s="6" t="s">
        <v>723</v>
      </c>
      <c r="L689" s="6" t="s">
        <v>1640</v>
      </c>
      <c r="R689" t="s">
        <v>2216</v>
      </c>
    </row>
    <row r="690" spans="1:18" x14ac:dyDescent="0.2">
      <c r="A690" s="4" t="s">
        <v>2217</v>
      </c>
      <c r="B690" s="4" t="s">
        <v>2218</v>
      </c>
      <c r="C690" s="5" t="s">
        <v>19</v>
      </c>
      <c r="D690" s="5">
        <v>100</v>
      </c>
      <c r="E690" s="5">
        <f t="shared" si="12"/>
        <v>100</v>
      </c>
      <c r="F690" s="5"/>
      <c r="G690" s="5"/>
      <c r="H690" s="5">
        <v>120.73</v>
      </c>
      <c r="I690" s="4">
        <v>0</v>
      </c>
      <c r="J690" s="4" t="s">
        <v>722</v>
      </c>
      <c r="K690" s="6" t="s">
        <v>723</v>
      </c>
      <c r="L690" s="6" t="s">
        <v>1640</v>
      </c>
      <c r="R690" t="s">
        <v>2219</v>
      </c>
    </row>
    <row r="691" spans="1:18" x14ac:dyDescent="0.2">
      <c r="A691" s="4" t="s">
        <v>2220</v>
      </c>
      <c r="B691" s="4" t="s">
        <v>2221</v>
      </c>
      <c r="C691" s="5" t="s">
        <v>19</v>
      </c>
      <c r="D691" s="5">
        <v>250</v>
      </c>
      <c r="E691" s="5">
        <f t="shared" si="12"/>
        <v>250</v>
      </c>
      <c r="F691" s="5">
        <f>D691</f>
        <v>250</v>
      </c>
      <c r="G691" s="5"/>
      <c r="H691" s="5">
        <v>250.98</v>
      </c>
      <c r="I691" s="4">
        <v>0</v>
      </c>
      <c r="J691" s="4" t="s">
        <v>722</v>
      </c>
      <c r="K691" s="6" t="s">
        <v>723</v>
      </c>
      <c r="L691" s="6" t="s">
        <v>2069</v>
      </c>
      <c r="R691" t="s">
        <v>2222</v>
      </c>
    </row>
    <row r="692" spans="1:18" x14ac:dyDescent="0.2">
      <c r="A692" s="4" t="s">
        <v>2223</v>
      </c>
      <c r="B692" s="4" t="s">
        <v>2224</v>
      </c>
      <c r="C692" s="5" t="s">
        <v>19</v>
      </c>
      <c r="D692" s="5">
        <v>200</v>
      </c>
      <c r="E692" s="5">
        <f t="shared" si="12"/>
        <v>200</v>
      </c>
      <c r="F692" s="5"/>
      <c r="G692" s="5"/>
      <c r="H692" s="5">
        <v>411.98</v>
      </c>
      <c r="I692" s="4">
        <v>0</v>
      </c>
      <c r="J692" s="4" t="s">
        <v>722</v>
      </c>
      <c r="K692" s="6" t="s">
        <v>723</v>
      </c>
      <c r="L692" s="6" t="s">
        <v>1640</v>
      </c>
      <c r="R692" t="s">
        <v>2225</v>
      </c>
    </row>
    <row r="693" spans="1:18" x14ac:dyDescent="0.2">
      <c r="A693" s="4" t="s">
        <v>2226</v>
      </c>
      <c r="B693" s="4" t="s">
        <v>2227</v>
      </c>
      <c r="C693" s="5" t="s">
        <v>19</v>
      </c>
      <c r="D693" s="5">
        <v>550</v>
      </c>
      <c r="E693" s="5">
        <f t="shared" si="12"/>
        <v>550</v>
      </c>
      <c r="F693" s="5"/>
      <c r="G693" s="5"/>
      <c r="H693" s="5">
        <v>713.23</v>
      </c>
      <c r="I693" s="4">
        <v>0</v>
      </c>
      <c r="J693" s="4" t="s">
        <v>722</v>
      </c>
      <c r="K693" s="6" t="s">
        <v>723</v>
      </c>
      <c r="L693" s="6" t="s">
        <v>2069</v>
      </c>
      <c r="R693" t="s">
        <v>2228</v>
      </c>
    </row>
    <row r="694" spans="1:18" x14ac:dyDescent="0.2">
      <c r="A694" s="4" t="s">
        <v>2229</v>
      </c>
      <c r="B694" s="4" t="s">
        <v>2230</v>
      </c>
      <c r="C694" s="5" t="s">
        <v>19</v>
      </c>
      <c r="D694" s="5">
        <v>300</v>
      </c>
      <c r="E694" s="5">
        <f t="shared" si="12"/>
        <v>300</v>
      </c>
      <c r="F694" s="5"/>
      <c r="G694" s="5"/>
      <c r="H694" s="5">
        <v>338.73</v>
      </c>
      <c r="I694" s="4">
        <v>0</v>
      </c>
      <c r="J694" s="4" t="s">
        <v>722</v>
      </c>
      <c r="K694" s="6" t="s">
        <v>723</v>
      </c>
      <c r="L694" s="6" t="s">
        <v>1640</v>
      </c>
      <c r="R694" t="s">
        <v>2231</v>
      </c>
    </row>
    <row r="695" spans="1:18" x14ac:dyDescent="0.2">
      <c r="A695" s="4"/>
      <c r="B695" s="4"/>
      <c r="C695" s="5"/>
      <c r="D695" s="5"/>
      <c r="E695" s="5"/>
      <c r="F695" s="5"/>
      <c r="G695" s="5"/>
      <c r="H695" s="5"/>
      <c r="I695" s="4"/>
      <c r="J695" s="4"/>
      <c r="K695" s="6"/>
      <c r="L695" s="6"/>
    </row>
    <row r="696" spans="1:18" x14ac:dyDescent="0.2">
      <c r="A696" s="4" t="s">
        <v>2232</v>
      </c>
      <c r="B696" s="4" t="s">
        <v>2233</v>
      </c>
      <c r="C696" s="5" t="s">
        <v>34</v>
      </c>
      <c r="D696" s="5">
        <v>360</v>
      </c>
      <c r="E696" s="5"/>
      <c r="F696" s="5"/>
      <c r="G696" s="5"/>
      <c r="H696" s="5">
        <v>503.93</v>
      </c>
      <c r="I696" s="4">
        <v>0</v>
      </c>
      <c r="J696" s="4" t="s">
        <v>323</v>
      </c>
      <c r="K696" s="6" t="s">
        <v>324</v>
      </c>
      <c r="L696" s="6" t="s">
        <v>2234</v>
      </c>
      <c r="R696" t="s">
        <v>2235</v>
      </c>
    </row>
    <row r="697" spans="1:18" x14ac:dyDescent="0.2">
      <c r="A697" s="4" t="s">
        <v>2236</v>
      </c>
      <c r="B697" s="4" t="s">
        <v>2237</v>
      </c>
      <c r="C697" s="5" t="s">
        <v>19</v>
      </c>
      <c r="D697" s="5">
        <v>200</v>
      </c>
      <c r="E697" s="5">
        <f>D697</f>
        <v>200</v>
      </c>
      <c r="F697" s="5"/>
      <c r="G697" s="5"/>
      <c r="H697" s="5">
        <v>203.43</v>
      </c>
      <c r="I697" s="4">
        <v>0</v>
      </c>
      <c r="J697" s="4" t="s">
        <v>722</v>
      </c>
      <c r="K697" s="6" t="s">
        <v>723</v>
      </c>
      <c r="L697" s="6" t="s">
        <v>1640</v>
      </c>
      <c r="R697" t="s">
        <v>2238</v>
      </c>
    </row>
    <row r="698" spans="1:18" x14ac:dyDescent="0.2">
      <c r="A698" s="4" t="s">
        <v>2239</v>
      </c>
      <c r="B698" s="4" t="s">
        <v>2240</v>
      </c>
      <c r="C698" s="5" t="s">
        <v>19</v>
      </c>
      <c r="D698" s="5">
        <v>200</v>
      </c>
      <c r="E698" s="5">
        <f>D698</f>
        <v>200</v>
      </c>
      <c r="F698" s="5"/>
      <c r="G698" s="5"/>
      <c r="H698" s="5">
        <v>245.14</v>
      </c>
      <c r="I698" s="4">
        <v>0</v>
      </c>
      <c r="J698" s="4" t="s">
        <v>722</v>
      </c>
      <c r="K698" s="6" t="s">
        <v>723</v>
      </c>
      <c r="L698" s="6" t="s">
        <v>1640</v>
      </c>
      <c r="R698" t="s">
        <v>2241</v>
      </c>
    </row>
    <row r="699" spans="1:18" x14ac:dyDescent="0.2">
      <c r="A699" s="4" t="s">
        <v>2242</v>
      </c>
      <c r="B699" s="4" t="s">
        <v>2243</v>
      </c>
      <c r="C699" s="5" t="s">
        <v>19</v>
      </c>
      <c r="D699" s="5">
        <v>300</v>
      </c>
      <c r="E699" s="5">
        <f>D699</f>
        <v>300</v>
      </c>
      <c r="H699" s="5">
        <v>304.47000000000003</v>
      </c>
      <c r="I699" s="4">
        <v>0</v>
      </c>
      <c r="J699" s="4" t="s">
        <v>722</v>
      </c>
      <c r="K699" s="6" t="s">
        <v>723</v>
      </c>
      <c r="L699" s="6" t="s">
        <v>1640</v>
      </c>
      <c r="R699" t="s">
        <v>2244</v>
      </c>
    </row>
    <row r="701" spans="1:18" x14ac:dyDescent="0.2">
      <c r="D701" s="5">
        <f>SUM(D17:D700)</f>
        <v>898305.12</v>
      </c>
      <c r="E701" s="5">
        <f>SUM(E17:E700)</f>
        <v>268210</v>
      </c>
      <c r="F701" s="5">
        <f>SUM(F17:F700)</f>
        <v>105241</v>
      </c>
      <c r="G701" s="5">
        <f>SUM(G17:G700)</f>
        <v>359367</v>
      </c>
    </row>
    <row r="702" spans="1:18" x14ac:dyDescent="0.2">
      <c r="A702">
        <v>6</v>
      </c>
      <c r="B702" s="9" t="s">
        <v>2251</v>
      </c>
      <c r="D702" s="9" t="s">
        <v>2245</v>
      </c>
      <c r="E702" s="9" t="s">
        <v>2247</v>
      </c>
      <c r="F702" s="9" t="s">
        <v>2249</v>
      </c>
      <c r="G702" s="9" t="s">
        <v>2249</v>
      </c>
    </row>
    <row r="703" spans="1:18" x14ac:dyDescent="0.2">
      <c r="A703">
        <v>72</v>
      </c>
      <c r="B703" s="9" t="s">
        <v>2252</v>
      </c>
      <c r="D703" s="9" t="s">
        <v>2246</v>
      </c>
      <c r="E703" s="9" t="s">
        <v>2248</v>
      </c>
      <c r="F703" s="9" t="s">
        <v>2248</v>
      </c>
      <c r="G703" s="9" t="s">
        <v>2250</v>
      </c>
    </row>
    <row r="704" spans="1:18" x14ac:dyDescent="0.2">
      <c r="D704" s="12" t="s">
        <v>2253</v>
      </c>
      <c r="E704" s="11">
        <f>E701/A703</f>
        <v>3725.1388888888887</v>
      </c>
      <c r="F704" s="11">
        <f>F701/A703</f>
        <v>1461.6805555555557</v>
      </c>
    </row>
    <row r="705" spans="6:6" x14ac:dyDescent="0.2">
      <c r="F705" s="10">
        <f>E704/F704</f>
        <v>2.548531465873566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319927853_20240123_HesapÖzeti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2024-01-26T08:08:50Z</dcterms:created>
  <dcterms:modified xsi:type="dcterms:W3CDTF">2026-05-11T20:06:34Z</dcterms:modified>
</cp:coreProperties>
</file>