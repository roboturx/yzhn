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38E7F214-E436-4B25-B3E3-C4FBBE1ABB17}" xr6:coauthVersionLast="47" xr6:coauthVersionMax="47" xr10:uidLastSave="{00000000-0000-0000-0000-000000000000}"/>
  <bookViews>
    <workbookView xWindow="-120" yWindow="-120" windowWidth="29040" windowHeight="15720" tabRatio="839" activeTab="3" xr2:uid="{00000000-000D-0000-FFFF-FFFF00000000}"/>
  </bookViews>
  <sheets>
    <sheet name="02_26" sheetId="61" r:id="rId1"/>
    <sheet name="01_26" sheetId="60" r:id="rId2"/>
    <sheet name="GNLK-_2025" sheetId="2" r:id="rId3"/>
    <sheet name="PERI_25" sheetId="1" r:id="rId4"/>
    <sheet name="12_25" sheetId="3" r:id="rId5"/>
    <sheet name="11_25" sheetId="4" r:id="rId6"/>
    <sheet name="10_25" sheetId="5" r:id="rId7"/>
    <sheet name="09_25" sheetId="6" r:id="rId8"/>
    <sheet name="08_25" sheetId="7" r:id="rId9"/>
    <sheet name="07_25" sheetId="8" r:id="rId10"/>
    <sheet name="06_25" sheetId="9" r:id="rId11"/>
    <sheet name="05_25" sheetId="10" r:id="rId12"/>
    <sheet name="04_25" sheetId="11" r:id="rId13"/>
    <sheet name="03_25" sheetId="12" r:id="rId14"/>
    <sheet name="02_25" sheetId="13" r:id="rId15"/>
    <sheet name="01_25" sheetId="14" r:id="rId16"/>
    <sheet name="PERI_24" sheetId="15" r:id="rId17"/>
    <sheet name="cross" sheetId="16" r:id="rId18"/>
    <sheet name="GNLK-_2024" sheetId="17" r:id="rId19"/>
    <sheet name="12_24" sheetId="18" r:id="rId20"/>
    <sheet name="11_24" sheetId="19" r:id="rId21"/>
    <sheet name="10_24" sheetId="20" r:id="rId22"/>
    <sheet name="09_24" sheetId="21" r:id="rId23"/>
    <sheet name="08_24" sheetId="22" r:id="rId24"/>
    <sheet name="07_24" sheetId="23" r:id="rId25"/>
    <sheet name="06_24" sheetId="24" r:id="rId26"/>
    <sheet name="05_24" sheetId="25" r:id="rId27"/>
    <sheet name="04_24" sheetId="26" r:id="rId28"/>
    <sheet name="03_24" sheetId="27" r:id="rId29"/>
    <sheet name="02_24" sheetId="28" r:id="rId30"/>
    <sheet name="01_24" sheetId="29" r:id="rId31"/>
    <sheet name="GNLK-_2023" sheetId="30" r:id="rId32"/>
    <sheet name="PERI_23" sheetId="31" r:id="rId33"/>
    <sheet name="NZN_24" sheetId="32" r:id="rId34"/>
    <sheet name="NZN_23" sheetId="33" r:id="rId35"/>
    <sheet name="12_23" sheetId="34" r:id="rId36"/>
    <sheet name="11_23" sheetId="35" r:id="rId37"/>
    <sheet name="10_23" sheetId="36" r:id="rId38"/>
    <sheet name="09_23" sheetId="37" r:id="rId39"/>
    <sheet name="08_23" sheetId="38" r:id="rId40"/>
    <sheet name="07_23" sheetId="39" r:id="rId41"/>
    <sheet name="06_23" sheetId="40" r:id="rId42"/>
    <sheet name="05_23" sheetId="41" r:id="rId43"/>
    <sheet name="04_23" sheetId="42" r:id="rId44"/>
    <sheet name="03_23" sheetId="43" r:id="rId45"/>
    <sheet name="02_23" sheetId="44" r:id="rId46"/>
    <sheet name="01_23" sheetId="45" r:id="rId47"/>
    <sheet name="GNLK-_2022" sheetId="46" r:id="rId48"/>
    <sheet name="22_12" sheetId="47" r:id="rId49"/>
    <sheet name="11" sheetId="48" r:id="rId50"/>
    <sheet name="10" sheetId="49" r:id="rId51"/>
    <sheet name="09" sheetId="50" r:id="rId52"/>
    <sheet name="08" sheetId="51" r:id="rId53"/>
    <sheet name="07" sheetId="52" r:id="rId54"/>
    <sheet name="06" sheetId="53" r:id="rId55"/>
    <sheet name="05" sheetId="54" r:id="rId56"/>
    <sheet name="04" sheetId="55" r:id="rId57"/>
    <sheet name="03" sheetId="56" r:id="rId58"/>
    <sheet name="22_2" sheetId="57" r:id="rId59"/>
    <sheet name="22_1" sheetId="58" r:id="rId60"/>
    <sheet name="PROCESS" sheetId="59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5" i="60" l="1"/>
  <c r="I156" i="3"/>
  <c r="I155" i="3" s="1"/>
  <c r="I153" i="3" s="1"/>
  <c r="E44" i="61"/>
  <c r="E24" i="61" s="1"/>
  <c r="E6" i="61" s="1"/>
  <c r="E77" i="61"/>
  <c r="E7" i="61" s="1"/>
  <c r="G7" i="61" s="1"/>
  <c r="H4" i="61"/>
  <c r="H5" i="61" s="1"/>
  <c r="F2" i="61"/>
  <c r="D2" i="61"/>
  <c r="B179" i="60"/>
  <c r="G169" i="60"/>
  <c r="E169" i="60"/>
  <c r="G167" i="60"/>
  <c r="E167" i="60"/>
  <c r="G165" i="60"/>
  <c r="E165" i="60"/>
  <c r="G163" i="60"/>
  <c r="E163" i="60"/>
  <c r="C160" i="60"/>
  <c r="G154" i="60"/>
  <c r="J154" i="60" s="1"/>
  <c r="E154" i="60"/>
  <c r="E151" i="60"/>
  <c r="F150" i="60"/>
  <c r="G150" i="60" s="1"/>
  <c r="E150" i="60"/>
  <c r="G149" i="60"/>
  <c r="E149" i="60"/>
  <c r="G146" i="60"/>
  <c r="E146" i="60"/>
  <c r="G143" i="60"/>
  <c r="J143" i="60" s="1"/>
  <c r="E143" i="60"/>
  <c r="G177" i="3"/>
  <c r="E177" i="3"/>
  <c r="G194" i="3"/>
  <c r="E194" i="3"/>
  <c r="G192" i="3"/>
  <c r="E192" i="3"/>
  <c r="H192" i="3" s="1"/>
  <c r="G190" i="3"/>
  <c r="E190" i="3"/>
  <c r="H190" i="3" s="1"/>
  <c r="G188" i="3"/>
  <c r="G198" i="3" s="1"/>
  <c r="E188" i="3"/>
  <c r="E198" i="3" s="1"/>
  <c r="I257" i="3"/>
  <c r="F257" i="3"/>
  <c r="I256" i="3"/>
  <c r="F256" i="3"/>
  <c r="J256" i="3" s="1"/>
  <c r="I246" i="3"/>
  <c r="I245" i="3"/>
  <c r="I237" i="3"/>
  <c r="I234" i="3"/>
  <c r="I230" i="3"/>
  <c r="I228" i="3"/>
  <c r="I224" i="3"/>
  <c r="I220" i="3"/>
  <c r="I218" i="3"/>
  <c r="G216" i="3"/>
  <c r="G212" i="3" s="1"/>
  <c r="G217" i="3" s="1"/>
  <c r="I212" i="3"/>
  <c r="I211" i="3"/>
  <c r="J211" i="3" s="1"/>
  <c r="D211" i="3"/>
  <c r="D212" i="3" s="1"/>
  <c r="J209" i="3"/>
  <c r="B204" i="3"/>
  <c r="C183" i="3"/>
  <c r="E174" i="3"/>
  <c r="F173" i="3"/>
  <c r="G173" i="3" s="1"/>
  <c r="E173" i="3"/>
  <c r="G172" i="3"/>
  <c r="E172" i="3"/>
  <c r="G169" i="3"/>
  <c r="E169" i="3"/>
  <c r="G168" i="3"/>
  <c r="E168" i="3"/>
  <c r="G167" i="3"/>
  <c r="E167" i="3"/>
  <c r="G165" i="3"/>
  <c r="E165" i="3"/>
  <c r="G162" i="3"/>
  <c r="J162" i="3" s="1"/>
  <c r="E162" i="3"/>
  <c r="G161" i="3"/>
  <c r="E161" i="3"/>
  <c r="E87" i="3"/>
  <c r="E120" i="60"/>
  <c r="E7" i="60" s="1"/>
  <c r="G7" i="60" s="1"/>
  <c r="E24" i="60"/>
  <c r="E6" i="60" s="1"/>
  <c r="H4" i="60"/>
  <c r="H5" i="60" s="1"/>
  <c r="F2" i="60"/>
  <c r="D2" i="60"/>
  <c r="E37" i="3"/>
  <c r="I181" i="4"/>
  <c r="F181" i="4"/>
  <c r="J181" i="4" s="1"/>
  <c r="I167" i="4"/>
  <c r="I182" i="4"/>
  <c r="I168" i="4"/>
  <c r="C197" i="4"/>
  <c r="I159" i="4"/>
  <c r="I156" i="4"/>
  <c r="I152" i="4"/>
  <c r="I150" i="4"/>
  <c r="I146" i="4"/>
  <c r="I142" i="4"/>
  <c r="I140" i="4"/>
  <c r="G138" i="4"/>
  <c r="G134" i="4" s="1"/>
  <c r="G139" i="4" s="1"/>
  <c r="I134" i="4"/>
  <c r="I133" i="4"/>
  <c r="J133" i="4" s="1"/>
  <c r="D133" i="4"/>
  <c r="D134" i="4" s="1"/>
  <c r="J131" i="4"/>
  <c r="B126" i="4"/>
  <c r="H146" i="5"/>
  <c r="H194" i="6"/>
  <c r="G121" i="4"/>
  <c r="E121" i="4"/>
  <c r="C113" i="4"/>
  <c r="E104" i="4"/>
  <c r="F103" i="4"/>
  <c r="F104" i="4" s="1"/>
  <c r="G104" i="4" s="1"/>
  <c r="E103" i="4"/>
  <c r="G102" i="4"/>
  <c r="E102" i="4"/>
  <c r="E105" i="4" s="1"/>
  <c r="G99" i="4"/>
  <c r="E99" i="4"/>
  <c r="G98" i="4"/>
  <c r="E98" i="4"/>
  <c r="G97" i="4"/>
  <c r="E97" i="4"/>
  <c r="G95" i="4"/>
  <c r="E95" i="4"/>
  <c r="G92" i="4"/>
  <c r="E92" i="4"/>
  <c r="G91" i="4"/>
  <c r="E91" i="4"/>
  <c r="E19" i="4"/>
  <c r="C163" i="5"/>
  <c r="H160" i="5"/>
  <c r="H158" i="5"/>
  <c r="H156" i="5"/>
  <c r="H154" i="5"/>
  <c r="H152" i="5"/>
  <c r="H150" i="5"/>
  <c r="H144" i="5"/>
  <c r="H140" i="5"/>
  <c r="H136" i="5"/>
  <c r="H134" i="5"/>
  <c r="G132" i="5"/>
  <c r="H132" i="5" s="1"/>
  <c r="H128" i="5"/>
  <c r="G128" i="5"/>
  <c r="G133" i="5" s="1"/>
  <c r="H127" i="5"/>
  <c r="I127" i="5" s="1"/>
  <c r="D127" i="5"/>
  <c r="D128" i="5" s="1"/>
  <c r="F128" i="5" s="1"/>
  <c r="I125" i="5"/>
  <c r="B120" i="5"/>
  <c r="C109" i="5"/>
  <c r="E100" i="5"/>
  <c r="F99" i="5"/>
  <c r="F100" i="5" s="1"/>
  <c r="G100" i="5" s="1"/>
  <c r="H100" i="5" s="1"/>
  <c r="E99" i="5"/>
  <c r="G98" i="5"/>
  <c r="E98" i="5"/>
  <c r="G95" i="5"/>
  <c r="E95" i="5"/>
  <c r="G94" i="5"/>
  <c r="E94" i="5"/>
  <c r="G93" i="5"/>
  <c r="E93" i="5"/>
  <c r="G91" i="5"/>
  <c r="E91" i="5"/>
  <c r="G88" i="5"/>
  <c r="I88" i="5" s="1"/>
  <c r="E88" i="5"/>
  <c r="G87" i="5"/>
  <c r="E87" i="5"/>
  <c r="C209" i="6"/>
  <c r="H206" i="6"/>
  <c r="H204" i="6"/>
  <c r="H202" i="6"/>
  <c r="H200" i="6"/>
  <c r="H198" i="6"/>
  <c r="H196" i="6"/>
  <c r="H192" i="6"/>
  <c r="H190" i="6"/>
  <c r="H188" i="6"/>
  <c r="H186" i="6"/>
  <c r="G184" i="6"/>
  <c r="H184" i="6" s="1"/>
  <c r="H183" i="6"/>
  <c r="G183" i="6"/>
  <c r="G185" i="6" s="1"/>
  <c r="H182" i="6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D182" i="6"/>
  <c r="F182" i="6" s="1"/>
  <c r="I180" i="6"/>
  <c r="B175" i="6"/>
  <c r="G166" i="6"/>
  <c r="E166" i="6"/>
  <c r="C163" i="6"/>
  <c r="E154" i="6"/>
  <c r="F153" i="6"/>
  <c r="F154" i="6" s="1"/>
  <c r="G154" i="6" s="1"/>
  <c r="H154" i="6" s="1"/>
  <c r="E153" i="6"/>
  <c r="G152" i="6"/>
  <c r="E152" i="6"/>
  <c r="G149" i="6"/>
  <c r="E149" i="6"/>
  <c r="G148" i="6"/>
  <c r="E148" i="6"/>
  <c r="G147" i="6"/>
  <c r="E147" i="6"/>
  <c r="G145" i="6"/>
  <c r="E145" i="6"/>
  <c r="E150" i="6" s="1"/>
  <c r="G142" i="6"/>
  <c r="I142" i="6" s="1"/>
  <c r="E142" i="6"/>
  <c r="G141" i="6"/>
  <c r="E141" i="6"/>
  <c r="E68" i="1"/>
  <c r="D89" i="1"/>
  <c r="D90" i="1" s="1"/>
  <c r="C88" i="1"/>
  <c r="F67" i="1"/>
  <c r="F68" i="1" s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109" i="15"/>
  <c r="E107" i="15"/>
  <c r="C52" i="1"/>
  <c r="C51" i="1"/>
  <c r="C50" i="1"/>
  <c r="C49" i="1"/>
  <c r="C48" i="1"/>
  <c r="D6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C61" i="1"/>
  <c r="F125" i="6"/>
  <c r="E30" i="5"/>
  <c r="H178" i="7"/>
  <c r="H177" i="7"/>
  <c r="I177" i="7"/>
  <c r="I178" i="7" s="1"/>
  <c r="I175" i="7"/>
  <c r="C204" i="7"/>
  <c r="G162" i="7"/>
  <c r="E162" i="7"/>
  <c r="E139" i="7"/>
  <c r="E39" i="6"/>
  <c r="H159" i="8"/>
  <c r="H132" i="9"/>
  <c r="I140" i="10"/>
  <c r="I149" i="11"/>
  <c r="I174" i="12"/>
  <c r="H174" i="12"/>
  <c r="I173" i="12"/>
  <c r="I167" i="13"/>
  <c r="I166" i="13"/>
  <c r="H167" i="13"/>
  <c r="I151" i="14"/>
  <c r="H151" i="14"/>
  <c r="G160" i="7"/>
  <c r="E160" i="7"/>
  <c r="G135" i="7"/>
  <c r="E135" i="7"/>
  <c r="F69" i="1" l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3" i="1" s="1"/>
  <c r="E152" i="60"/>
  <c r="J155" i="3"/>
  <c r="J156" i="3"/>
  <c r="G6" i="61"/>
  <c r="G2" i="61" s="1"/>
  <c r="H2" i="61" s="1"/>
  <c r="E2" i="61"/>
  <c r="I165" i="60"/>
  <c r="J183" i="60"/>
  <c r="J184" i="60" s="1"/>
  <c r="J185" i="60" s="1"/>
  <c r="J186" i="60" s="1"/>
  <c r="J187" i="60" s="1"/>
  <c r="I144" i="60"/>
  <c r="I167" i="60"/>
  <c r="I169" i="60"/>
  <c r="I150" i="60"/>
  <c r="G173" i="60"/>
  <c r="E144" i="60"/>
  <c r="E173" i="60"/>
  <c r="F151" i="60"/>
  <c r="G151" i="60" s="1"/>
  <c r="I151" i="60" s="1"/>
  <c r="I146" i="60"/>
  <c r="I163" i="60"/>
  <c r="I149" i="60"/>
  <c r="J144" i="60"/>
  <c r="J151" i="60"/>
  <c r="I154" i="60"/>
  <c r="G138" i="60"/>
  <c r="G159" i="60"/>
  <c r="J152" i="60"/>
  <c r="I157" i="60" s="1"/>
  <c r="J177" i="3"/>
  <c r="I177" i="3"/>
  <c r="H194" i="3"/>
  <c r="I128" i="5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E101" i="5"/>
  <c r="I194" i="6"/>
  <c r="I195" i="6" s="1"/>
  <c r="H188" i="3"/>
  <c r="J212" i="3"/>
  <c r="J213" i="3" s="1"/>
  <c r="J214" i="3" s="1"/>
  <c r="J215" i="3" s="1"/>
  <c r="E175" i="3"/>
  <c r="I172" i="3"/>
  <c r="F174" i="3"/>
  <c r="G174" i="3" s="1"/>
  <c r="J175" i="3" s="1"/>
  <c r="K163" i="3"/>
  <c r="E163" i="3"/>
  <c r="E170" i="3"/>
  <c r="I168" i="3"/>
  <c r="I169" i="3"/>
  <c r="J257" i="3"/>
  <c r="J258" i="3" s="1"/>
  <c r="J259" i="3" s="1"/>
  <c r="J260" i="3" s="1"/>
  <c r="J263" i="3" s="1"/>
  <c r="J264" i="3" s="1"/>
  <c r="J265" i="3" s="1"/>
  <c r="J266" i="3" s="1"/>
  <c r="J267" i="3" s="1"/>
  <c r="J268" i="3" s="1"/>
  <c r="K170" i="3"/>
  <c r="J170" i="3"/>
  <c r="J169" i="3"/>
  <c r="I165" i="3"/>
  <c r="I167" i="3"/>
  <c r="I173" i="3"/>
  <c r="F212" i="3"/>
  <c r="D216" i="3"/>
  <c r="I216" i="3"/>
  <c r="I238" i="3" s="1"/>
  <c r="I161" i="3"/>
  <c r="J161" i="3"/>
  <c r="I162" i="3"/>
  <c r="F211" i="3"/>
  <c r="J163" i="3"/>
  <c r="E2" i="60"/>
  <c r="G6" i="60"/>
  <c r="G2" i="60" s="1"/>
  <c r="H2" i="60" s="1"/>
  <c r="J182" i="4"/>
  <c r="J183" i="4" s="1"/>
  <c r="E93" i="4"/>
  <c r="J134" i="4"/>
  <c r="J135" i="4" s="1"/>
  <c r="J136" i="4" s="1"/>
  <c r="J137" i="4" s="1"/>
  <c r="I104" i="4"/>
  <c r="I97" i="4"/>
  <c r="I92" i="4"/>
  <c r="I99" i="4"/>
  <c r="J93" i="4"/>
  <c r="I95" i="4"/>
  <c r="E100" i="4"/>
  <c r="I102" i="4"/>
  <c r="F134" i="4"/>
  <c r="D138" i="4"/>
  <c r="I138" i="4"/>
  <c r="I160" i="4" s="1"/>
  <c r="F133" i="4"/>
  <c r="I154" i="5"/>
  <c r="I155" i="5" s="1"/>
  <c r="I156" i="5" s="1"/>
  <c r="I157" i="5" s="1"/>
  <c r="I158" i="5" s="1"/>
  <c r="I159" i="5" s="1"/>
  <c r="I160" i="5" s="1"/>
  <c r="I161" i="5" s="1"/>
  <c r="E89" i="5"/>
  <c r="J89" i="5"/>
  <c r="I196" i="6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H209" i="6"/>
  <c r="K100" i="4"/>
  <c r="I98" i="4"/>
  <c r="I91" i="4"/>
  <c r="J91" i="4"/>
  <c r="J100" i="4"/>
  <c r="I121" i="4"/>
  <c r="J92" i="4"/>
  <c r="G103" i="4"/>
  <c r="G112" i="4" s="1"/>
  <c r="K93" i="4"/>
  <c r="J99" i="4"/>
  <c r="H163" i="5"/>
  <c r="E115" i="5"/>
  <c r="G115" i="5"/>
  <c r="F127" i="5"/>
  <c r="H93" i="5"/>
  <c r="H95" i="5"/>
  <c r="H91" i="5"/>
  <c r="E96" i="5"/>
  <c r="I95" i="5"/>
  <c r="I96" i="5"/>
  <c r="H94" i="5"/>
  <c r="H87" i="5"/>
  <c r="D132" i="5"/>
  <c r="I87" i="5"/>
  <c r="J96" i="5"/>
  <c r="H88" i="5"/>
  <c r="H98" i="5"/>
  <c r="I89" i="5"/>
  <c r="G99" i="5"/>
  <c r="I100" i="5" s="1"/>
  <c r="J143" i="6"/>
  <c r="E170" i="6"/>
  <c r="I143" i="6"/>
  <c r="H148" i="6"/>
  <c r="E155" i="6"/>
  <c r="E143" i="6"/>
  <c r="H145" i="6"/>
  <c r="H147" i="6"/>
  <c r="H149" i="6"/>
  <c r="G170" i="6"/>
  <c r="H141" i="6"/>
  <c r="D183" i="6"/>
  <c r="I149" i="6"/>
  <c r="I141" i="6"/>
  <c r="H166" i="6"/>
  <c r="H170" i="6" s="1"/>
  <c r="H171" i="6" s="1"/>
  <c r="J150" i="6"/>
  <c r="H150" i="6" s="1"/>
  <c r="H142" i="6"/>
  <c r="I150" i="6"/>
  <c r="H152" i="6"/>
  <c r="G153" i="6"/>
  <c r="E165" i="7"/>
  <c r="H162" i="7"/>
  <c r="H165" i="7" s="1"/>
  <c r="H160" i="7"/>
  <c r="H135" i="7"/>
  <c r="I135" i="7"/>
  <c r="I173" i="60" l="1"/>
  <c r="I174" i="60" s="1"/>
  <c r="G182" i="3"/>
  <c r="I174" i="3"/>
  <c r="H198" i="3"/>
  <c r="K175" i="3"/>
  <c r="G150" i="3"/>
  <c r="J150" i="3" s="1"/>
  <c r="H6" i="61"/>
  <c r="H7" i="61" s="1"/>
  <c r="H8" i="61" s="1"/>
  <c r="H9" i="61" s="1"/>
  <c r="H10" i="61" s="1"/>
  <c r="H11" i="61" s="1"/>
  <c r="H12" i="61" s="1"/>
  <c r="H13" i="61" s="1"/>
  <c r="H14" i="61" s="1"/>
  <c r="H15" i="61" s="1"/>
  <c r="H16" i="61" s="1"/>
  <c r="H17" i="61" s="1"/>
  <c r="H18" i="61" s="1"/>
  <c r="H19" i="61" s="1"/>
  <c r="H20" i="61" s="1"/>
  <c r="H199" i="3"/>
  <c r="J174" i="3"/>
  <c r="I170" i="3"/>
  <c r="I93" i="4"/>
  <c r="J184" i="4"/>
  <c r="J185" i="4" s="1"/>
  <c r="J186" i="4" s="1"/>
  <c r="J187" i="4" s="1"/>
  <c r="J188" i="4" s="1"/>
  <c r="J189" i="4" s="1"/>
  <c r="J190" i="4" s="1"/>
  <c r="J191" i="4" s="1"/>
  <c r="I100" i="4"/>
  <c r="I163" i="3"/>
  <c r="D217" i="3"/>
  <c r="F216" i="3"/>
  <c r="I180" i="3"/>
  <c r="J216" i="3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45" i="3" s="1"/>
  <c r="J246" i="3" s="1"/>
  <c r="H6" i="60"/>
  <c r="H7" i="60" s="1"/>
  <c r="H8" i="60" s="1"/>
  <c r="H9" i="60" s="1"/>
  <c r="H10" i="60" s="1"/>
  <c r="J138" i="4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04" i="4"/>
  <c r="D139" i="4"/>
  <c r="F138" i="4"/>
  <c r="H115" i="5"/>
  <c r="H116" i="5" s="1"/>
  <c r="I122" i="4" s="1"/>
  <c r="H96" i="5"/>
  <c r="I103" i="4"/>
  <c r="J105" i="4"/>
  <c r="I110" i="4" s="1"/>
  <c r="K105" i="4"/>
  <c r="G84" i="4"/>
  <c r="H99" i="5"/>
  <c r="I101" i="5"/>
  <c r="H106" i="5" s="1"/>
  <c r="J101" i="5"/>
  <c r="D133" i="5"/>
  <c r="F132" i="5"/>
  <c r="H89" i="5"/>
  <c r="G108" i="5"/>
  <c r="G80" i="5"/>
  <c r="J155" i="6"/>
  <c r="G134" i="6" s="1"/>
  <c r="I154" i="6"/>
  <c r="H153" i="6"/>
  <c r="D184" i="6"/>
  <c r="F183" i="6"/>
  <c r="H143" i="6"/>
  <c r="I155" i="6"/>
  <c r="H160" i="6" s="1"/>
  <c r="E111" i="7"/>
  <c r="H201" i="7"/>
  <c r="H199" i="7"/>
  <c r="H197" i="7"/>
  <c r="H195" i="7"/>
  <c r="H193" i="7"/>
  <c r="H191" i="7"/>
  <c r="H189" i="7"/>
  <c r="H187" i="7"/>
  <c r="H185" i="7"/>
  <c r="H183" i="7"/>
  <c r="H181" i="7"/>
  <c r="G179" i="7"/>
  <c r="H179" i="7" s="1"/>
  <c r="D177" i="7"/>
  <c r="D178" i="7" s="1"/>
  <c r="B170" i="7"/>
  <c r="G165" i="7"/>
  <c r="C157" i="7"/>
  <c r="E148" i="7"/>
  <c r="F147" i="7"/>
  <c r="G147" i="7" s="1"/>
  <c r="E147" i="7"/>
  <c r="G146" i="7"/>
  <c r="E146" i="7"/>
  <c r="G143" i="7"/>
  <c r="E143" i="7"/>
  <c r="G142" i="7"/>
  <c r="E142" i="7"/>
  <c r="G141" i="7"/>
  <c r="E141" i="7"/>
  <c r="G138" i="7"/>
  <c r="E138" i="7"/>
  <c r="G134" i="7"/>
  <c r="E134" i="7"/>
  <c r="E136" i="7" s="1"/>
  <c r="H20" i="8"/>
  <c r="H21" i="8" s="1"/>
  <c r="H22" i="8" s="1"/>
  <c r="H23" i="8" s="1"/>
  <c r="H24" i="8" s="1"/>
  <c r="H25" i="8" s="1"/>
  <c r="H26" i="8" s="1"/>
  <c r="H27" i="8" s="1"/>
  <c r="H28" i="8" s="1"/>
  <c r="C60" i="1"/>
  <c r="E30" i="7"/>
  <c r="L154" i="8"/>
  <c r="F153" i="8"/>
  <c r="G153" i="8" s="1"/>
  <c r="E153" i="8"/>
  <c r="G152" i="8"/>
  <c r="E152" i="8"/>
  <c r="F127" i="8"/>
  <c r="G127" i="8"/>
  <c r="E127" i="8"/>
  <c r="H192" i="8"/>
  <c r="H190" i="8"/>
  <c r="H188" i="8"/>
  <c r="H186" i="8"/>
  <c r="H184" i="8"/>
  <c r="H182" i="8"/>
  <c r="H180" i="8"/>
  <c r="H178" i="8"/>
  <c r="H176" i="8"/>
  <c r="H174" i="8"/>
  <c r="H172" i="8"/>
  <c r="G170" i="8"/>
  <c r="H170" i="8" s="1"/>
  <c r="H168" i="8"/>
  <c r="I168" i="8" s="1"/>
  <c r="D168" i="8"/>
  <c r="D169" i="8" s="1"/>
  <c r="B162" i="8"/>
  <c r="C149" i="8"/>
  <c r="E140" i="8"/>
  <c r="F139" i="8"/>
  <c r="F140" i="8" s="1"/>
  <c r="G140" i="8" s="1"/>
  <c r="I140" i="8" s="1"/>
  <c r="E139" i="8"/>
  <c r="G138" i="8"/>
  <c r="E138" i="8"/>
  <c r="G135" i="8"/>
  <c r="E135" i="8"/>
  <c r="G134" i="8"/>
  <c r="E134" i="8"/>
  <c r="G133" i="8"/>
  <c r="E133" i="8"/>
  <c r="G132" i="8"/>
  <c r="E132" i="8"/>
  <c r="E136" i="8" s="1"/>
  <c r="E128" i="8"/>
  <c r="G128" i="8"/>
  <c r="I128" i="8" s="1"/>
  <c r="E126" i="8"/>
  <c r="G121" i="8"/>
  <c r="G120" i="8"/>
  <c r="C59" i="1"/>
  <c r="E105" i="8"/>
  <c r="D92" i="11"/>
  <c r="E30" i="8"/>
  <c r="E76" i="9"/>
  <c r="H165" i="9"/>
  <c r="H163" i="9"/>
  <c r="H161" i="9"/>
  <c r="H159" i="9"/>
  <c r="H157" i="9"/>
  <c r="H155" i="9"/>
  <c r="H153" i="9"/>
  <c r="H151" i="9"/>
  <c r="H149" i="9"/>
  <c r="E127" i="9"/>
  <c r="H147" i="9"/>
  <c r="H145" i="9"/>
  <c r="G143" i="9"/>
  <c r="G142" i="9" s="1"/>
  <c r="H142" i="9" s="1"/>
  <c r="H141" i="9"/>
  <c r="I141" i="9" s="1"/>
  <c r="D141" i="9"/>
  <c r="D142" i="9" s="1"/>
  <c r="D143" i="9" s="1"/>
  <c r="F143" i="9" s="1"/>
  <c r="B135" i="9"/>
  <c r="G129" i="9"/>
  <c r="E129" i="9"/>
  <c r="G127" i="9"/>
  <c r="C122" i="9"/>
  <c r="E113" i="9"/>
  <c r="F112" i="9"/>
  <c r="G112" i="9" s="1"/>
  <c r="E112" i="9"/>
  <c r="G111" i="9"/>
  <c r="E111" i="9"/>
  <c r="G108" i="9"/>
  <c r="E108" i="9"/>
  <c r="G107" i="9"/>
  <c r="E107" i="9"/>
  <c r="G106" i="9"/>
  <c r="E106" i="9"/>
  <c r="G105" i="9"/>
  <c r="E105" i="9"/>
  <c r="E102" i="9"/>
  <c r="E101" i="9"/>
  <c r="F100" i="9"/>
  <c r="F101" i="9" s="1"/>
  <c r="G101" i="9" s="1"/>
  <c r="I101" i="9" s="1"/>
  <c r="E100" i="9"/>
  <c r="G99" i="9"/>
  <c r="E99" i="9"/>
  <c r="G95" i="9"/>
  <c r="G94" i="9"/>
  <c r="C58" i="1"/>
  <c r="H20" i="10"/>
  <c r="H21" i="10" s="1"/>
  <c r="H22" i="10" s="1"/>
  <c r="H23" i="10" s="1"/>
  <c r="H24" i="10" s="1"/>
  <c r="H25" i="10" s="1"/>
  <c r="E38" i="9"/>
  <c r="E9" i="9" s="1"/>
  <c r="G9" i="9" s="1"/>
  <c r="H156" i="10"/>
  <c r="H154" i="10"/>
  <c r="F154" i="10"/>
  <c r="D154" i="10"/>
  <c r="D218" i="3" l="1"/>
  <c r="F217" i="3"/>
  <c r="H11" i="60"/>
  <c r="J157" i="4"/>
  <c r="D140" i="4"/>
  <c r="F139" i="4"/>
  <c r="D134" i="5"/>
  <c r="F133" i="5"/>
  <c r="G162" i="6"/>
  <c r="D185" i="6"/>
  <c r="F184" i="6"/>
  <c r="G136" i="7"/>
  <c r="I136" i="7"/>
  <c r="G144" i="7"/>
  <c r="G178" i="7"/>
  <c r="I179" i="7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H204" i="7"/>
  <c r="I143" i="7"/>
  <c r="E149" i="7"/>
  <c r="E144" i="7"/>
  <c r="H134" i="7"/>
  <c r="H136" i="7" s="1"/>
  <c r="H146" i="7"/>
  <c r="H142" i="7"/>
  <c r="H143" i="7"/>
  <c r="H141" i="7"/>
  <c r="I134" i="7"/>
  <c r="H147" i="7"/>
  <c r="D179" i="7"/>
  <c r="F178" i="7"/>
  <c r="F177" i="7"/>
  <c r="F148" i="7"/>
  <c r="G148" i="7" s="1"/>
  <c r="H148" i="7" s="1"/>
  <c r="G180" i="7"/>
  <c r="I144" i="7"/>
  <c r="H138" i="7"/>
  <c r="H166" i="7"/>
  <c r="G169" i="8"/>
  <c r="G171" i="8" s="1"/>
  <c r="I138" i="8"/>
  <c r="E141" i="8"/>
  <c r="H153" i="8"/>
  <c r="H136" i="8"/>
  <c r="G158" i="8"/>
  <c r="H152" i="8"/>
  <c r="I127" i="8"/>
  <c r="E130" i="8"/>
  <c r="I133" i="8"/>
  <c r="I135" i="8"/>
  <c r="I134" i="8"/>
  <c r="D170" i="8"/>
  <c r="F169" i="8"/>
  <c r="H195" i="8"/>
  <c r="G139" i="8"/>
  <c r="F168" i="8"/>
  <c r="I132" i="8"/>
  <c r="H135" i="8"/>
  <c r="G126" i="8"/>
  <c r="H127" i="8" s="1"/>
  <c r="I142" i="9"/>
  <c r="E109" i="9"/>
  <c r="D144" i="9"/>
  <c r="G144" i="9"/>
  <c r="H109" i="9"/>
  <c r="E114" i="9"/>
  <c r="F141" i="9"/>
  <c r="F142" i="9"/>
  <c r="F113" i="9"/>
  <c r="G113" i="9" s="1"/>
  <c r="H114" i="9" s="1"/>
  <c r="E103" i="9"/>
  <c r="H127" i="9"/>
  <c r="G131" i="9"/>
  <c r="I99" i="9"/>
  <c r="I106" i="9"/>
  <c r="I107" i="9"/>
  <c r="I108" i="9"/>
  <c r="H129" i="9"/>
  <c r="I111" i="9"/>
  <c r="I112" i="9"/>
  <c r="I105" i="9"/>
  <c r="G100" i="9"/>
  <c r="H143" i="9"/>
  <c r="H168" i="9" s="1"/>
  <c r="H108" i="9"/>
  <c r="G108" i="10"/>
  <c r="E108" i="10"/>
  <c r="G137" i="10"/>
  <c r="E137" i="10"/>
  <c r="E109" i="10"/>
  <c r="I36" i="10"/>
  <c r="I38" i="10" s="1"/>
  <c r="E8" i="10"/>
  <c r="G135" i="10"/>
  <c r="E135" i="10"/>
  <c r="E110" i="10"/>
  <c r="C57" i="1"/>
  <c r="G151" i="10"/>
  <c r="G150" i="10" s="1"/>
  <c r="H150" i="10" s="1"/>
  <c r="F151" i="10"/>
  <c r="F150" i="10"/>
  <c r="H149" i="10"/>
  <c r="I149" i="10" s="1"/>
  <c r="F149" i="10"/>
  <c r="D149" i="10"/>
  <c r="D150" i="10" s="1"/>
  <c r="D151" i="10" s="1"/>
  <c r="B143" i="10"/>
  <c r="L133" i="10"/>
  <c r="G133" i="10"/>
  <c r="E133" i="10"/>
  <c r="C130" i="10"/>
  <c r="E121" i="10"/>
  <c r="F120" i="10"/>
  <c r="F121" i="10" s="1"/>
  <c r="G121" i="10" s="1"/>
  <c r="E120" i="10"/>
  <c r="G119" i="10"/>
  <c r="E119" i="10"/>
  <c r="G116" i="10"/>
  <c r="E116" i="10"/>
  <c r="G115" i="10"/>
  <c r="E115" i="10"/>
  <c r="G114" i="10"/>
  <c r="E114" i="10"/>
  <c r="G113" i="10"/>
  <c r="E113" i="10"/>
  <c r="G107" i="10"/>
  <c r="E107" i="10"/>
  <c r="E106" i="10"/>
  <c r="F105" i="10"/>
  <c r="F106" i="10" s="1"/>
  <c r="G106" i="10" s="1"/>
  <c r="I106" i="10" s="1"/>
  <c r="E105" i="10"/>
  <c r="G104" i="10"/>
  <c r="E104" i="10"/>
  <c r="G100" i="10"/>
  <c r="G99" i="10"/>
  <c r="G128" i="11"/>
  <c r="G119" i="11"/>
  <c r="E119" i="11"/>
  <c r="H162" i="11"/>
  <c r="G111" i="11"/>
  <c r="E31" i="10"/>
  <c r="D219" i="3" l="1"/>
  <c r="F218" i="3"/>
  <c r="H12" i="60"/>
  <c r="H13" i="60" s="1"/>
  <c r="H14" i="60" s="1"/>
  <c r="H15" i="60" s="1"/>
  <c r="H16" i="60" s="1"/>
  <c r="H17" i="60" s="1"/>
  <c r="H18" i="60" s="1"/>
  <c r="H19" i="60" s="1"/>
  <c r="H20" i="60" s="1"/>
  <c r="J158" i="4"/>
  <c r="J159" i="4" s="1"/>
  <c r="J167" i="4" s="1"/>
  <c r="J168" i="4" s="1"/>
  <c r="D141" i="4"/>
  <c r="F140" i="4"/>
  <c r="D135" i="5"/>
  <c r="F134" i="5"/>
  <c r="H144" i="7"/>
  <c r="D186" i="6"/>
  <c r="F185" i="6"/>
  <c r="I149" i="7"/>
  <c r="H154" i="7" s="1"/>
  <c r="D180" i="7"/>
  <c r="F179" i="7"/>
  <c r="G156" i="7"/>
  <c r="I148" i="7"/>
  <c r="G124" i="7"/>
  <c r="H169" i="8"/>
  <c r="I169" i="8" s="1"/>
  <c r="I170" i="8" s="1"/>
  <c r="I171" i="8" s="1"/>
  <c r="I172" i="8" s="1"/>
  <c r="I173" i="8" s="1"/>
  <c r="I174" i="8" s="1"/>
  <c r="I175" i="8" s="1"/>
  <c r="I176" i="8" s="1"/>
  <c r="I177" i="8" s="1"/>
  <c r="I178" i="8" s="1"/>
  <c r="I179" i="8" s="1"/>
  <c r="I180" i="8" s="1"/>
  <c r="I181" i="8" s="1"/>
  <c r="I182" i="8" s="1"/>
  <c r="I183" i="8" s="1"/>
  <c r="I184" i="8" s="1"/>
  <c r="I185" i="8" s="1"/>
  <c r="I186" i="8" s="1"/>
  <c r="I187" i="8" s="1"/>
  <c r="I188" i="8" s="1"/>
  <c r="I189" i="8" s="1"/>
  <c r="I190" i="8" s="1"/>
  <c r="I191" i="8" s="1"/>
  <c r="I192" i="8" s="1"/>
  <c r="I193" i="8" s="1"/>
  <c r="H158" i="8"/>
  <c r="I126" i="8"/>
  <c r="I130" i="8" s="1"/>
  <c r="G115" i="8"/>
  <c r="H130" i="8"/>
  <c r="H128" i="8"/>
  <c r="H141" i="8"/>
  <c r="H140" i="8"/>
  <c r="I139" i="8"/>
  <c r="G148" i="8"/>
  <c r="D171" i="8"/>
  <c r="F170" i="8"/>
  <c r="I143" i="9"/>
  <c r="I144" i="9" s="1"/>
  <c r="I145" i="9" s="1"/>
  <c r="D145" i="9"/>
  <c r="F144" i="9"/>
  <c r="I146" i="9"/>
  <c r="I147" i="9" s="1"/>
  <c r="I148" i="9" s="1"/>
  <c r="I149" i="9" s="1"/>
  <c r="I150" i="9" s="1"/>
  <c r="I151" i="9" s="1"/>
  <c r="I152" i="9" s="1"/>
  <c r="I153" i="9" s="1"/>
  <c r="I154" i="9" s="1"/>
  <c r="I155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H113" i="9"/>
  <c r="I113" i="9"/>
  <c r="H131" i="9"/>
  <c r="I100" i="9"/>
  <c r="I103" i="9" s="1"/>
  <c r="H101" i="9"/>
  <c r="G89" i="9"/>
  <c r="H103" i="9"/>
  <c r="H119" i="9" s="1"/>
  <c r="G121" i="9"/>
  <c r="I121" i="10"/>
  <c r="I150" i="10"/>
  <c r="H151" i="10"/>
  <c r="G153" i="10"/>
  <c r="H153" i="10" s="1"/>
  <c r="I133" i="10"/>
  <c r="I137" i="10"/>
  <c r="I40" i="10"/>
  <c r="I39" i="10"/>
  <c r="E117" i="10"/>
  <c r="I135" i="10"/>
  <c r="I139" i="10" s="1"/>
  <c r="I104" i="10"/>
  <c r="I113" i="10"/>
  <c r="G139" i="10"/>
  <c r="H117" i="10"/>
  <c r="I107" i="10"/>
  <c r="E111" i="10"/>
  <c r="I114" i="10"/>
  <c r="I115" i="10"/>
  <c r="E122" i="10"/>
  <c r="G105" i="10"/>
  <c r="H116" i="10"/>
  <c r="J133" i="10"/>
  <c r="M133" i="10" s="1"/>
  <c r="I116" i="10"/>
  <c r="I119" i="10"/>
  <c r="G120" i="10"/>
  <c r="I120" i="10" s="1"/>
  <c r="I119" i="11"/>
  <c r="C56" i="1"/>
  <c r="C55" i="1"/>
  <c r="C54" i="1"/>
  <c r="C53" i="1"/>
  <c r="H158" i="11"/>
  <c r="I158" i="11" s="1"/>
  <c r="F160" i="11"/>
  <c r="F159" i="11"/>
  <c r="F158" i="11"/>
  <c r="D220" i="3" l="1"/>
  <c r="F219" i="3"/>
  <c r="D142" i="4"/>
  <c r="F141" i="4"/>
  <c r="F135" i="5"/>
  <c r="D136" i="5"/>
  <c r="D187" i="6"/>
  <c r="F186" i="6"/>
  <c r="D181" i="7"/>
  <c r="F180" i="7"/>
  <c r="H146" i="8"/>
  <c r="D172" i="8"/>
  <c r="F171" i="8"/>
  <c r="D146" i="9"/>
  <c r="F146" i="9" s="1"/>
  <c r="F145" i="9"/>
  <c r="I151" i="10"/>
  <c r="I152" i="10" s="1"/>
  <c r="I154" i="10" s="1"/>
  <c r="H121" i="10"/>
  <c r="G94" i="10"/>
  <c r="H111" i="10"/>
  <c r="H106" i="10"/>
  <c r="I105" i="10"/>
  <c r="I111" i="10" s="1"/>
  <c r="G129" i="10"/>
  <c r="H122" i="10"/>
  <c r="H127" i="10" s="1"/>
  <c r="B152" i="11"/>
  <c r="D158" i="11"/>
  <c r="D159" i="11" s="1"/>
  <c r="D160" i="11" s="1"/>
  <c r="G170" i="18"/>
  <c r="E128" i="18"/>
  <c r="E114" i="19"/>
  <c r="E114" i="20"/>
  <c r="I144" i="11"/>
  <c r="G142" i="11"/>
  <c r="G148" i="11" s="1"/>
  <c r="E142" i="11"/>
  <c r="F117" i="11"/>
  <c r="F118" i="11" s="1"/>
  <c r="G118" i="11" s="1"/>
  <c r="G116" i="11"/>
  <c r="E116" i="11"/>
  <c r="L142" i="11"/>
  <c r="G160" i="11"/>
  <c r="C139" i="11"/>
  <c r="E130" i="11"/>
  <c r="F129" i="11"/>
  <c r="F130" i="11" s="1"/>
  <c r="G130" i="11" s="1"/>
  <c r="E129" i="11"/>
  <c r="E128" i="11"/>
  <c r="G125" i="11"/>
  <c r="E125" i="11"/>
  <c r="G124" i="11"/>
  <c r="E124" i="11"/>
  <c r="G123" i="11"/>
  <c r="E123" i="11"/>
  <c r="G122" i="11"/>
  <c r="E122" i="11"/>
  <c r="E118" i="11"/>
  <c r="E117" i="11"/>
  <c r="C159" i="12"/>
  <c r="F160" i="12"/>
  <c r="C160" i="12"/>
  <c r="G160" i="12" s="1"/>
  <c r="E158" i="12"/>
  <c r="E156" i="12"/>
  <c r="B157" i="12"/>
  <c r="E159" i="12" s="1"/>
  <c r="E155" i="12"/>
  <c r="E160" i="12" s="1"/>
  <c r="F220" i="3" l="1"/>
  <c r="D221" i="3"/>
  <c r="D143" i="4"/>
  <c r="F142" i="4"/>
  <c r="D137" i="5"/>
  <c r="F136" i="5"/>
  <c r="F187" i="6"/>
  <c r="D188" i="6"/>
  <c r="D182" i="7"/>
  <c r="F181" i="7"/>
  <c r="D173" i="8"/>
  <c r="F172" i="8"/>
  <c r="I130" i="11"/>
  <c r="G159" i="11"/>
  <c r="H159" i="11" s="1"/>
  <c r="I159" i="11" s="1"/>
  <c r="H160" i="11"/>
  <c r="I142" i="11"/>
  <c r="J142" i="11" s="1"/>
  <c r="M142" i="11" s="1"/>
  <c r="G117" i="11"/>
  <c r="I116" i="11"/>
  <c r="E126" i="11"/>
  <c r="H126" i="11"/>
  <c r="I118" i="11"/>
  <c r="I123" i="11"/>
  <c r="I124" i="11"/>
  <c r="I125" i="11"/>
  <c r="I128" i="11"/>
  <c r="E131" i="11"/>
  <c r="I122" i="11"/>
  <c r="H125" i="11"/>
  <c r="G129" i="11"/>
  <c r="I160" i="12"/>
  <c r="C157" i="12"/>
  <c r="E157" i="12" s="1"/>
  <c r="L170" i="12"/>
  <c r="H4" i="11"/>
  <c r="H5" i="11" s="1"/>
  <c r="H6" i="11" s="1"/>
  <c r="D75" i="11"/>
  <c r="F170" i="12"/>
  <c r="G170" i="12" s="1"/>
  <c r="E170" i="12"/>
  <c r="G169" i="12"/>
  <c r="E169" i="12"/>
  <c r="E33" i="11"/>
  <c r="E50" i="11"/>
  <c r="G129" i="12"/>
  <c r="E129" i="12"/>
  <c r="L167" i="12"/>
  <c r="C143" i="14"/>
  <c r="E154" i="14"/>
  <c r="E147" i="14"/>
  <c r="G147" i="14"/>
  <c r="I148" i="14"/>
  <c r="C152" i="12"/>
  <c r="E143" i="12"/>
  <c r="F142" i="12"/>
  <c r="F143" i="12" s="1"/>
  <c r="G143" i="12" s="1"/>
  <c r="E142" i="12"/>
  <c r="G141" i="12"/>
  <c r="E141" i="12"/>
  <c r="G138" i="12"/>
  <c r="E138" i="12"/>
  <c r="G137" i="12"/>
  <c r="E137" i="12"/>
  <c r="G136" i="12"/>
  <c r="E136" i="12"/>
  <c r="E154" i="12"/>
  <c r="G135" i="12"/>
  <c r="E135" i="12"/>
  <c r="F132" i="12"/>
  <c r="G132" i="12" s="1"/>
  <c r="E132" i="12"/>
  <c r="G131" i="12"/>
  <c r="E131" i="12"/>
  <c r="G167" i="12"/>
  <c r="E167" i="12"/>
  <c r="F128" i="12"/>
  <c r="G128" i="12" s="1"/>
  <c r="E128" i="12"/>
  <c r="G127" i="12"/>
  <c r="E127" i="12"/>
  <c r="E67" i="12"/>
  <c r="F122" i="13"/>
  <c r="F129" i="13"/>
  <c r="F130" i="13" s="1"/>
  <c r="E43" i="12"/>
  <c r="G161" i="13"/>
  <c r="E161" i="13"/>
  <c r="G121" i="13"/>
  <c r="E121" i="13"/>
  <c r="H37" i="13"/>
  <c r="H38" i="13" s="1"/>
  <c r="D224" i="3" l="1"/>
  <c r="F221" i="3"/>
  <c r="F143" i="4"/>
  <c r="D146" i="4"/>
  <c r="D140" i="5"/>
  <c r="F137" i="5"/>
  <c r="D189" i="6"/>
  <c r="F188" i="6"/>
  <c r="I147" i="14"/>
  <c r="I150" i="14" s="1"/>
  <c r="F182" i="7"/>
  <c r="D183" i="7"/>
  <c r="F173" i="8"/>
  <c r="D174" i="8"/>
  <c r="D147" i="9"/>
  <c r="F147" i="9" s="1"/>
  <c r="I160" i="11"/>
  <c r="I161" i="11" s="1"/>
  <c r="D112" i="11"/>
  <c r="G106" i="11" s="1"/>
  <c r="E120" i="11"/>
  <c r="I148" i="11"/>
  <c r="H118" i="11"/>
  <c r="I117" i="11"/>
  <c r="I120" i="11" s="1"/>
  <c r="H120" i="11"/>
  <c r="H131" i="11"/>
  <c r="H130" i="11"/>
  <c r="I129" i="11"/>
  <c r="F154" i="12"/>
  <c r="F155" i="12" s="1"/>
  <c r="F156" i="12" s="1"/>
  <c r="F158" i="12" s="1"/>
  <c r="I169" i="12"/>
  <c r="I170" i="12"/>
  <c r="I129" i="12"/>
  <c r="I138" i="12"/>
  <c r="E144" i="12"/>
  <c r="I143" i="12"/>
  <c r="I132" i="12"/>
  <c r="I136" i="12"/>
  <c r="I137" i="12"/>
  <c r="E133" i="12"/>
  <c r="I167" i="12"/>
  <c r="I131" i="12"/>
  <c r="I127" i="12"/>
  <c r="I135" i="12"/>
  <c r="E139" i="12"/>
  <c r="H133" i="12"/>
  <c r="H132" i="12"/>
  <c r="I128" i="12"/>
  <c r="H139" i="12"/>
  <c r="H138" i="12"/>
  <c r="I141" i="12"/>
  <c r="G142" i="12"/>
  <c r="I142" i="12" s="1"/>
  <c r="I161" i="13"/>
  <c r="I121" i="13"/>
  <c r="G158" i="13"/>
  <c r="E158" i="13"/>
  <c r="G157" i="13"/>
  <c r="E157" i="13"/>
  <c r="F127" i="14"/>
  <c r="G127" i="14" s="1"/>
  <c r="G125" i="14"/>
  <c r="E154" i="13"/>
  <c r="G155" i="13"/>
  <c r="E155" i="13"/>
  <c r="I153" i="13"/>
  <c r="G152" i="13"/>
  <c r="E152" i="13"/>
  <c r="C146" i="13"/>
  <c r="G130" i="13"/>
  <c r="E130" i="13"/>
  <c r="N4" i="2" s="1"/>
  <c r="G129" i="13"/>
  <c r="E129" i="13"/>
  <c r="G128" i="13"/>
  <c r="E128" i="13"/>
  <c r="G136" i="13"/>
  <c r="E136" i="13"/>
  <c r="G135" i="13"/>
  <c r="E135" i="13"/>
  <c r="G134" i="13"/>
  <c r="E134" i="13"/>
  <c r="E148" i="13"/>
  <c r="G133" i="13"/>
  <c r="E133" i="13"/>
  <c r="F125" i="13"/>
  <c r="G125" i="13" s="1"/>
  <c r="E125" i="13"/>
  <c r="G124" i="13"/>
  <c r="E124" i="13"/>
  <c r="G123" i="13"/>
  <c r="E123" i="13"/>
  <c r="E122" i="13"/>
  <c r="E160" i="13"/>
  <c r="G151" i="13"/>
  <c r="E151" i="13"/>
  <c r="D73" i="14"/>
  <c r="D74" i="14" s="1"/>
  <c r="B74" i="14" s="1"/>
  <c r="G120" i="14"/>
  <c r="E120" i="14"/>
  <c r="F122" i="14"/>
  <c r="G122" i="14" s="1"/>
  <c r="F2" i="14"/>
  <c r="E3" i="2" s="1"/>
  <c r="F63" i="14"/>
  <c r="F62" i="14"/>
  <c r="H63" i="14"/>
  <c r="H62" i="14"/>
  <c r="F118" i="14"/>
  <c r="G118" i="14" s="1"/>
  <c r="E119" i="14"/>
  <c r="H4" i="58"/>
  <c r="H5" i="58" s="1"/>
  <c r="H6" i="58" s="1"/>
  <c r="H7" i="58" s="1"/>
  <c r="H8" i="58" s="1"/>
  <c r="H9" i="58" s="1"/>
  <c r="H10" i="58" s="1"/>
  <c r="H11" i="58" s="1"/>
  <c r="H12" i="58" s="1"/>
  <c r="H13" i="58" s="1"/>
  <c r="H14" i="58" s="1"/>
  <c r="H15" i="58" s="1"/>
  <c r="H16" i="58" s="1"/>
  <c r="H17" i="58" s="1"/>
  <c r="H18" i="58" s="1"/>
  <c r="H19" i="58" s="1"/>
  <c r="H20" i="58" s="1"/>
  <c r="H21" i="58" s="1"/>
  <c r="H22" i="58" s="1"/>
  <c r="H23" i="58" s="1"/>
  <c r="H24" i="58" s="1"/>
  <c r="H25" i="58" s="1"/>
  <c r="H3" i="58"/>
  <c r="G2" i="58"/>
  <c r="F2" i="58"/>
  <c r="H2" i="58" s="1"/>
  <c r="E2" i="58"/>
  <c r="C3" i="46" s="1"/>
  <c r="D2" i="58"/>
  <c r="B3" i="46" s="1"/>
  <c r="D3" i="46" s="1"/>
  <c r="H11" i="57"/>
  <c r="H12" i="57" s="1"/>
  <c r="H13" i="57" s="1"/>
  <c r="H14" i="57" s="1"/>
  <c r="H15" i="57" s="1"/>
  <c r="H16" i="57" s="1"/>
  <c r="H17" i="57" s="1"/>
  <c r="H18" i="57" s="1"/>
  <c r="H19" i="57" s="1"/>
  <c r="H20" i="57" s="1"/>
  <c r="H21" i="57" s="1"/>
  <c r="H22" i="57" s="1"/>
  <c r="H23" i="57" s="1"/>
  <c r="H24" i="57" s="1"/>
  <c r="H25" i="57" s="1"/>
  <c r="H26" i="57" s="1"/>
  <c r="H27" i="57" s="1"/>
  <c r="H28" i="57" s="1"/>
  <c r="H29" i="57" s="1"/>
  <c r="H30" i="57" s="1"/>
  <c r="H4" i="57"/>
  <c r="H5" i="57" s="1"/>
  <c r="H6" i="57" s="1"/>
  <c r="H7" i="57" s="1"/>
  <c r="H8" i="57" s="1"/>
  <c r="H9" i="57" s="1"/>
  <c r="H10" i="57" s="1"/>
  <c r="G2" i="57"/>
  <c r="F2" i="57"/>
  <c r="E2" i="57"/>
  <c r="D2" i="57"/>
  <c r="H5" i="56"/>
  <c r="H6" i="56" s="1"/>
  <c r="H7" i="56" s="1"/>
  <c r="H8" i="56" s="1"/>
  <c r="H9" i="56" s="1"/>
  <c r="H10" i="56" s="1"/>
  <c r="H11" i="56" s="1"/>
  <c r="H12" i="56" s="1"/>
  <c r="H13" i="56" s="1"/>
  <c r="H14" i="56" s="1"/>
  <c r="H15" i="56" s="1"/>
  <c r="H16" i="56" s="1"/>
  <c r="H17" i="56" s="1"/>
  <c r="H18" i="56" s="1"/>
  <c r="H19" i="56" s="1"/>
  <c r="H20" i="56" s="1"/>
  <c r="H21" i="56" s="1"/>
  <c r="H22" i="56" s="1"/>
  <c r="H23" i="56" s="1"/>
  <c r="H24" i="56" s="1"/>
  <c r="H25" i="56" s="1"/>
  <c r="H26" i="56" s="1"/>
  <c r="H27" i="56" s="1"/>
  <c r="H28" i="56" s="1"/>
  <c r="H29" i="56" s="1"/>
  <c r="H30" i="56" s="1"/>
  <c r="H31" i="56" s="1"/>
  <c r="H32" i="56" s="1"/>
  <c r="H4" i="56"/>
  <c r="H2" i="56"/>
  <c r="G2" i="56"/>
  <c r="F5" i="46" s="1"/>
  <c r="F2" i="56"/>
  <c r="E2" i="56"/>
  <c r="D2" i="56"/>
  <c r="B5" i="46" s="1"/>
  <c r="H4" i="55"/>
  <c r="H5" i="55" s="1"/>
  <c r="H6" i="55" s="1"/>
  <c r="H7" i="55" s="1"/>
  <c r="H8" i="55" s="1"/>
  <c r="H9" i="55" s="1"/>
  <c r="H10" i="55" s="1"/>
  <c r="H11" i="55" s="1"/>
  <c r="H12" i="55" s="1"/>
  <c r="H13" i="55" s="1"/>
  <c r="H14" i="55" s="1"/>
  <c r="H15" i="55" s="1"/>
  <c r="H16" i="55" s="1"/>
  <c r="H17" i="55" s="1"/>
  <c r="H18" i="55" s="1"/>
  <c r="H19" i="55" s="1"/>
  <c r="H20" i="55" s="1"/>
  <c r="H21" i="55" s="1"/>
  <c r="H22" i="55" s="1"/>
  <c r="H23" i="55" s="1"/>
  <c r="H24" i="55" s="1"/>
  <c r="H25" i="55" s="1"/>
  <c r="H26" i="55" s="1"/>
  <c r="H27" i="55" s="1"/>
  <c r="H28" i="55" s="1"/>
  <c r="H29" i="55" s="1"/>
  <c r="H30" i="55" s="1"/>
  <c r="H31" i="55" s="1"/>
  <c r="H32" i="55" s="1"/>
  <c r="H33" i="55" s="1"/>
  <c r="H34" i="55" s="1"/>
  <c r="H35" i="55" s="1"/>
  <c r="H36" i="55" s="1"/>
  <c r="H2" i="55"/>
  <c r="G2" i="55"/>
  <c r="F2" i="55"/>
  <c r="E2" i="55"/>
  <c r="D2" i="55"/>
  <c r="H20" i="54"/>
  <c r="H21" i="54" s="1"/>
  <c r="H22" i="54" s="1"/>
  <c r="H23" i="54" s="1"/>
  <c r="H24" i="54" s="1"/>
  <c r="H25" i="54" s="1"/>
  <c r="H26" i="54" s="1"/>
  <c r="H27" i="54" s="1"/>
  <c r="H28" i="54" s="1"/>
  <c r="H29" i="54" s="1"/>
  <c r="H30" i="54" s="1"/>
  <c r="H31" i="54" s="1"/>
  <c r="H32" i="54" s="1"/>
  <c r="H33" i="54" s="1"/>
  <c r="H34" i="54" s="1"/>
  <c r="H4" i="54"/>
  <c r="H5" i="54" s="1"/>
  <c r="H6" i="54" s="1"/>
  <c r="H7" i="54" s="1"/>
  <c r="H8" i="54" s="1"/>
  <c r="H9" i="54" s="1"/>
  <c r="H10" i="54" s="1"/>
  <c r="H11" i="54" s="1"/>
  <c r="H12" i="54" s="1"/>
  <c r="H13" i="54" s="1"/>
  <c r="H14" i="54" s="1"/>
  <c r="H15" i="54" s="1"/>
  <c r="H16" i="54" s="1"/>
  <c r="H17" i="54" s="1"/>
  <c r="H18" i="54" s="1"/>
  <c r="H19" i="54" s="1"/>
  <c r="G2" i="54"/>
  <c r="F7" i="46" s="1"/>
  <c r="F2" i="54"/>
  <c r="E2" i="54"/>
  <c r="C7" i="46" s="1"/>
  <c r="D2" i="54"/>
  <c r="B7" i="46" s="1"/>
  <c r="H5" i="53"/>
  <c r="H6" i="53" s="1"/>
  <c r="H7" i="53" s="1"/>
  <c r="H8" i="53" s="1"/>
  <c r="H9" i="53" s="1"/>
  <c r="H10" i="53" s="1"/>
  <c r="H11" i="53" s="1"/>
  <c r="H12" i="53" s="1"/>
  <c r="H13" i="53" s="1"/>
  <c r="H14" i="53" s="1"/>
  <c r="H15" i="53" s="1"/>
  <c r="H16" i="53" s="1"/>
  <c r="H17" i="53" s="1"/>
  <c r="H18" i="53" s="1"/>
  <c r="H19" i="53" s="1"/>
  <c r="H20" i="53" s="1"/>
  <c r="H21" i="53" s="1"/>
  <c r="H22" i="53" s="1"/>
  <c r="H23" i="53" s="1"/>
  <c r="H24" i="53" s="1"/>
  <c r="H25" i="53" s="1"/>
  <c r="H26" i="53" s="1"/>
  <c r="H27" i="53" s="1"/>
  <c r="H28" i="53" s="1"/>
  <c r="H29" i="53" s="1"/>
  <c r="H30" i="53" s="1"/>
  <c r="H31" i="53" s="1"/>
  <c r="H32" i="53" s="1"/>
  <c r="H33" i="53" s="1"/>
  <c r="H34" i="53" s="1"/>
  <c r="H35" i="53" s="1"/>
  <c r="H36" i="53" s="1"/>
  <c r="H37" i="53" s="1"/>
  <c r="H38" i="53" s="1"/>
  <c r="H39" i="53" s="1"/>
  <c r="H40" i="53" s="1"/>
  <c r="H41" i="53" s="1"/>
  <c r="H42" i="53" s="1"/>
  <c r="H43" i="53" s="1"/>
  <c r="H44" i="53" s="1"/>
  <c r="H45" i="53" s="1"/>
  <c r="H46" i="53" s="1"/>
  <c r="H47" i="53" s="1"/>
  <c r="H4" i="53"/>
  <c r="H2" i="53"/>
  <c r="G2" i="53"/>
  <c r="F2" i="53"/>
  <c r="E2" i="53"/>
  <c r="C8" i="46" s="1"/>
  <c r="D2" i="53"/>
  <c r="H7" i="52"/>
  <c r="H8" i="52" s="1"/>
  <c r="H9" i="52" s="1"/>
  <c r="H10" i="52" s="1"/>
  <c r="H11" i="52" s="1"/>
  <c r="H12" i="52" s="1"/>
  <c r="H13" i="52" s="1"/>
  <c r="H14" i="52" s="1"/>
  <c r="H15" i="52" s="1"/>
  <c r="H16" i="52" s="1"/>
  <c r="H17" i="52" s="1"/>
  <c r="H18" i="52" s="1"/>
  <c r="H19" i="52" s="1"/>
  <c r="H20" i="52" s="1"/>
  <c r="H21" i="52" s="1"/>
  <c r="H22" i="52" s="1"/>
  <c r="H23" i="52" s="1"/>
  <c r="H24" i="52" s="1"/>
  <c r="H25" i="52" s="1"/>
  <c r="H26" i="52" s="1"/>
  <c r="H27" i="52" s="1"/>
  <c r="H28" i="52" s="1"/>
  <c r="H29" i="52" s="1"/>
  <c r="H30" i="52" s="1"/>
  <c r="H31" i="52" s="1"/>
  <c r="H32" i="52" s="1"/>
  <c r="H33" i="52" s="1"/>
  <c r="H34" i="52" s="1"/>
  <c r="H35" i="52" s="1"/>
  <c r="H36" i="52" s="1"/>
  <c r="H37" i="52" s="1"/>
  <c r="H38" i="52" s="1"/>
  <c r="H39" i="52" s="1"/>
  <c r="H40" i="52" s="1"/>
  <c r="H41" i="52" s="1"/>
  <c r="H42" i="52" s="1"/>
  <c r="H43" i="52" s="1"/>
  <c r="H44" i="52" s="1"/>
  <c r="H45" i="52" s="1"/>
  <c r="H46" i="52" s="1"/>
  <c r="H47" i="52" s="1"/>
  <c r="H48" i="52" s="1"/>
  <c r="H49" i="52" s="1"/>
  <c r="H50" i="52" s="1"/>
  <c r="H51" i="52" s="1"/>
  <c r="H52" i="52" s="1"/>
  <c r="H53" i="52" s="1"/>
  <c r="H54" i="52" s="1"/>
  <c r="H55" i="52" s="1"/>
  <c r="H6" i="52"/>
  <c r="H5" i="52"/>
  <c r="H4" i="52"/>
  <c r="G2" i="52"/>
  <c r="F9" i="46" s="1"/>
  <c r="F2" i="52"/>
  <c r="E2" i="52"/>
  <c r="D2" i="52"/>
  <c r="B9" i="46" s="1"/>
  <c r="D59" i="51"/>
  <c r="H6" i="51"/>
  <c r="H7" i="51" s="1"/>
  <c r="H8" i="51" s="1"/>
  <c r="H9" i="51" s="1"/>
  <c r="H10" i="51" s="1"/>
  <c r="H11" i="51" s="1"/>
  <c r="H12" i="51" s="1"/>
  <c r="H13" i="51" s="1"/>
  <c r="H14" i="51" s="1"/>
  <c r="H15" i="51" s="1"/>
  <c r="H16" i="51" s="1"/>
  <c r="H17" i="51" s="1"/>
  <c r="H18" i="51" s="1"/>
  <c r="H19" i="51" s="1"/>
  <c r="H20" i="51" s="1"/>
  <c r="H21" i="51" s="1"/>
  <c r="H22" i="51" s="1"/>
  <c r="H23" i="51" s="1"/>
  <c r="H24" i="51" s="1"/>
  <c r="H25" i="51" s="1"/>
  <c r="H26" i="51" s="1"/>
  <c r="H27" i="51" s="1"/>
  <c r="H28" i="51" s="1"/>
  <c r="H29" i="51" s="1"/>
  <c r="H30" i="51" s="1"/>
  <c r="H31" i="51" s="1"/>
  <c r="H32" i="51" s="1"/>
  <c r="H33" i="51" s="1"/>
  <c r="H34" i="51" s="1"/>
  <c r="H35" i="51" s="1"/>
  <c r="H36" i="51" s="1"/>
  <c r="H37" i="51" s="1"/>
  <c r="H38" i="51" s="1"/>
  <c r="H39" i="51" s="1"/>
  <c r="H40" i="51" s="1"/>
  <c r="H41" i="51" s="1"/>
  <c r="H42" i="51" s="1"/>
  <c r="H43" i="51" s="1"/>
  <c r="H44" i="51" s="1"/>
  <c r="H45" i="51" s="1"/>
  <c r="H46" i="51" s="1"/>
  <c r="H47" i="51" s="1"/>
  <c r="H48" i="51" s="1"/>
  <c r="H49" i="51" s="1"/>
  <c r="H50" i="51" s="1"/>
  <c r="H51" i="51" s="1"/>
  <c r="H52" i="51" s="1"/>
  <c r="H53" i="51" s="1"/>
  <c r="H54" i="51" s="1"/>
  <c r="H55" i="51" s="1"/>
  <c r="H56" i="51" s="1"/>
  <c r="H57" i="51" s="1"/>
  <c r="H58" i="51" s="1"/>
  <c r="H59" i="51" s="1"/>
  <c r="H60" i="51" s="1"/>
  <c r="H4" i="51"/>
  <c r="H5" i="51" s="1"/>
  <c r="G2" i="51"/>
  <c r="F2" i="51"/>
  <c r="E10" i="46" s="1"/>
  <c r="E2" i="51"/>
  <c r="D2" i="51"/>
  <c r="H47" i="50"/>
  <c r="H42" i="50"/>
  <c r="H43" i="50" s="1"/>
  <c r="H44" i="50" s="1"/>
  <c r="H45" i="50" s="1"/>
  <c r="H46" i="50" s="1"/>
  <c r="H7" i="50"/>
  <c r="H8" i="50" s="1"/>
  <c r="H9" i="50" s="1"/>
  <c r="H10" i="50" s="1"/>
  <c r="H11" i="50" s="1"/>
  <c r="H12" i="50" s="1"/>
  <c r="H13" i="50" s="1"/>
  <c r="H14" i="50" s="1"/>
  <c r="H15" i="50" s="1"/>
  <c r="H16" i="50" s="1"/>
  <c r="H17" i="50" s="1"/>
  <c r="H18" i="50" s="1"/>
  <c r="H19" i="50" s="1"/>
  <c r="H20" i="50" s="1"/>
  <c r="H21" i="50" s="1"/>
  <c r="H22" i="50" s="1"/>
  <c r="H23" i="50" s="1"/>
  <c r="H24" i="50" s="1"/>
  <c r="H25" i="50" s="1"/>
  <c r="H26" i="50" s="1"/>
  <c r="H27" i="50" s="1"/>
  <c r="H28" i="50" s="1"/>
  <c r="H29" i="50" s="1"/>
  <c r="H30" i="50" s="1"/>
  <c r="H31" i="50" s="1"/>
  <c r="H32" i="50" s="1"/>
  <c r="H33" i="50" s="1"/>
  <c r="H34" i="50" s="1"/>
  <c r="H35" i="50" s="1"/>
  <c r="H36" i="50" s="1"/>
  <c r="H37" i="50" s="1"/>
  <c r="H38" i="50" s="1"/>
  <c r="H39" i="50" s="1"/>
  <c r="H40" i="50" s="1"/>
  <c r="H41" i="50" s="1"/>
  <c r="H4" i="50"/>
  <c r="H5" i="50" s="1"/>
  <c r="H6" i="50" s="1"/>
  <c r="G2" i="50"/>
  <c r="H2" i="50" s="1"/>
  <c r="F2" i="50"/>
  <c r="E2" i="50"/>
  <c r="D2" i="50"/>
  <c r="B11" i="46" s="1"/>
  <c r="H13" i="49"/>
  <c r="H14" i="49" s="1"/>
  <c r="H15" i="49" s="1"/>
  <c r="H16" i="49" s="1"/>
  <c r="H17" i="49" s="1"/>
  <c r="H18" i="49" s="1"/>
  <c r="H19" i="49" s="1"/>
  <c r="H20" i="49" s="1"/>
  <c r="H21" i="49" s="1"/>
  <c r="H22" i="49" s="1"/>
  <c r="H23" i="49" s="1"/>
  <c r="H24" i="49" s="1"/>
  <c r="H25" i="49" s="1"/>
  <c r="H26" i="49" s="1"/>
  <c r="H27" i="49" s="1"/>
  <c r="H28" i="49" s="1"/>
  <c r="H29" i="49" s="1"/>
  <c r="H30" i="49" s="1"/>
  <c r="H31" i="49" s="1"/>
  <c r="H32" i="49" s="1"/>
  <c r="H33" i="49" s="1"/>
  <c r="H34" i="49" s="1"/>
  <c r="H35" i="49" s="1"/>
  <c r="H36" i="49" s="1"/>
  <c r="H37" i="49" s="1"/>
  <c r="H38" i="49" s="1"/>
  <c r="H39" i="49" s="1"/>
  <c r="H40" i="49" s="1"/>
  <c r="H41" i="49" s="1"/>
  <c r="H42" i="49" s="1"/>
  <c r="H43" i="49" s="1"/>
  <c r="H44" i="49" s="1"/>
  <c r="H45" i="49" s="1"/>
  <c r="H46" i="49" s="1"/>
  <c r="H47" i="49" s="1"/>
  <c r="H48" i="49" s="1"/>
  <c r="H49" i="49" s="1"/>
  <c r="H50" i="49" s="1"/>
  <c r="H51" i="49" s="1"/>
  <c r="H52" i="49" s="1"/>
  <c r="H53" i="49" s="1"/>
  <c r="H54" i="49" s="1"/>
  <c r="H55" i="49" s="1"/>
  <c r="H56" i="49" s="1"/>
  <c r="H57" i="49" s="1"/>
  <c r="H58" i="49" s="1"/>
  <c r="H59" i="49" s="1"/>
  <c r="H60" i="49" s="1"/>
  <c r="H61" i="49" s="1"/>
  <c r="H62" i="49" s="1"/>
  <c r="H63" i="49" s="1"/>
  <c r="H64" i="49" s="1"/>
  <c r="H65" i="49" s="1"/>
  <c r="H66" i="49" s="1"/>
  <c r="H67" i="49" s="1"/>
  <c r="H68" i="49" s="1"/>
  <c r="H69" i="49" s="1"/>
  <c r="H70" i="49" s="1"/>
  <c r="H71" i="49" s="1"/>
  <c r="H72" i="49" s="1"/>
  <c r="H73" i="49" s="1"/>
  <c r="H74" i="49" s="1"/>
  <c r="H75" i="49" s="1"/>
  <c r="H76" i="49" s="1"/>
  <c r="H77" i="49" s="1"/>
  <c r="H78" i="49" s="1"/>
  <c r="H79" i="49" s="1"/>
  <c r="H80" i="49" s="1"/>
  <c r="H81" i="49" s="1"/>
  <c r="H82" i="49" s="1"/>
  <c r="H83" i="49" s="1"/>
  <c r="H84" i="49" s="1"/>
  <c r="H12" i="49"/>
  <c r="H4" i="49"/>
  <c r="H5" i="49" s="1"/>
  <c r="H6" i="49" s="1"/>
  <c r="H7" i="49" s="1"/>
  <c r="H9" i="49" s="1"/>
  <c r="H10" i="49" s="1"/>
  <c r="G2" i="49"/>
  <c r="F2" i="49"/>
  <c r="E2" i="49"/>
  <c r="D2" i="49"/>
  <c r="B12" i="46" s="1"/>
  <c r="H5" i="48"/>
  <c r="H6" i="48" s="1"/>
  <c r="H7" i="48" s="1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H25" i="48" s="1"/>
  <c r="H26" i="48" s="1"/>
  <c r="H27" i="48" s="1"/>
  <c r="H28" i="48" s="1"/>
  <c r="H29" i="48" s="1"/>
  <c r="H30" i="48" s="1"/>
  <c r="H31" i="48" s="1"/>
  <c r="H32" i="48" s="1"/>
  <c r="H33" i="48" s="1"/>
  <c r="H34" i="48" s="1"/>
  <c r="H35" i="48" s="1"/>
  <c r="H36" i="48" s="1"/>
  <c r="H37" i="48" s="1"/>
  <c r="H38" i="48" s="1"/>
  <c r="H39" i="48" s="1"/>
  <c r="H40" i="48" s="1"/>
  <c r="H41" i="48" s="1"/>
  <c r="H42" i="48" s="1"/>
  <c r="H43" i="48" s="1"/>
  <c r="H44" i="48" s="1"/>
  <c r="H45" i="48" s="1"/>
  <c r="H46" i="48" s="1"/>
  <c r="H47" i="48" s="1"/>
  <c r="H48" i="48" s="1"/>
  <c r="H49" i="48" s="1"/>
  <c r="H50" i="48" s="1"/>
  <c r="H51" i="48" s="1"/>
  <c r="H52" i="48" s="1"/>
  <c r="H53" i="48" s="1"/>
  <c r="H54" i="48" s="1"/>
  <c r="H4" i="48"/>
  <c r="H2" i="48"/>
  <c r="G2" i="48"/>
  <c r="F13" i="46" s="1"/>
  <c r="F2" i="48"/>
  <c r="E13" i="46" s="1"/>
  <c r="E2" i="48"/>
  <c r="D2" i="48"/>
  <c r="B13" i="46" s="1"/>
  <c r="E35" i="47"/>
  <c r="H4" i="47"/>
  <c r="H5" i="47" s="1"/>
  <c r="H6" i="47" s="1"/>
  <c r="H7" i="47" s="1"/>
  <c r="H8" i="47" s="1"/>
  <c r="H9" i="47" s="1"/>
  <c r="H10" i="47" s="1"/>
  <c r="H11" i="47" s="1"/>
  <c r="H12" i="47" s="1"/>
  <c r="H13" i="47" s="1"/>
  <c r="H14" i="47" s="1"/>
  <c r="H15" i="47" s="1"/>
  <c r="H16" i="47" s="1"/>
  <c r="H17" i="47" s="1"/>
  <c r="H18" i="47" s="1"/>
  <c r="H19" i="47" s="1"/>
  <c r="H20" i="47" s="1"/>
  <c r="H21" i="47" s="1"/>
  <c r="H22" i="47" s="1"/>
  <c r="H23" i="47" s="1"/>
  <c r="H24" i="47" s="1"/>
  <c r="H25" i="47" s="1"/>
  <c r="H26" i="47" s="1"/>
  <c r="H27" i="47" s="1"/>
  <c r="H28" i="47" s="1"/>
  <c r="H29" i="47" s="1"/>
  <c r="H30" i="47" s="1"/>
  <c r="H31" i="47" s="1"/>
  <c r="H32" i="47" s="1"/>
  <c r="H33" i="47" s="1"/>
  <c r="H34" i="47" s="1"/>
  <c r="H35" i="47" s="1"/>
  <c r="H36" i="47" s="1"/>
  <c r="H37" i="47" s="1"/>
  <c r="H38" i="47" s="1"/>
  <c r="H39" i="47" s="1"/>
  <c r="H40" i="47" s="1"/>
  <c r="H41" i="47" s="1"/>
  <c r="H42" i="47" s="1"/>
  <c r="H43" i="47" s="1"/>
  <c r="H44" i="47" s="1"/>
  <c r="H45" i="47" s="1"/>
  <c r="H46" i="47" s="1"/>
  <c r="H47" i="47" s="1"/>
  <c r="H48" i="47" s="1"/>
  <c r="H49" i="47" s="1"/>
  <c r="H50" i="47" s="1"/>
  <c r="H51" i="47" s="1"/>
  <c r="H52" i="47" s="1"/>
  <c r="H53" i="47" s="1"/>
  <c r="H54" i="47" s="1"/>
  <c r="H55" i="47" s="1"/>
  <c r="H56" i="47" s="1"/>
  <c r="H57" i="47" s="1"/>
  <c r="H58" i="47" s="1"/>
  <c r="H59" i="47" s="1"/>
  <c r="H60" i="47" s="1"/>
  <c r="H61" i="47" s="1"/>
  <c r="H62" i="47" s="1"/>
  <c r="H63" i="47" s="1"/>
  <c r="H64" i="47" s="1"/>
  <c r="H65" i="47" s="1"/>
  <c r="G2" i="47"/>
  <c r="F2" i="47"/>
  <c r="E14" i="46" s="1"/>
  <c r="E2" i="47"/>
  <c r="C14" i="46" s="1"/>
  <c r="D2" i="47"/>
  <c r="B14" i="46" s="1"/>
  <c r="N16" i="46"/>
  <c r="M16" i="46"/>
  <c r="N15" i="46"/>
  <c r="M15" i="46"/>
  <c r="K15" i="46"/>
  <c r="K16" i="46" s="1"/>
  <c r="J15" i="46"/>
  <c r="J16" i="46" s="1"/>
  <c r="L14" i="46"/>
  <c r="K14" i="46"/>
  <c r="F14" i="46"/>
  <c r="K13" i="46"/>
  <c r="L13" i="46" s="1"/>
  <c r="C13" i="46"/>
  <c r="K12" i="46"/>
  <c r="L12" i="46" s="1"/>
  <c r="E12" i="46"/>
  <c r="C12" i="46"/>
  <c r="L11" i="46"/>
  <c r="K11" i="46"/>
  <c r="F11" i="46"/>
  <c r="E11" i="46"/>
  <c r="C11" i="46"/>
  <c r="K10" i="46"/>
  <c r="L10" i="46" s="1"/>
  <c r="C10" i="46"/>
  <c r="B10" i="46"/>
  <c r="K9" i="46"/>
  <c r="L9" i="46" s="1"/>
  <c r="E9" i="46"/>
  <c r="C9" i="46"/>
  <c r="F8" i="46"/>
  <c r="E8" i="46"/>
  <c r="B8" i="46"/>
  <c r="E7" i="46"/>
  <c r="F6" i="46"/>
  <c r="E6" i="46"/>
  <c r="C6" i="46"/>
  <c r="B6" i="46"/>
  <c r="E5" i="46"/>
  <c r="C5" i="46"/>
  <c r="E4" i="46"/>
  <c r="C4" i="46"/>
  <c r="D4" i="46" s="1"/>
  <c r="B4" i="46"/>
  <c r="F3" i="46"/>
  <c r="E3" i="46"/>
  <c r="L1" i="46"/>
  <c r="E118" i="45"/>
  <c r="E117" i="45"/>
  <c r="E116" i="45"/>
  <c r="E111" i="45" s="1"/>
  <c r="E48" i="45"/>
  <c r="E35" i="45"/>
  <c r="D35" i="45"/>
  <c r="E13" i="45"/>
  <c r="H6" i="45"/>
  <c r="H7" i="45" s="1"/>
  <c r="H8" i="45" s="1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5" i="45"/>
  <c r="G2" i="45"/>
  <c r="F3" i="30" s="1"/>
  <c r="F2" i="45"/>
  <c r="E2" i="45"/>
  <c r="C3" i="30" s="1"/>
  <c r="D2" i="45"/>
  <c r="E121" i="44"/>
  <c r="E118" i="44"/>
  <c r="E117" i="44"/>
  <c r="E111" i="44" s="1"/>
  <c r="N4" i="30" s="1"/>
  <c r="E116" i="44"/>
  <c r="E87" i="44"/>
  <c r="E6" i="44" s="1"/>
  <c r="E62" i="44"/>
  <c r="E50" i="44"/>
  <c r="D50" i="44"/>
  <c r="G15" i="44"/>
  <c r="G2" i="44" s="1"/>
  <c r="F4" i="30" s="1"/>
  <c r="E15" i="44"/>
  <c r="E9" i="44"/>
  <c r="H7" i="44"/>
  <c r="H8" i="44" s="1"/>
  <c r="H9" i="44" s="1"/>
  <c r="H10" i="44" s="1"/>
  <c r="H11" i="44" s="1"/>
  <c r="H12" i="44" s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H34" i="44" s="1"/>
  <c r="H35" i="44" s="1"/>
  <c r="H36" i="44" s="1"/>
  <c r="H37" i="44" s="1"/>
  <c r="H38" i="44" s="1"/>
  <c r="H39" i="44" s="1"/>
  <c r="H40" i="44" s="1"/>
  <c r="H41" i="44" s="1"/>
  <c r="H5" i="44"/>
  <c r="H6" i="44" s="1"/>
  <c r="H4" i="44"/>
  <c r="H2" i="44"/>
  <c r="F2" i="44"/>
  <c r="D2" i="44"/>
  <c r="B4" i="30" s="1"/>
  <c r="E118" i="43"/>
  <c r="E117" i="43"/>
  <c r="E116" i="43"/>
  <c r="E95" i="43"/>
  <c r="E58" i="43"/>
  <c r="E46" i="43"/>
  <c r="D46" i="43"/>
  <c r="E14" i="43"/>
  <c r="E13" i="43"/>
  <c r="H12" i="43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H32" i="43" s="1"/>
  <c r="H33" i="43" s="1"/>
  <c r="H34" i="43" s="1"/>
  <c r="H35" i="43" s="1"/>
  <c r="H36" i="43" s="1"/>
  <c r="H37" i="43" s="1"/>
  <c r="H38" i="43" s="1"/>
  <c r="E12" i="43"/>
  <c r="H3" i="43"/>
  <c r="H4" i="43" s="1"/>
  <c r="H5" i="43" s="1"/>
  <c r="H6" i="43" s="1"/>
  <c r="H7" i="43" s="1"/>
  <c r="H8" i="43" s="1"/>
  <c r="H9" i="43" s="1"/>
  <c r="H10" i="43" s="1"/>
  <c r="H11" i="43" s="1"/>
  <c r="H2" i="43"/>
  <c r="E121" i="43" s="1"/>
  <c r="G2" i="43"/>
  <c r="F2" i="43"/>
  <c r="D2" i="43"/>
  <c r="E118" i="42"/>
  <c r="E111" i="42" s="1"/>
  <c r="N6" i="30" s="1"/>
  <c r="E117" i="42"/>
  <c r="E116" i="42"/>
  <c r="E78" i="42"/>
  <c r="E13" i="42" s="1"/>
  <c r="E54" i="42"/>
  <c r="E42" i="42"/>
  <c r="D42" i="42"/>
  <c r="E12" i="42"/>
  <c r="E11" i="42"/>
  <c r="H4" i="42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G2" i="42"/>
  <c r="F6" i="30" s="1"/>
  <c r="F2" i="42"/>
  <c r="D2" i="42"/>
  <c r="E121" i="41"/>
  <c r="E118" i="41"/>
  <c r="E117" i="41"/>
  <c r="E116" i="41"/>
  <c r="E80" i="41"/>
  <c r="E59" i="41"/>
  <c r="E47" i="41"/>
  <c r="D47" i="41"/>
  <c r="H20" i="41"/>
  <c r="H21" i="41" s="1"/>
  <c r="H22" i="41" s="1"/>
  <c r="H23" i="41" s="1"/>
  <c r="E8" i="41"/>
  <c r="E7" i="41"/>
  <c r="E2" i="41" s="1"/>
  <c r="C7" i="30" s="1"/>
  <c r="E6" i="41"/>
  <c r="H4" i="4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G2" i="41"/>
  <c r="F7" i="30" s="1"/>
  <c r="F2" i="41"/>
  <c r="D2" i="41"/>
  <c r="B7" i="30" s="1"/>
  <c r="E118" i="40"/>
  <c r="E117" i="40"/>
  <c r="E116" i="40"/>
  <c r="E84" i="40"/>
  <c r="E9" i="40" s="1"/>
  <c r="E49" i="40"/>
  <c r="E8" i="40" s="1"/>
  <c r="E37" i="40"/>
  <c r="D37" i="40"/>
  <c r="H5" i="40"/>
  <c r="H6" i="40" s="1"/>
  <c r="H7" i="40" s="1"/>
  <c r="H8" i="40" s="1"/>
  <c r="H4" i="40"/>
  <c r="G2" i="40"/>
  <c r="F8" i="30" s="1"/>
  <c r="F2" i="40"/>
  <c r="D2" i="40"/>
  <c r="B8" i="30" s="1"/>
  <c r="C121" i="39"/>
  <c r="E118" i="39"/>
  <c r="E117" i="39"/>
  <c r="E116" i="39"/>
  <c r="E69" i="39"/>
  <c r="E53" i="39"/>
  <c r="E41" i="39"/>
  <c r="D41" i="39"/>
  <c r="E11" i="39"/>
  <c r="E10" i="39"/>
  <c r="G9" i="39"/>
  <c r="E9" i="39"/>
  <c r="H4" i="39"/>
  <c r="H5" i="39" s="1"/>
  <c r="H6" i="39" s="1"/>
  <c r="H7" i="39" s="1"/>
  <c r="H8" i="39" s="1"/>
  <c r="H9" i="39" s="1"/>
  <c r="H10" i="39" s="1"/>
  <c r="H11" i="39" s="1"/>
  <c r="H12" i="39" s="1"/>
  <c r="H13" i="39" s="1"/>
  <c r="G2" i="39"/>
  <c r="F9" i="30" s="1"/>
  <c r="F2" i="39"/>
  <c r="D2" i="39"/>
  <c r="C121" i="38"/>
  <c r="E118" i="38"/>
  <c r="E117" i="38"/>
  <c r="E116" i="38"/>
  <c r="C74" i="38"/>
  <c r="E67" i="38"/>
  <c r="E9" i="38" s="1"/>
  <c r="E49" i="38"/>
  <c r="E8" i="38" s="1"/>
  <c r="E37" i="38"/>
  <c r="F7" i="38" s="1"/>
  <c r="F2" i="38" s="1"/>
  <c r="D37" i="38"/>
  <c r="D7" i="38"/>
  <c r="H4" i="38"/>
  <c r="H5" i="38" s="1"/>
  <c r="H6" i="38" s="1"/>
  <c r="G2" i="38"/>
  <c r="F10" i="30" s="1"/>
  <c r="D2" i="38"/>
  <c r="B10" i="30" s="1"/>
  <c r="C121" i="37"/>
  <c r="E118" i="37"/>
  <c r="E117" i="37"/>
  <c r="E116" i="37"/>
  <c r="E87" i="37"/>
  <c r="E9" i="37" s="1"/>
  <c r="E62" i="37"/>
  <c r="E50" i="37"/>
  <c r="D50" i="37"/>
  <c r="E8" i="37"/>
  <c r="G7" i="37"/>
  <c r="G2" i="37" s="1"/>
  <c r="F11" i="30" s="1"/>
  <c r="E7" i="37"/>
  <c r="H5" i="37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E121" i="37" s="1"/>
  <c r="H4" i="37"/>
  <c r="F2" i="37"/>
  <c r="D2" i="37"/>
  <c r="B11" i="30" s="1"/>
  <c r="E122" i="36"/>
  <c r="E119" i="36"/>
  <c r="E118" i="36"/>
  <c r="E111" i="36" s="1"/>
  <c r="N12" i="30" s="1"/>
  <c r="E117" i="36"/>
  <c r="E116" i="36"/>
  <c r="E68" i="36"/>
  <c r="E51" i="36"/>
  <c r="E39" i="36"/>
  <c r="D39" i="36"/>
  <c r="E11" i="36"/>
  <c r="E10" i="36"/>
  <c r="E9" i="36"/>
  <c r="E2" i="36" s="1"/>
  <c r="C12" i="30" s="1"/>
  <c r="H4" i="36"/>
  <c r="H5" i="36" s="1"/>
  <c r="H6" i="36" s="1"/>
  <c r="H7" i="36" s="1"/>
  <c r="H8" i="36" s="1"/>
  <c r="F2" i="36"/>
  <c r="D2" i="36"/>
  <c r="B12" i="30" s="1"/>
  <c r="C123" i="35"/>
  <c r="E120" i="35"/>
  <c r="E119" i="35"/>
  <c r="A119" i="35"/>
  <c r="A120" i="35" s="1"/>
  <c r="A121" i="35" s="1"/>
  <c r="A122" i="35" s="1"/>
  <c r="E118" i="35"/>
  <c r="A114" i="35"/>
  <c r="A115" i="35" s="1"/>
  <c r="A118" i="35" s="1"/>
  <c r="A113" i="35"/>
  <c r="E109" i="35"/>
  <c r="E71" i="35"/>
  <c r="E10" i="35" s="1"/>
  <c r="G10" i="35" s="1"/>
  <c r="E55" i="35"/>
  <c r="E43" i="35"/>
  <c r="D43" i="35"/>
  <c r="G9" i="35"/>
  <c r="E9" i="35"/>
  <c r="E8" i="35"/>
  <c r="E2" i="35" s="1"/>
  <c r="H7" i="35"/>
  <c r="H4" i="35"/>
  <c r="H5" i="35" s="1"/>
  <c r="H6" i="35" s="1"/>
  <c r="F2" i="35"/>
  <c r="E13" i="30" s="1"/>
  <c r="D2" i="35"/>
  <c r="E131" i="34"/>
  <c r="C129" i="34"/>
  <c r="E126" i="34"/>
  <c r="E125" i="34"/>
  <c r="E124" i="34"/>
  <c r="E111" i="34" s="1"/>
  <c r="A114" i="34"/>
  <c r="A115" i="34" s="1"/>
  <c r="A113" i="34"/>
  <c r="D109" i="34"/>
  <c r="F81" i="34"/>
  <c r="E81" i="34"/>
  <c r="E13" i="34" s="1"/>
  <c r="F58" i="34"/>
  <c r="E58" i="34"/>
  <c r="E46" i="34"/>
  <c r="D46" i="34"/>
  <c r="G16" i="34"/>
  <c r="G15" i="34"/>
  <c r="G14" i="34"/>
  <c r="G13" i="34"/>
  <c r="E12" i="34"/>
  <c r="G12" i="34" s="1"/>
  <c r="G11" i="34"/>
  <c r="E11" i="34"/>
  <c r="H8" i="34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G7" i="34"/>
  <c r="H4" i="34"/>
  <c r="H5" i="34" s="1"/>
  <c r="H6" i="34" s="1"/>
  <c r="H7" i="34" s="1"/>
  <c r="F2" i="34"/>
  <c r="D2" i="34"/>
  <c r="E32" i="33"/>
  <c r="E33" i="33" s="1"/>
  <c r="D27" i="33"/>
  <c r="H25" i="33"/>
  <c r="I25" i="33" s="1"/>
  <c r="I24" i="33" s="1"/>
  <c r="I23" i="33" s="1"/>
  <c r="F25" i="33"/>
  <c r="E25" i="33"/>
  <c r="H24" i="33"/>
  <c r="F24" i="33"/>
  <c r="E24" i="33"/>
  <c r="H23" i="33"/>
  <c r="F23" i="33"/>
  <c r="E23" i="33"/>
  <c r="I22" i="33"/>
  <c r="I21" i="33" s="1"/>
  <c r="I20" i="33" s="1"/>
  <c r="I19" i="33" s="1"/>
  <c r="I18" i="33" s="1"/>
  <c r="I17" i="33" s="1"/>
  <c r="I16" i="33" s="1"/>
  <c r="I15" i="33" s="1"/>
  <c r="I14" i="33" s="1"/>
  <c r="I13" i="33" s="1"/>
  <c r="I12" i="33" s="1"/>
  <c r="H22" i="33"/>
  <c r="F22" i="33"/>
  <c r="E22" i="33"/>
  <c r="H21" i="33"/>
  <c r="F21" i="33"/>
  <c r="E21" i="33"/>
  <c r="H20" i="33"/>
  <c r="F20" i="33"/>
  <c r="E20" i="33"/>
  <c r="H19" i="33"/>
  <c r="F19" i="33"/>
  <c r="E19" i="33"/>
  <c r="H18" i="33"/>
  <c r="F18" i="33"/>
  <c r="E18" i="33"/>
  <c r="H17" i="33"/>
  <c r="F17" i="33"/>
  <c r="E17" i="33"/>
  <c r="H16" i="33"/>
  <c r="F16" i="33"/>
  <c r="E16" i="33"/>
  <c r="H15" i="33"/>
  <c r="F15" i="33"/>
  <c r="E15" i="33"/>
  <c r="H14" i="33"/>
  <c r="F14" i="33"/>
  <c r="E14" i="33"/>
  <c r="E27" i="33" s="1"/>
  <c r="H13" i="33"/>
  <c r="F13" i="33"/>
  <c r="E13" i="33"/>
  <c r="H12" i="33"/>
  <c r="F12" i="33"/>
  <c r="E12" i="33"/>
  <c r="H11" i="33"/>
  <c r="F11" i="33"/>
  <c r="E11" i="33"/>
  <c r="H10" i="33"/>
  <c r="F10" i="33"/>
  <c r="E10" i="33"/>
  <c r="H9" i="33"/>
  <c r="F9" i="33"/>
  <c r="E9" i="33"/>
  <c r="H8" i="33"/>
  <c r="F8" i="33"/>
  <c r="E8" i="33"/>
  <c r="E28" i="33" s="1"/>
  <c r="F5" i="33"/>
  <c r="F41" i="32"/>
  <c r="E41" i="32"/>
  <c r="H37" i="32"/>
  <c r="I37" i="32" s="1"/>
  <c r="I36" i="32" s="1"/>
  <c r="I35" i="32" s="1"/>
  <c r="I34" i="32" s="1"/>
  <c r="I33" i="32" s="1"/>
  <c r="I32" i="32" s="1"/>
  <c r="I31" i="32" s="1"/>
  <c r="I30" i="32" s="1"/>
  <c r="I29" i="32" s="1"/>
  <c r="I28" i="32" s="1"/>
  <c r="I27" i="32" s="1"/>
  <c r="I26" i="32" s="1"/>
  <c r="I25" i="32" s="1"/>
  <c r="I24" i="32" s="1"/>
  <c r="I23" i="32" s="1"/>
  <c r="F37" i="32"/>
  <c r="E37" i="32"/>
  <c r="E23" i="32" s="1"/>
  <c r="H36" i="32"/>
  <c r="F36" i="32"/>
  <c r="E36" i="32"/>
  <c r="H35" i="32"/>
  <c r="F35" i="32"/>
  <c r="E35" i="32"/>
  <c r="H34" i="32"/>
  <c r="F34" i="32"/>
  <c r="E34" i="32"/>
  <c r="H33" i="32"/>
  <c r="F33" i="32"/>
  <c r="E33" i="32"/>
  <c r="H32" i="32"/>
  <c r="F32" i="32"/>
  <c r="E32" i="32"/>
  <c r="H31" i="32"/>
  <c r="F31" i="32"/>
  <c r="E31" i="32"/>
  <c r="H30" i="32"/>
  <c r="F30" i="32"/>
  <c r="E30" i="32"/>
  <c r="H29" i="32"/>
  <c r="F29" i="32"/>
  <c r="E29" i="32"/>
  <c r="H28" i="32"/>
  <c r="F28" i="32"/>
  <c r="E28" i="32"/>
  <c r="H27" i="32"/>
  <c r="F27" i="32"/>
  <c r="E27" i="32"/>
  <c r="H26" i="32"/>
  <c r="H23" i="32" s="1"/>
  <c r="F26" i="32"/>
  <c r="F23" i="32" s="1"/>
  <c r="E26" i="32"/>
  <c r="H25" i="32"/>
  <c r="F25" i="32"/>
  <c r="E25" i="32"/>
  <c r="H24" i="32"/>
  <c r="F24" i="32"/>
  <c r="E24" i="32"/>
  <c r="D23" i="32"/>
  <c r="F21" i="32"/>
  <c r="F60" i="31"/>
  <c r="E60" i="31"/>
  <c r="D60" i="31"/>
  <c r="F39" i="31"/>
  <c r="E39" i="31"/>
  <c r="G39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3" i="31"/>
  <c r="G4" i="31" s="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F33" i="30"/>
  <c r="F32" i="30"/>
  <c r="F31" i="30"/>
  <c r="F26" i="30"/>
  <c r="F21" i="30"/>
  <c r="E21" i="30"/>
  <c r="F19" i="30"/>
  <c r="E19" i="30"/>
  <c r="M7" i="30" s="1"/>
  <c r="E18" i="30"/>
  <c r="J15" i="30"/>
  <c r="J16" i="30" s="1"/>
  <c r="N14" i="30"/>
  <c r="L14" i="30"/>
  <c r="K14" i="30"/>
  <c r="E14" i="30"/>
  <c r="B14" i="30"/>
  <c r="K13" i="30"/>
  <c r="L13" i="30" s="1"/>
  <c r="C13" i="30"/>
  <c r="B13" i="30"/>
  <c r="K12" i="30"/>
  <c r="L12" i="30" s="1"/>
  <c r="E12" i="30"/>
  <c r="K11" i="30"/>
  <c r="L11" i="30" s="1"/>
  <c r="K9" i="30"/>
  <c r="L9" i="30" s="1"/>
  <c r="B9" i="30"/>
  <c r="M8" i="30"/>
  <c r="E8" i="30"/>
  <c r="E7" i="30"/>
  <c r="M6" i="30"/>
  <c r="B6" i="30"/>
  <c r="F5" i="30"/>
  <c r="E5" i="30"/>
  <c r="B5" i="30"/>
  <c r="L4" i="30"/>
  <c r="K4" i="30"/>
  <c r="E4" i="30"/>
  <c r="N3" i="30"/>
  <c r="M3" i="30"/>
  <c r="B3" i="30"/>
  <c r="D3" i="30" s="1"/>
  <c r="N2" i="30"/>
  <c r="L1" i="30"/>
  <c r="C149" i="29"/>
  <c r="D147" i="29"/>
  <c r="E144" i="29"/>
  <c r="D144" i="29"/>
  <c r="D149" i="29" s="1"/>
  <c r="C136" i="29"/>
  <c r="E133" i="29"/>
  <c r="E132" i="29"/>
  <c r="E131" i="29"/>
  <c r="A131" i="29"/>
  <c r="E130" i="29"/>
  <c r="E118" i="29" s="1"/>
  <c r="N3" i="17" s="1"/>
  <c r="A128" i="29"/>
  <c r="A126" i="29"/>
  <c r="A121" i="29"/>
  <c r="A122" i="29" s="1"/>
  <c r="A123" i="29" s="1"/>
  <c r="A124" i="29" s="1"/>
  <c r="A120" i="29"/>
  <c r="C112" i="29"/>
  <c r="C111" i="29"/>
  <c r="C110" i="29"/>
  <c r="C109" i="29"/>
  <c r="C107" i="29"/>
  <c r="C106" i="29"/>
  <c r="C102" i="29"/>
  <c r="C100" i="29"/>
  <c r="C97" i="29"/>
  <c r="C95" i="29"/>
  <c r="C93" i="29"/>
  <c r="C92" i="29"/>
  <c r="C90" i="29"/>
  <c r="C89" i="29"/>
  <c r="E77" i="29"/>
  <c r="E60" i="29"/>
  <c r="E13" i="29" s="1"/>
  <c r="E49" i="29"/>
  <c r="D49" i="29"/>
  <c r="G16" i="29"/>
  <c r="G15" i="29"/>
  <c r="E14" i="29"/>
  <c r="G12" i="29"/>
  <c r="E12" i="29"/>
  <c r="H6" i="29"/>
  <c r="H7" i="29" s="1"/>
  <c r="H8" i="29" s="1"/>
  <c r="H9" i="29" s="1"/>
  <c r="H10" i="29" s="1"/>
  <c r="H11" i="29" s="1"/>
  <c r="H12" i="29" s="1"/>
  <c r="H4" i="29"/>
  <c r="H5" i="29" s="1"/>
  <c r="F2" i="29"/>
  <c r="D2" i="29"/>
  <c r="B3" i="17" s="1"/>
  <c r="C134" i="28"/>
  <c r="F130" i="28"/>
  <c r="F129" i="28"/>
  <c r="E128" i="28"/>
  <c r="E127" i="28"/>
  <c r="E126" i="28"/>
  <c r="E125" i="28"/>
  <c r="F124" i="28"/>
  <c r="F121" i="28"/>
  <c r="F120" i="28"/>
  <c r="F118" i="28"/>
  <c r="F114" i="28"/>
  <c r="A114" i="28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13" i="28"/>
  <c r="D103" i="28"/>
  <c r="E64" i="28"/>
  <c r="E47" i="28"/>
  <c r="E9" i="28" s="1"/>
  <c r="C40" i="28"/>
  <c r="E36" i="28"/>
  <c r="D36" i="28"/>
  <c r="E19" i="28"/>
  <c r="G19" i="28" s="1"/>
  <c r="G15" i="28"/>
  <c r="G13" i="28"/>
  <c r="G12" i="28"/>
  <c r="E10" i="28"/>
  <c r="G10" i="28" s="1"/>
  <c r="H4" i="28"/>
  <c r="H5" i="28" s="1"/>
  <c r="H6" i="28" s="1"/>
  <c r="H7" i="28" s="1"/>
  <c r="H8" i="28" s="1"/>
  <c r="F2" i="28"/>
  <c r="D2" i="28"/>
  <c r="C131" i="27"/>
  <c r="E125" i="27"/>
  <c r="E124" i="27"/>
  <c r="E123" i="27"/>
  <c r="E122" i="27"/>
  <c r="A110" i="27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E65" i="27"/>
  <c r="E46" i="27"/>
  <c r="E9" i="27" s="1"/>
  <c r="E35" i="27"/>
  <c r="D35" i="27"/>
  <c r="G16" i="27"/>
  <c r="E16" i="27"/>
  <c r="G13" i="27"/>
  <c r="G12" i="27"/>
  <c r="G9" i="27"/>
  <c r="E8" i="27"/>
  <c r="E2" i="27" s="1"/>
  <c r="C5" i="17" s="1"/>
  <c r="G7" i="27"/>
  <c r="H4" i="27"/>
  <c r="H5" i="27" s="1"/>
  <c r="H6" i="27" s="1"/>
  <c r="F2" i="27"/>
  <c r="D2" i="27"/>
  <c r="C130" i="26"/>
  <c r="E124" i="26"/>
  <c r="C123" i="26"/>
  <c r="E123" i="26" s="1"/>
  <c r="E122" i="26"/>
  <c r="E121" i="26"/>
  <c r="A114" i="26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13" i="26"/>
  <c r="E97" i="26"/>
  <c r="C86" i="26"/>
  <c r="C82" i="26"/>
  <c r="C80" i="26"/>
  <c r="C76" i="26"/>
  <c r="E65" i="26"/>
  <c r="E13" i="26" s="1"/>
  <c r="G13" i="26" s="1"/>
  <c r="E60" i="26"/>
  <c r="D54" i="26"/>
  <c r="G18" i="26"/>
  <c r="G17" i="26"/>
  <c r="G16" i="26"/>
  <c r="G12" i="26"/>
  <c r="E12" i="26"/>
  <c r="H6" i="26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5" i="26"/>
  <c r="F2" i="26"/>
  <c r="D2" i="26"/>
  <c r="B6" i="17" s="1"/>
  <c r="C122" i="25"/>
  <c r="E121" i="25"/>
  <c r="E116" i="25"/>
  <c r="E115" i="25"/>
  <c r="C115" i="25"/>
  <c r="E114" i="25"/>
  <c r="E113" i="25"/>
  <c r="E112" i="25"/>
  <c r="E110" i="25"/>
  <c r="E101" i="25" s="1"/>
  <c r="E109" i="25"/>
  <c r="A104" i="25"/>
  <c r="A105" i="25" s="1"/>
  <c r="A106" i="25" s="1"/>
  <c r="A107" i="25" s="1"/>
  <c r="A108" i="25" s="1"/>
  <c r="A109" i="25" s="1"/>
  <c r="A103" i="25"/>
  <c r="C81" i="25"/>
  <c r="E57" i="25"/>
  <c r="E11" i="25" s="1"/>
  <c r="E41" i="25"/>
  <c r="E30" i="25"/>
  <c r="D30" i="25"/>
  <c r="G18" i="25"/>
  <c r="G2" i="25" s="1"/>
  <c r="F7" i="17" s="1"/>
  <c r="E18" i="25"/>
  <c r="E10" i="25"/>
  <c r="H6" i="25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5" i="25"/>
  <c r="H4" i="25"/>
  <c r="F2" i="25"/>
  <c r="D2" i="25"/>
  <c r="C139" i="24"/>
  <c r="E133" i="24"/>
  <c r="E132" i="24"/>
  <c r="C132" i="24"/>
  <c r="E131" i="24"/>
  <c r="E130" i="24"/>
  <c r="E129" i="24"/>
  <c r="E127" i="24"/>
  <c r="E126" i="24"/>
  <c r="E138" i="24" s="1"/>
  <c r="A122" i="24"/>
  <c r="A123" i="24" s="1"/>
  <c r="A124" i="24" s="1"/>
  <c r="A125" i="24" s="1"/>
  <c r="A126" i="24" s="1"/>
  <c r="A121" i="24"/>
  <c r="A120" i="24"/>
  <c r="D112" i="24"/>
  <c r="D92" i="24"/>
  <c r="D114" i="24" s="1"/>
  <c r="D91" i="24"/>
  <c r="D80" i="24"/>
  <c r="E65" i="24"/>
  <c r="E50" i="24"/>
  <c r="E41" i="24"/>
  <c r="D41" i="24"/>
  <c r="E20" i="24"/>
  <c r="G16" i="24"/>
  <c r="G15" i="24"/>
  <c r="G14" i="24"/>
  <c r="G11" i="24"/>
  <c r="E11" i="24"/>
  <c r="E10" i="24"/>
  <c r="H5" i="24"/>
  <c r="H6" i="24" s="1"/>
  <c r="G5" i="24"/>
  <c r="H4" i="24"/>
  <c r="F2" i="24"/>
  <c r="D2" i="24"/>
  <c r="B8" i="17" s="1"/>
  <c r="C158" i="23"/>
  <c r="E152" i="23"/>
  <c r="C151" i="23"/>
  <c r="E151" i="23" s="1"/>
  <c r="E150" i="23"/>
  <c r="E149" i="23"/>
  <c r="E148" i="23"/>
  <c r="E147" i="23"/>
  <c r="E146" i="23"/>
  <c r="E145" i="23"/>
  <c r="A145" i="23"/>
  <c r="A146" i="23" s="1"/>
  <c r="A147" i="23" s="1"/>
  <c r="A148" i="23" s="1"/>
  <c r="A149" i="23" s="1"/>
  <c r="A150" i="23" s="1"/>
  <c r="A151" i="23" s="1"/>
  <c r="A152" i="23" s="1"/>
  <c r="A153" i="23" s="1"/>
  <c r="A154" i="23" s="1"/>
  <c r="E144" i="23"/>
  <c r="E143" i="23"/>
  <c r="E142" i="23"/>
  <c r="E141" i="23"/>
  <c r="E140" i="23"/>
  <c r="A136" i="23"/>
  <c r="A137" i="23" s="1"/>
  <c r="A138" i="23" s="1"/>
  <c r="A139" i="23" s="1"/>
  <c r="A140" i="23" s="1"/>
  <c r="A141" i="23" s="1"/>
  <c r="A142" i="23" s="1"/>
  <c r="A143" i="23" s="1"/>
  <c r="A144" i="23" s="1"/>
  <c r="A135" i="23"/>
  <c r="C131" i="23"/>
  <c r="E72" i="23"/>
  <c r="E55" i="23"/>
  <c r="E44" i="23"/>
  <c r="D44" i="23"/>
  <c r="E22" i="23"/>
  <c r="H15" i="23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E10" i="23"/>
  <c r="G10" i="23" s="1"/>
  <c r="G9" i="23"/>
  <c r="G2" i="23" s="1"/>
  <c r="E9" i="23"/>
  <c r="H4" i="23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2" i="23"/>
  <c r="E158" i="23" s="1"/>
  <c r="F2" i="23"/>
  <c r="D2" i="23"/>
  <c r="C150" i="22"/>
  <c r="E144" i="22"/>
  <c r="C143" i="22"/>
  <c r="E143" i="22" s="1"/>
  <c r="E142" i="22"/>
  <c r="E141" i="22"/>
  <c r="E140" i="22"/>
  <c r="E139" i="22"/>
  <c r="E138" i="22"/>
  <c r="A138" i="22"/>
  <c r="A139" i="22" s="1"/>
  <c r="A140" i="22" s="1"/>
  <c r="A141" i="22" s="1"/>
  <c r="A142" i="22" s="1"/>
  <c r="A143" i="22" s="1"/>
  <c r="A144" i="22" s="1"/>
  <c r="A145" i="22" s="1"/>
  <c r="A146" i="22" s="1"/>
  <c r="E137" i="22"/>
  <c r="E136" i="22"/>
  <c r="E135" i="22"/>
  <c r="E134" i="22"/>
  <c r="E133" i="22"/>
  <c r="E132" i="22"/>
  <c r="A129" i="22"/>
  <c r="A130" i="22" s="1"/>
  <c r="A131" i="22" s="1"/>
  <c r="A132" i="22" s="1"/>
  <c r="A133" i="22" s="1"/>
  <c r="A134" i="22" s="1"/>
  <c r="A135" i="22" s="1"/>
  <c r="A136" i="22" s="1"/>
  <c r="A137" i="22" s="1"/>
  <c r="A127" i="22"/>
  <c r="A128" i="22" s="1"/>
  <c r="C118" i="22"/>
  <c r="E78" i="22"/>
  <c r="E63" i="22"/>
  <c r="E7" i="22" s="1"/>
  <c r="E52" i="22"/>
  <c r="D52" i="22"/>
  <c r="G33" i="22"/>
  <c r="G32" i="22"/>
  <c r="G31" i="22"/>
  <c r="G30" i="22"/>
  <c r="G29" i="22"/>
  <c r="G28" i="22"/>
  <c r="G2" i="22" s="1"/>
  <c r="H14" i="22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E13" i="22"/>
  <c r="E8" i="22"/>
  <c r="H6" i="22"/>
  <c r="H7" i="22" s="1"/>
  <c r="H8" i="22" s="1"/>
  <c r="H9" i="22" s="1"/>
  <c r="H10" i="22" s="1"/>
  <c r="H11" i="22" s="1"/>
  <c r="H12" i="22" s="1"/>
  <c r="H13" i="22" s="1"/>
  <c r="H4" i="22"/>
  <c r="H5" i="22" s="1"/>
  <c r="F2" i="22"/>
  <c r="E2" i="22"/>
  <c r="C10" i="17" s="1"/>
  <c r="D2" i="22"/>
  <c r="C127" i="21"/>
  <c r="E118" i="21"/>
  <c r="E117" i="21"/>
  <c r="E116" i="21"/>
  <c r="E115" i="21"/>
  <c r="E114" i="21"/>
  <c r="E113" i="21"/>
  <c r="E112" i="21"/>
  <c r="E111" i="21"/>
  <c r="E110" i="21"/>
  <c r="E109" i="21"/>
  <c r="E108" i="21"/>
  <c r="A108" i="21"/>
  <c r="E107" i="21"/>
  <c r="E106" i="21"/>
  <c r="A106" i="21"/>
  <c r="A109" i="21" s="1"/>
  <c r="A110" i="21" s="1"/>
  <c r="A111" i="21" s="1"/>
  <c r="A112" i="21" s="1"/>
  <c r="A107" i="21" s="1"/>
  <c r="A114" i="21" s="1"/>
  <c r="A115" i="21" s="1"/>
  <c r="A116" i="21" s="1"/>
  <c r="A105" i="21"/>
  <c r="A103" i="21"/>
  <c r="E61" i="21"/>
  <c r="E46" i="21"/>
  <c r="E7" i="21" s="1"/>
  <c r="G7" i="21" s="1"/>
  <c r="E35" i="21"/>
  <c r="D35" i="21"/>
  <c r="E10" i="21"/>
  <c r="E6" i="21"/>
  <c r="H4" i="21"/>
  <c r="H5" i="21" s="1"/>
  <c r="F2" i="21"/>
  <c r="D2" i="21"/>
  <c r="C137" i="20"/>
  <c r="E136" i="20"/>
  <c r="N12" i="17" s="1"/>
  <c r="E131" i="20"/>
  <c r="E128" i="20"/>
  <c r="E127" i="20"/>
  <c r="E126" i="20"/>
  <c r="E125" i="20"/>
  <c r="E124" i="20"/>
  <c r="E122" i="20"/>
  <c r="E121" i="20"/>
  <c r="E120" i="20"/>
  <c r="E119" i="20"/>
  <c r="E118" i="20"/>
  <c r="E117" i="20"/>
  <c r="E116" i="20"/>
  <c r="A113" i="20"/>
  <c r="A116" i="20" s="1"/>
  <c r="A119" i="20" s="1"/>
  <c r="A120" i="20" s="1"/>
  <c r="A121" i="20" s="1"/>
  <c r="A122" i="20" s="1"/>
  <c r="A117" i="20" s="1"/>
  <c r="A124" i="20" s="1"/>
  <c r="A125" i="20" s="1"/>
  <c r="A126" i="20" s="1"/>
  <c r="C105" i="20"/>
  <c r="E66" i="20"/>
  <c r="E51" i="20"/>
  <c r="E8" i="20" s="1"/>
  <c r="E40" i="20"/>
  <c r="D40" i="20"/>
  <c r="E9" i="20"/>
  <c r="E7" i="20"/>
  <c r="E2" i="20" s="1"/>
  <c r="C12" i="17" s="1"/>
  <c r="H6" i="20"/>
  <c r="H7" i="20" s="1"/>
  <c r="H8" i="20" s="1"/>
  <c r="H9" i="20" s="1"/>
  <c r="H10" i="20" s="1"/>
  <c r="H11" i="20" s="1"/>
  <c r="H12" i="20" s="1"/>
  <c r="H5" i="20"/>
  <c r="H4" i="20"/>
  <c r="G2" i="20"/>
  <c r="F2" i="20"/>
  <c r="H2" i="20" s="1"/>
  <c r="D2" i="20"/>
  <c r="B12" i="17" s="1"/>
  <c r="C137" i="19"/>
  <c r="E131" i="19"/>
  <c r="E128" i="19"/>
  <c r="E127" i="19"/>
  <c r="E126" i="19"/>
  <c r="E125" i="19"/>
  <c r="E124" i="19"/>
  <c r="E123" i="19"/>
  <c r="E122" i="19"/>
  <c r="E121" i="19"/>
  <c r="E120" i="19"/>
  <c r="E119" i="19"/>
  <c r="E118" i="19"/>
  <c r="E136" i="19" s="1"/>
  <c r="E117" i="19"/>
  <c r="E116" i="19"/>
  <c r="A113" i="19"/>
  <c r="E111" i="19"/>
  <c r="N13" i="17" s="1"/>
  <c r="C102" i="19"/>
  <c r="E69" i="19"/>
  <c r="E7" i="19" s="1"/>
  <c r="E54" i="19"/>
  <c r="E43" i="19"/>
  <c r="D43" i="19"/>
  <c r="E10" i="19"/>
  <c r="E9" i="19"/>
  <c r="H7" i="19"/>
  <c r="H8" i="19" s="1"/>
  <c r="H9" i="19" s="1"/>
  <c r="H10" i="19" s="1"/>
  <c r="H11" i="19" s="1"/>
  <c r="H12" i="19" s="1"/>
  <c r="H5" i="19"/>
  <c r="H6" i="19" s="1"/>
  <c r="H4" i="19"/>
  <c r="G2" i="19"/>
  <c r="F2" i="19"/>
  <c r="H2" i="19" s="1"/>
  <c r="D2" i="19"/>
  <c r="B13" i="17" s="1"/>
  <c r="C196" i="18"/>
  <c r="F188" i="18"/>
  <c r="G187" i="18"/>
  <c r="E187" i="18"/>
  <c r="G186" i="18"/>
  <c r="E186" i="18"/>
  <c r="G185" i="18"/>
  <c r="H187" i="18" s="1"/>
  <c r="E185" i="18"/>
  <c r="G182" i="18"/>
  <c r="E182" i="18"/>
  <c r="G181" i="18"/>
  <c r="E181" i="18"/>
  <c r="G180" i="18"/>
  <c r="E180" i="18"/>
  <c r="G179" i="18"/>
  <c r="E179" i="18"/>
  <c r="G175" i="18"/>
  <c r="E175" i="18"/>
  <c r="F177" i="18" s="1"/>
  <c r="G174" i="18"/>
  <c r="H175" i="18" s="1"/>
  <c r="E174" i="18"/>
  <c r="E152" i="18"/>
  <c r="C152" i="18"/>
  <c r="E143" i="18"/>
  <c r="E142" i="18"/>
  <c r="E141" i="18"/>
  <c r="E138" i="18"/>
  <c r="E137" i="18"/>
  <c r="F138" i="18" s="1"/>
  <c r="E136" i="18"/>
  <c r="E135" i="18"/>
  <c r="E133" i="18"/>
  <c r="E132" i="18"/>
  <c r="E91" i="18"/>
  <c r="E6" i="18" s="1"/>
  <c r="G6" i="18" s="1"/>
  <c r="E76" i="18"/>
  <c r="E65" i="18"/>
  <c r="D65" i="18"/>
  <c r="E54" i="18"/>
  <c r="E53" i="18"/>
  <c r="E52" i="18"/>
  <c r="E51" i="18"/>
  <c r="E50" i="18"/>
  <c r="E55" i="18" s="1"/>
  <c r="F49" i="18"/>
  <c r="F50" i="18" s="1"/>
  <c r="F51" i="18" s="1"/>
  <c r="F52" i="18" s="1"/>
  <c r="F53" i="18" s="1"/>
  <c r="F54" i="18" s="1"/>
  <c r="E9" i="18"/>
  <c r="E5" i="18"/>
  <c r="E2" i="18" s="1"/>
  <c r="C14" i="17" s="1"/>
  <c r="H4" i="18"/>
  <c r="F2" i="18"/>
  <c r="E14" i="17" s="1"/>
  <c r="D2" i="18"/>
  <c r="F135" i="17"/>
  <c r="F133" i="17"/>
  <c r="D133" i="17"/>
  <c r="F130" i="17"/>
  <c r="F129" i="17"/>
  <c r="F128" i="17"/>
  <c r="B117" i="17"/>
  <c r="B118" i="17" s="1"/>
  <c r="B119" i="17" s="1"/>
  <c r="F115" i="17"/>
  <c r="N2" i="17" s="1"/>
  <c r="B24" i="17"/>
  <c r="D23" i="17"/>
  <c r="D24" i="17" s="1"/>
  <c r="C25" i="17" s="1"/>
  <c r="B23" i="17"/>
  <c r="E20" i="17"/>
  <c r="E19" i="17"/>
  <c r="E18" i="17"/>
  <c r="M16" i="17"/>
  <c r="J16" i="17"/>
  <c r="J15" i="17"/>
  <c r="L14" i="17"/>
  <c r="K14" i="17"/>
  <c r="B14" i="17"/>
  <c r="K13" i="17"/>
  <c r="L13" i="17" s="1"/>
  <c r="F13" i="17"/>
  <c r="L12" i="17"/>
  <c r="K12" i="17"/>
  <c r="F12" i="17"/>
  <c r="E12" i="17"/>
  <c r="K11" i="17"/>
  <c r="L11" i="17" s="1"/>
  <c r="E11" i="17"/>
  <c r="B11" i="17"/>
  <c r="M10" i="17"/>
  <c r="F10" i="17"/>
  <c r="E10" i="17"/>
  <c r="B10" i="17"/>
  <c r="K9" i="17"/>
  <c r="F9" i="17"/>
  <c r="E9" i="17"/>
  <c r="B9" i="17"/>
  <c r="M8" i="17"/>
  <c r="E8" i="17"/>
  <c r="N7" i="17"/>
  <c r="M7" i="17"/>
  <c r="E7" i="17"/>
  <c r="B7" i="17"/>
  <c r="M6" i="17"/>
  <c r="M15" i="17" s="1"/>
  <c r="E6" i="17"/>
  <c r="M5" i="17"/>
  <c r="E5" i="17"/>
  <c r="B5" i="17"/>
  <c r="L4" i="17"/>
  <c r="K4" i="17"/>
  <c r="E4" i="17"/>
  <c r="B4" i="17"/>
  <c r="M3" i="17"/>
  <c r="L2" i="17"/>
  <c r="F74" i="16"/>
  <c r="H69" i="16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J63" i="16"/>
  <c r="H60" i="16"/>
  <c r="H61" i="16" s="1"/>
  <c r="H62" i="16" s="1"/>
  <c r="F60" i="16"/>
  <c r="F58" i="16"/>
  <c r="F57" i="16"/>
  <c r="F55" i="16"/>
  <c r="H55" i="16" s="1"/>
  <c r="H56" i="16" s="1"/>
  <c r="H57" i="16" s="1"/>
  <c r="H58" i="16" s="1"/>
  <c r="H59" i="16" s="1"/>
  <c r="H48" i="16"/>
  <c r="H49" i="16" s="1"/>
  <c r="H50" i="16" s="1"/>
  <c r="H47" i="16"/>
  <c r="J46" i="16"/>
  <c r="J50" i="16" s="1"/>
  <c r="J51" i="16" s="1"/>
  <c r="H44" i="16"/>
  <c r="H45" i="16" s="1"/>
  <c r="H46" i="16" s="1"/>
  <c r="G33" i="16"/>
  <c r="F31" i="16"/>
  <c r="E31" i="16"/>
  <c r="F30" i="16"/>
  <c r="F29" i="16"/>
  <c r="G31" i="16" s="1"/>
  <c r="F28" i="16"/>
  <c r="E27" i="16"/>
  <c r="F27" i="16" s="1"/>
  <c r="E25" i="16"/>
  <c r="F25" i="16" s="1"/>
  <c r="F24" i="16"/>
  <c r="F23" i="16"/>
  <c r="E23" i="16"/>
  <c r="F22" i="16"/>
  <c r="E22" i="16"/>
  <c r="F21" i="16"/>
  <c r="E21" i="16"/>
  <c r="F20" i="16"/>
  <c r="G25" i="16" s="1"/>
  <c r="E18" i="16"/>
  <c r="F18" i="16" s="1"/>
  <c r="E17" i="16"/>
  <c r="F17" i="16" s="1"/>
  <c r="F16" i="16"/>
  <c r="F15" i="16"/>
  <c r="E15" i="16"/>
  <c r="E14" i="16"/>
  <c r="F14" i="16" s="1"/>
  <c r="G18" i="16" s="1"/>
  <c r="F11" i="16"/>
  <c r="G11" i="16" s="1"/>
  <c r="H11" i="16" s="1"/>
  <c r="H14" i="16" s="1"/>
  <c r="H15" i="16" s="1"/>
  <c r="H16" i="16" s="1"/>
  <c r="H17" i="16" s="1"/>
  <c r="H18" i="16" s="1"/>
  <c r="H20" i="16" s="1"/>
  <c r="H22" i="16" s="1"/>
  <c r="H23" i="16" s="1"/>
  <c r="H25" i="16" s="1"/>
  <c r="H27" i="16" s="1"/>
  <c r="H28" i="16" s="1"/>
  <c r="H29" i="16" s="1"/>
  <c r="H30" i="16" s="1"/>
  <c r="H32" i="16" s="1"/>
  <c r="H33" i="16" s="1"/>
  <c r="H34" i="16" s="1"/>
  <c r="F113" i="15"/>
  <c r="F114" i="15" s="1"/>
  <c r="F115" i="15" s="1"/>
  <c r="F116" i="15" s="1"/>
  <c r="F117" i="15" s="1"/>
  <c r="E86" i="15"/>
  <c r="F76" i="15"/>
  <c r="F77" i="15" s="1"/>
  <c r="F78" i="15" s="1"/>
  <c r="F79" i="15" s="1"/>
  <c r="F80" i="15" s="1"/>
  <c r="F81" i="15" s="1"/>
  <c r="F84" i="15" s="1"/>
  <c r="F85" i="15" s="1"/>
  <c r="F35" i="15"/>
  <c r="F36" i="15" s="1"/>
  <c r="F37" i="15" s="1"/>
  <c r="F38" i="15" s="1"/>
  <c r="F39" i="15" s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E159" i="14"/>
  <c r="E160" i="14" s="1"/>
  <c r="E127" i="14"/>
  <c r="G126" i="14"/>
  <c r="E126" i="14"/>
  <c r="E125" i="14"/>
  <c r="G133" i="14"/>
  <c r="E133" i="14"/>
  <c r="N3" i="2" s="1"/>
  <c r="G132" i="14"/>
  <c r="E132" i="14"/>
  <c r="G131" i="14"/>
  <c r="E131" i="14"/>
  <c r="G130" i="14"/>
  <c r="E130" i="14"/>
  <c r="E122" i="14"/>
  <c r="G121" i="14"/>
  <c r="E121" i="14"/>
  <c r="E118" i="14"/>
  <c r="G117" i="14"/>
  <c r="E117" i="14"/>
  <c r="E82" i="14"/>
  <c r="E10" i="14" s="1"/>
  <c r="G10" i="14" s="1"/>
  <c r="E67" i="14"/>
  <c r="E9" i="14" s="1"/>
  <c r="G9" i="14" s="1"/>
  <c r="E58" i="14"/>
  <c r="E57" i="14"/>
  <c r="E56" i="14"/>
  <c r="E55" i="14"/>
  <c r="E54" i="14"/>
  <c r="G13" i="14"/>
  <c r="G12" i="14"/>
  <c r="H4" i="14"/>
  <c r="H5" i="14" s="1"/>
  <c r="H6" i="14" s="1"/>
  <c r="H7" i="14" s="1"/>
  <c r="H8" i="14" s="1"/>
  <c r="D2" i="14"/>
  <c r="B3" i="2" s="1"/>
  <c r="E52" i="13"/>
  <c r="E8" i="13" s="1"/>
  <c r="G8" i="13" s="1"/>
  <c r="E37" i="13"/>
  <c r="E7" i="13" s="1"/>
  <c r="H4" i="13"/>
  <c r="H5" i="13" s="1"/>
  <c r="H6" i="13" s="1"/>
  <c r="F2" i="13"/>
  <c r="E4" i="2" s="1"/>
  <c r="D2" i="13"/>
  <c r="B4" i="2" s="1"/>
  <c r="E9" i="12"/>
  <c r="G9" i="12" s="1"/>
  <c r="E10" i="12"/>
  <c r="G10" i="12" s="1"/>
  <c r="H4" i="12"/>
  <c r="H5" i="12" s="1"/>
  <c r="H6" i="12" s="1"/>
  <c r="H7" i="12" s="1"/>
  <c r="H8" i="12" s="1"/>
  <c r="F2" i="12"/>
  <c r="E5" i="2" s="1"/>
  <c r="D2" i="12"/>
  <c r="B5" i="2" s="1"/>
  <c r="E7" i="11"/>
  <c r="E8" i="11"/>
  <c r="G8" i="11" s="1"/>
  <c r="F2" i="11"/>
  <c r="E6" i="2" s="1"/>
  <c r="D2" i="11"/>
  <c r="B6" i="2" s="1"/>
  <c r="E56" i="10"/>
  <c r="E9" i="10" s="1"/>
  <c r="G9" i="10" s="1"/>
  <c r="E7" i="10"/>
  <c r="H4" i="10"/>
  <c r="H5" i="10" s="1"/>
  <c r="H6" i="10" s="1"/>
  <c r="F2" i="10"/>
  <c r="E7" i="2" s="1"/>
  <c r="D2" i="10"/>
  <c r="B7" i="2" s="1"/>
  <c r="E8" i="9"/>
  <c r="G8" i="9" s="1"/>
  <c r="H4" i="9"/>
  <c r="F2" i="9"/>
  <c r="E8" i="2" s="1"/>
  <c r="D2" i="9"/>
  <c r="B8" i="2" s="1"/>
  <c r="E9" i="8"/>
  <c r="E8" i="8"/>
  <c r="H4" i="8"/>
  <c r="H5" i="8" s="1"/>
  <c r="H6" i="8" s="1"/>
  <c r="H7" i="8" s="1"/>
  <c r="F2" i="8"/>
  <c r="E9" i="2" s="1"/>
  <c r="D2" i="8"/>
  <c r="B9" i="2" s="1"/>
  <c r="E6" i="7"/>
  <c r="H4" i="7"/>
  <c r="H5" i="7" s="1"/>
  <c r="F2" i="7"/>
  <c r="E10" i="2" s="1"/>
  <c r="D2" i="7"/>
  <c r="B10" i="2" s="1"/>
  <c r="E122" i="6"/>
  <c r="E8" i="6" s="1"/>
  <c r="G8" i="6" s="1"/>
  <c r="E7" i="6"/>
  <c r="H4" i="6"/>
  <c r="H5" i="6" s="1"/>
  <c r="H6" i="6" s="1"/>
  <c r="F2" i="6"/>
  <c r="E11" i="2" s="1"/>
  <c r="D2" i="6"/>
  <c r="B11" i="2" s="1"/>
  <c r="E71" i="5"/>
  <c r="E10" i="5" s="1"/>
  <c r="G10" i="5" s="1"/>
  <c r="E9" i="5"/>
  <c r="G9" i="5" s="1"/>
  <c r="H4" i="5"/>
  <c r="H5" i="5" s="1"/>
  <c r="H6" i="5" s="1"/>
  <c r="H7" i="5" s="1"/>
  <c r="H8" i="5" s="1"/>
  <c r="F2" i="5"/>
  <c r="E12" i="2" s="1"/>
  <c r="D2" i="5"/>
  <c r="B12" i="2" s="1"/>
  <c r="E7" i="4"/>
  <c r="G7" i="4" s="1"/>
  <c r="I4" i="4"/>
  <c r="I5" i="4" s="1"/>
  <c r="I6" i="4" s="1"/>
  <c r="F2" i="4"/>
  <c r="E13" i="2" s="1"/>
  <c r="D2" i="4"/>
  <c r="B13" i="2" s="1"/>
  <c r="E130" i="3"/>
  <c r="E7" i="3"/>
  <c r="G7" i="3" s="1"/>
  <c r="E9" i="3"/>
  <c r="G9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F2" i="3"/>
  <c r="E14" i="2" s="1"/>
  <c r="D2" i="3"/>
  <c r="B14" i="2" s="1"/>
  <c r="C25" i="2"/>
  <c r="D24" i="2"/>
  <c r="D23" i="2"/>
  <c r="B23" i="2"/>
  <c r="B24" i="2" s="1"/>
  <c r="E19" i="2"/>
  <c r="M7" i="2" s="1"/>
  <c r="E18" i="2"/>
  <c r="M6" i="2" s="1"/>
  <c r="N16" i="2"/>
  <c r="J15" i="2"/>
  <c r="J16" i="2" s="1"/>
  <c r="N14" i="2"/>
  <c r="L14" i="2"/>
  <c r="K14" i="2"/>
  <c r="N13" i="2"/>
  <c r="K13" i="2"/>
  <c r="L13" i="2" s="1"/>
  <c r="N12" i="2"/>
  <c r="K12" i="2"/>
  <c r="L12" i="2" s="1"/>
  <c r="N11" i="2"/>
  <c r="K11" i="2"/>
  <c r="K15" i="2" s="1"/>
  <c r="K16" i="2" s="1"/>
  <c r="N10" i="2"/>
  <c r="M10" i="2"/>
  <c r="N9" i="2"/>
  <c r="L9" i="2"/>
  <c r="K9" i="2"/>
  <c r="N8" i="2"/>
  <c r="M8" i="2"/>
  <c r="N7" i="2"/>
  <c r="N6" i="2"/>
  <c r="N5" i="2"/>
  <c r="M5" i="2"/>
  <c r="L4" i="2"/>
  <c r="K4" i="2"/>
  <c r="M3" i="2"/>
  <c r="N2" i="2"/>
  <c r="L2" i="2"/>
  <c r="D225" i="3" l="1"/>
  <c r="F224" i="3"/>
  <c r="I7" i="4"/>
  <c r="F146" i="4"/>
  <c r="D147" i="4"/>
  <c r="H9" i="5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D141" i="5"/>
  <c r="F140" i="5"/>
  <c r="D190" i="6"/>
  <c r="F189" i="6"/>
  <c r="G2" i="3"/>
  <c r="F14" i="2" s="1"/>
  <c r="D184" i="7"/>
  <c r="F183" i="7"/>
  <c r="E7" i="7"/>
  <c r="G7" i="7" s="1"/>
  <c r="F112" i="7"/>
  <c r="E2" i="5"/>
  <c r="C12" i="2" s="1"/>
  <c r="G2" i="5"/>
  <c r="H2" i="5" s="1"/>
  <c r="D175" i="8"/>
  <c r="F174" i="8"/>
  <c r="D148" i="9"/>
  <c r="H5" i="9"/>
  <c r="H6" i="9" s="1"/>
  <c r="E2" i="10"/>
  <c r="C7" i="2" s="1"/>
  <c r="G138" i="11"/>
  <c r="H136" i="11"/>
  <c r="J171" i="12"/>
  <c r="J170" i="12"/>
  <c r="M170" i="12" s="1"/>
  <c r="G2" i="12"/>
  <c r="I133" i="12"/>
  <c r="I118" i="14"/>
  <c r="H9" i="12"/>
  <c r="H10" i="12" s="1"/>
  <c r="H11" i="12" s="1"/>
  <c r="J168" i="12"/>
  <c r="J167" i="12"/>
  <c r="M167" i="12" s="1"/>
  <c r="H143" i="12"/>
  <c r="G117" i="12"/>
  <c r="G151" i="12"/>
  <c r="H144" i="12"/>
  <c r="H149" i="12" s="1"/>
  <c r="E2" i="11"/>
  <c r="C6" i="2" s="1"/>
  <c r="I158" i="13"/>
  <c r="D76" i="14"/>
  <c r="I155" i="13"/>
  <c r="F154" i="13"/>
  <c r="G154" i="13" s="1"/>
  <c r="I157" i="13"/>
  <c r="E131" i="13"/>
  <c r="I130" i="13"/>
  <c r="E137" i="13"/>
  <c r="I133" i="13"/>
  <c r="I123" i="13"/>
  <c r="I124" i="13"/>
  <c r="G122" i="13"/>
  <c r="I122" i="13" s="1"/>
  <c r="F148" i="13"/>
  <c r="G148" i="13" s="1"/>
  <c r="I148" i="13" s="1"/>
  <c r="I135" i="13"/>
  <c r="G160" i="13"/>
  <c r="I134" i="13"/>
  <c r="I129" i="13"/>
  <c r="H131" i="13"/>
  <c r="I125" i="13"/>
  <c r="I136" i="13"/>
  <c r="I151" i="13"/>
  <c r="E126" i="13"/>
  <c r="I152" i="13"/>
  <c r="I128" i="13"/>
  <c r="H130" i="13"/>
  <c r="F5" i="2"/>
  <c r="E2" i="9"/>
  <c r="C8" i="2" s="1"/>
  <c r="G2" i="9"/>
  <c r="F8" i="2" s="1"/>
  <c r="G7" i="11"/>
  <c r="H7" i="11" s="1"/>
  <c r="H8" i="11" s="1"/>
  <c r="H9" i="11" s="1"/>
  <c r="H10" i="11" s="1"/>
  <c r="H11" i="11" s="1"/>
  <c r="H12" i="11" s="1"/>
  <c r="I130" i="14"/>
  <c r="I120" i="14"/>
  <c r="I131" i="14"/>
  <c r="I132" i="14"/>
  <c r="I122" i="14"/>
  <c r="I127" i="14"/>
  <c r="I133" i="14"/>
  <c r="I121" i="14"/>
  <c r="I125" i="14"/>
  <c r="I126" i="14"/>
  <c r="I117" i="14"/>
  <c r="H9" i="14"/>
  <c r="H10" i="14" s="1"/>
  <c r="H11" i="14" s="1"/>
  <c r="H12" i="14" s="1"/>
  <c r="H13" i="14" s="1"/>
  <c r="H14" i="14" s="1"/>
  <c r="H15" i="14" s="1"/>
  <c r="H16" i="14" s="1"/>
  <c r="H17" i="14" s="1"/>
  <c r="G2" i="14"/>
  <c r="F3" i="2" s="1"/>
  <c r="G3" i="2" s="1"/>
  <c r="E2" i="14"/>
  <c r="C3" i="2" s="1"/>
  <c r="F86" i="15"/>
  <c r="F87" i="15" s="1"/>
  <c r="F88" i="15" s="1"/>
  <c r="F89" i="15" s="1"/>
  <c r="F90" i="15" s="1"/>
  <c r="F91" i="15" s="1"/>
  <c r="E123" i="14"/>
  <c r="F119" i="14"/>
  <c r="F154" i="14" s="1"/>
  <c r="G154" i="14" s="1"/>
  <c r="I154" i="14" s="1"/>
  <c r="E134" i="14"/>
  <c r="E59" i="14"/>
  <c r="F53" i="14" s="1"/>
  <c r="F54" i="14" s="1"/>
  <c r="F55" i="14" s="1"/>
  <c r="F56" i="14" s="1"/>
  <c r="F57" i="14" s="1"/>
  <c r="F58" i="14" s="1"/>
  <c r="E129" i="34"/>
  <c r="H34" i="34"/>
  <c r="H35" i="34" s="1"/>
  <c r="H13" i="20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E137" i="20"/>
  <c r="B15" i="17"/>
  <c r="F118" i="15"/>
  <c r="A127" i="20"/>
  <c r="A128" i="20" s="1"/>
  <c r="A129" i="20" s="1"/>
  <c r="A130" i="20"/>
  <c r="A131" i="20" s="1"/>
  <c r="A132" i="20" s="1"/>
  <c r="A133" i="20" s="1"/>
  <c r="A120" i="21"/>
  <c r="A121" i="21" s="1"/>
  <c r="A122" i="21" s="1"/>
  <c r="A123" i="21" s="1"/>
  <c r="A117" i="21"/>
  <c r="A118" i="21" s="1"/>
  <c r="A119" i="21" s="1"/>
  <c r="E111" i="26"/>
  <c r="N6" i="17" s="1"/>
  <c r="E129" i="26"/>
  <c r="E101" i="21"/>
  <c r="N11" i="17" s="1"/>
  <c r="E126" i="21"/>
  <c r="L11" i="2"/>
  <c r="H13" i="19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E137" i="19"/>
  <c r="H15" i="3"/>
  <c r="H16" i="3" s="1"/>
  <c r="H17" i="3" s="1"/>
  <c r="H18" i="3" s="1"/>
  <c r="H19" i="3" s="1"/>
  <c r="B15" i="46"/>
  <c r="E2" i="8"/>
  <c r="C9" i="2" s="1"/>
  <c r="G8" i="8"/>
  <c r="G2" i="8" s="1"/>
  <c r="F9" i="2" s="1"/>
  <c r="E3" i="17"/>
  <c r="J64" i="16"/>
  <c r="A116" i="19"/>
  <c r="A119" i="19" s="1"/>
  <c r="A120" i="19" s="1"/>
  <c r="A121" i="19" s="1"/>
  <c r="A122" i="19" s="1"/>
  <c r="A117" i="19" s="1"/>
  <c r="A124" i="19" s="1"/>
  <c r="A125" i="19" s="1"/>
  <c r="A126" i="19" s="1"/>
  <c r="A115" i="19"/>
  <c r="A118" i="19" s="1"/>
  <c r="E123" i="42"/>
  <c r="B120" i="17"/>
  <c r="B128" i="17"/>
  <c r="B129" i="17" s="1"/>
  <c r="B130" i="17" s="1"/>
  <c r="B131" i="17" s="1"/>
  <c r="B132" i="17" s="1"/>
  <c r="E92" i="15"/>
  <c r="E40" i="15"/>
  <c r="I6" i="32"/>
  <c r="F43" i="32"/>
  <c r="E43" i="32" s="1"/>
  <c r="F40" i="15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9" i="15" s="1"/>
  <c r="C58" i="15" s="1"/>
  <c r="E15" i="46"/>
  <c r="G3" i="46"/>
  <c r="E42" i="32"/>
  <c r="E44" i="32" s="1"/>
  <c r="D42" i="32"/>
  <c r="H2" i="39"/>
  <c r="E9" i="30"/>
  <c r="E2" i="13"/>
  <c r="C4" i="2" s="1"/>
  <c r="G7" i="13"/>
  <c r="G2" i="13" s="1"/>
  <c r="H2" i="47"/>
  <c r="E121" i="39"/>
  <c r="H14" i="39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E2" i="25"/>
  <c r="C7" i="17" s="1"/>
  <c r="F42" i="32"/>
  <c r="G7" i="6"/>
  <c r="G2" i="6" s="1"/>
  <c r="F11" i="2" s="1"/>
  <c r="E2" i="6"/>
  <c r="C11" i="2" s="1"/>
  <c r="L15" i="30"/>
  <c r="A124" i="34"/>
  <c r="A125" i="34" s="1"/>
  <c r="A126" i="34" s="1"/>
  <c r="A127" i="34" s="1"/>
  <c r="A128" i="34" s="1"/>
  <c r="A116" i="34"/>
  <c r="E123" i="44"/>
  <c r="F12" i="46"/>
  <c r="H2" i="49"/>
  <c r="F193" i="18"/>
  <c r="G5" i="18"/>
  <c r="G2" i="18" s="1"/>
  <c r="E29" i="33"/>
  <c r="E111" i="35"/>
  <c r="N13" i="30" s="1"/>
  <c r="E125" i="35"/>
  <c r="E13" i="17"/>
  <c r="G6" i="7"/>
  <c r="H128" i="14"/>
  <c r="H127" i="14"/>
  <c r="E111" i="43"/>
  <c r="N5" i="30" s="1"/>
  <c r="E123" i="43"/>
  <c r="E2" i="3"/>
  <c r="C14" i="2" s="1"/>
  <c r="F10" i="46"/>
  <c r="H2" i="51"/>
  <c r="A128" i="24"/>
  <c r="A127" i="24"/>
  <c r="H2" i="45"/>
  <c r="E120" i="45" s="1"/>
  <c r="E122" i="45" s="1"/>
  <c r="E3" i="30"/>
  <c r="I11" i="33"/>
  <c r="I10" i="33" s="1"/>
  <c r="I9" i="33" s="1"/>
  <c r="I8" i="33" s="1"/>
  <c r="I5" i="32" s="1"/>
  <c r="E2" i="21"/>
  <c r="C11" i="17" s="1"/>
  <c r="G6" i="21"/>
  <c r="G2" i="21" s="1"/>
  <c r="M15" i="2"/>
  <c r="M16" i="2" s="1"/>
  <c r="H9" i="36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2" i="41"/>
  <c r="A115" i="20"/>
  <c r="A118" i="20" s="1"/>
  <c r="A132" i="29"/>
  <c r="A133" i="29"/>
  <c r="A134" i="29" s="1"/>
  <c r="A135" i="29" s="1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E15" i="2"/>
  <c r="L9" i="17"/>
  <c r="L15" i="17" s="1"/>
  <c r="K15" i="17"/>
  <c r="K16" i="17" s="1"/>
  <c r="E2" i="19"/>
  <c r="C13" i="17" s="1"/>
  <c r="E157" i="23"/>
  <c r="A110" i="25"/>
  <c r="A111" i="25"/>
  <c r="E10" i="30"/>
  <c r="H2" i="38"/>
  <c r="G7" i="10"/>
  <c r="F4" i="46"/>
  <c r="H2" i="57"/>
  <c r="C15" i="46"/>
  <c r="C16" i="46" s="1"/>
  <c r="E138" i="29"/>
  <c r="E2" i="38"/>
  <c r="C10" i="30" s="1"/>
  <c r="F183" i="18"/>
  <c r="H182" i="18"/>
  <c r="G195" i="18"/>
  <c r="G165" i="18"/>
  <c r="L15" i="2"/>
  <c r="E111" i="37"/>
  <c r="N11" i="30" s="1"/>
  <c r="H2" i="42"/>
  <c r="E121" i="42" s="1"/>
  <c r="E6" i="30"/>
  <c r="E54" i="26"/>
  <c r="E19" i="26"/>
  <c r="G19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E11" i="30"/>
  <c r="H2" i="37"/>
  <c r="H2" i="40"/>
  <c r="D5" i="46"/>
  <c r="D6" i="46" s="1"/>
  <c r="D7" i="46" s="1"/>
  <c r="D8" i="46" s="1"/>
  <c r="D9" i="46" s="1"/>
  <c r="D10" i="46" s="1"/>
  <c r="D11" i="46" s="1"/>
  <c r="D12" i="46" s="1"/>
  <c r="D13" i="46" s="1"/>
  <c r="D14" i="46" s="1"/>
  <c r="E125" i="18"/>
  <c r="N14" i="17" s="1"/>
  <c r="F131" i="28"/>
  <c r="M15" i="30"/>
  <c r="M16" i="30" s="1"/>
  <c r="E2" i="12"/>
  <c r="C5" i="2" s="1"/>
  <c r="E108" i="27"/>
  <c r="N5" i="17" s="1"/>
  <c r="E130" i="27"/>
  <c r="E133" i="28"/>
  <c r="E111" i="28"/>
  <c r="N4" i="17" s="1"/>
  <c r="G9" i="36"/>
  <c r="G2" i="36" s="1"/>
  <c r="E2" i="37"/>
  <c r="C11" i="30" s="1"/>
  <c r="H2" i="25"/>
  <c r="E122" i="25" s="1"/>
  <c r="G2" i="26"/>
  <c r="F6" i="17" s="1"/>
  <c r="K15" i="30"/>
  <c r="K16" i="30" s="1"/>
  <c r="E121" i="40"/>
  <c r="E123" i="40" s="1"/>
  <c r="H9" i="40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E20" i="2"/>
  <c r="B15" i="2"/>
  <c r="F143" i="18"/>
  <c r="E133" i="23"/>
  <c r="N9" i="17" s="1"/>
  <c r="G13" i="29"/>
  <c r="G2" i="29" s="1"/>
  <c r="F3" i="17" s="1"/>
  <c r="E2" i="29"/>
  <c r="C3" i="17" s="1"/>
  <c r="D3" i="17" s="1"/>
  <c r="E111" i="20"/>
  <c r="E124" i="36"/>
  <c r="E7" i="24"/>
  <c r="F65" i="24"/>
  <c r="C114" i="29"/>
  <c r="G60" i="31"/>
  <c r="E2" i="42"/>
  <c r="C6" i="30" s="1"/>
  <c r="E2" i="44"/>
  <c r="C4" i="30" s="1"/>
  <c r="G9" i="28"/>
  <c r="G2" i="28" s="1"/>
  <c r="E2" i="28"/>
  <c r="C4" i="17" s="1"/>
  <c r="D4" i="17" s="1"/>
  <c r="D5" i="17" s="1"/>
  <c r="F27" i="33"/>
  <c r="G2" i="34"/>
  <c r="F14" i="30" s="1"/>
  <c r="G4" i="46"/>
  <c r="G5" i="46" s="1"/>
  <c r="G6" i="46" s="1"/>
  <c r="G7" i="46" s="1"/>
  <c r="G8" i="46" s="1"/>
  <c r="G9" i="46" s="1"/>
  <c r="G10" i="46" s="1"/>
  <c r="G11" i="46" s="1"/>
  <c r="F133" i="18"/>
  <c r="E151" i="18"/>
  <c r="H7" i="27"/>
  <c r="E111" i="39"/>
  <c r="N9" i="30" s="1"/>
  <c r="E123" i="39"/>
  <c r="D119" i="15"/>
  <c r="F119" i="15" s="1"/>
  <c r="F120" i="15" s="1"/>
  <c r="E2" i="23"/>
  <c r="C9" i="17" s="1"/>
  <c r="G8" i="27"/>
  <c r="G2" i="27" s="1"/>
  <c r="E2" i="34"/>
  <c r="C14" i="30" s="1"/>
  <c r="E111" i="41"/>
  <c r="N7" i="30" s="1"/>
  <c r="N16" i="30" s="1"/>
  <c r="H2" i="54"/>
  <c r="D33" i="33"/>
  <c r="F33" i="33"/>
  <c r="F35" i="33" s="1"/>
  <c r="E2" i="40"/>
  <c r="C8" i="30" s="1"/>
  <c r="E125" i="22"/>
  <c r="N10" i="17" s="1"/>
  <c r="E149" i="22"/>
  <c r="E111" i="40"/>
  <c r="N8" i="30" s="1"/>
  <c r="E128" i="14"/>
  <c r="G8" i="35"/>
  <c r="G2" i="35" s="1"/>
  <c r="L15" i="46"/>
  <c r="H27" i="33"/>
  <c r="F34" i="33" s="1"/>
  <c r="E111" i="38"/>
  <c r="N10" i="30" s="1"/>
  <c r="H2" i="52"/>
  <c r="H2" i="22"/>
  <c r="E150" i="22" s="1"/>
  <c r="H7" i="38"/>
  <c r="H8" i="38" s="1"/>
  <c r="H9" i="38" s="1"/>
  <c r="H10" i="38" s="1"/>
  <c r="H11" i="38" s="1"/>
  <c r="H12" i="38" s="1"/>
  <c r="H13" i="38" s="1"/>
  <c r="B15" i="30"/>
  <c r="E123" i="41"/>
  <c r="E2" i="43"/>
  <c r="C5" i="30" s="1"/>
  <c r="H2" i="26"/>
  <c r="E130" i="26" s="1"/>
  <c r="E123" i="37"/>
  <c r="E2" i="39"/>
  <c r="C9" i="30" s="1"/>
  <c r="E118" i="24"/>
  <c r="N8" i="17" s="1"/>
  <c r="D228" i="3" l="1"/>
  <c r="F225" i="3"/>
  <c r="H22" i="3"/>
  <c r="H23" i="3" s="1"/>
  <c r="H24" i="3" s="1"/>
  <c r="H25" i="3" s="1"/>
  <c r="H26" i="3" s="1"/>
  <c r="H27" i="3" s="1"/>
  <c r="H28" i="3" s="1"/>
  <c r="H29" i="3" s="1"/>
  <c r="H2" i="3"/>
  <c r="D150" i="4"/>
  <c r="F147" i="4"/>
  <c r="D144" i="5"/>
  <c r="F141" i="5"/>
  <c r="D191" i="6"/>
  <c r="F190" i="6"/>
  <c r="F92" i="15"/>
  <c r="F12" i="2"/>
  <c r="G2" i="7"/>
  <c r="F10" i="2" s="1"/>
  <c r="E2" i="7"/>
  <c r="C10" i="2" s="1"/>
  <c r="H6" i="7"/>
  <c r="H7" i="7" s="1"/>
  <c r="H8" i="7" s="1"/>
  <c r="H9" i="7" s="1"/>
  <c r="H10" i="7" s="1"/>
  <c r="H11" i="7" s="1"/>
  <c r="H12" i="7" s="1"/>
  <c r="H13" i="7" s="1"/>
  <c r="H14" i="7" s="1"/>
  <c r="D185" i="7"/>
  <c r="F184" i="7"/>
  <c r="H8" i="8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D176" i="8"/>
  <c r="F175" i="8"/>
  <c r="F148" i="9"/>
  <c r="D149" i="9"/>
  <c r="H7" i="9"/>
  <c r="H8" i="9" s="1"/>
  <c r="G2" i="10"/>
  <c r="F7" i="2" s="1"/>
  <c r="H7" i="10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95" i="15"/>
  <c r="F96" i="15" s="1"/>
  <c r="F97" i="15" s="1"/>
  <c r="F98" i="15" s="1"/>
  <c r="F99" i="15" s="1"/>
  <c r="F100" i="15" s="1"/>
  <c r="F101" i="15" s="1"/>
  <c r="E93" i="15"/>
  <c r="N16" i="17"/>
  <c r="H13" i="11"/>
  <c r="H14" i="11" s="1"/>
  <c r="H15" i="11" s="1"/>
  <c r="H16" i="11" s="1"/>
  <c r="H17" i="11" s="1"/>
  <c r="H18" i="11" s="1"/>
  <c r="H2" i="9"/>
  <c r="G2" i="11"/>
  <c r="F6" i="2" s="1"/>
  <c r="H12" i="12"/>
  <c r="H13" i="12" s="1"/>
  <c r="H14" i="12" s="1"/>
  <c r="H15" i="12" s="1"/>
  <c r="H18" i="14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137" i="13"/>
  <c r="H136" i="13"/>
  <c r="H7" i="13"/>
  <c r="H8" i="13" s="1"/>
  <c r="H9" i="13" s="1"/>
  <c r="H10" i="13" s="1"/>
  <c r="H11" i="13" s="1"/>
  <c r="H2" i="12"/>
  <c r="G145" i="13"/>
  <c r="H126" i="13"/>
  <c r="I154" i="13"/>
  <c r="H125" i="13"/>
  <c r="G112" i="13"/>
  <c r="I160" i="13"/>
  <c r="I126" i="13" s="1"/>
  <c r="H2" i="8"/>
  <c r="H2" i="14"/>
  <c r="G119" i="14"/>
  <c r="L16" i="17"/>
  <c r="L17" i="17"/>
  <c r="M18" i="17" s="1"/>
  <c r="G12" i="46"/>
  <c r="G13" i="46" s="1"/>
  <c r="G14" i="46" s="1"/>
  <c r="A113" i="25"/>
  <c r="A114" i="25" s="1"/>
  <c r="A115" i="25" s="1"/>
  <c r="A116" i="25" s="1"/>
  <c r="A117" i="25" s="1"/>
  <c r="A118" i="25" s="1"/>
  <c r="A112" i="25"/>
  <c r="F11" i="17"/>
  <c r="H2" i="21"/>
  <c r="E127" i="21" s="1"/>
  <c r="D44" i="32"/>
  <c r="F13" i="30"/>
  <c r="H2" i="35"/>
  <c r="A117" i="34"/>
  <c r="A118" i="34" s="1"/>
  <c r="A119" i="34" s="1"/>
  <c r="A120" i="34" s="1"/>
  <c r="A121" i="34" s="1"/>
  <c r="A122" i="34" s="1"/>
  <c r="A123" i="34"/>
  <c r="H9" i="28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G3" i="17"/>
  <c r="E15" i="17"/>
  <c r="A129" i="24"/>
  <c r="A130" i="24"/>
  <c r="A131" i="24" s="1"/>
  <c r="A132" i="24" s="1"/>
  <c r="A133" i="24" s="1"/>
  <c r="A134" i="24" s="1"/>
  <c r="A135" i="24" s="1"/>
  <c r="H14" i="38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E121" i="38"/>
  <c r="E123" i="38" s="1"/>
  <c r="D49" i="32"/>
  <c r="F49" i="32" s="1"/>
  <c r="D43" i="32"/>
  <c r="H5" i="18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2" i="27"/>
  <c r="E131" i="27" s="1"/>
  <c r="F5" i="17"/>
  <c r="F44" i="32"/>
  <c r="B16" i="46"/>
  <c r="D15" i="46"/>
  <c r="H2" i="28"/>
  <c r="E134" i="28" s="1"/>
  <c r="F4" i="17"/>
  <c r="C15" i="30"/>
  <c r="C16" i="30" s="1"/>
  <c r="B16" i="30"/>
  <c r="D15" i="30"/>
  <c r="B16" i="17"/>
  <c r="G7" i="24"/>
  <c r="E2" i="24"/>
  <c r="C8" i="17" s="1"/>
  <c r="D8" i="17" s="1"/>
  <c r="D9" i="17" s="1"/>
  <c r="D10" i="17" s="1"/>
  <c r="D11" i="17" s="1"/>
  <c r="D12" i="17" s="1"/>
  <c r="D13" i="17" s="1"/>
  <c r="D14" i="17" s="1"/>
  <c r="G3" i="30"/>
  <c r="G4" i="30" s="1"/>
  <c r="G5" i="30" s="1"/>
  <c r="E15" i="30"/>
  <c r="H2" i="29"/>
  <c r="E136" i="29" s="1"/>
  <c r="H2" i="34"/>
  <c r="L16" i="30"/>
  <c r="M17" i="30"/>
  <c r="M18" i="30" s="1"/>
  <c r="I7" i="32"/>
  <c r="B127" i="17"/>
  <c r="B121" i="17"/>
  <c r="B122" i="17" s="1"/>
  <c r="B123" i="17" s="1"/>
  <c r="B124" i="17" s="1"/>
  <c r="B125" i="17" s="1"/>
  <c r="B126" i="17" s="1"/>
  <c r="B16" i="2"/>
  <c r="F14" i="17"/>
  <c r="H2" i="18"/>
  <c r="F15" i="46"/>
  <c r="F16" i="46" s="1"/>
  <c r="D3" i="2"/>
  <c r="D4" i="2" s="1"/>
  <c r="D5" i="2" s="1"/>
  <c r="D6" i="2" s="1"/>
  <c r="D7" i="2" s="1"/>
  <c r="D8" i="2" s="1"/>
  <c r="D9" i="2" s="1"/>
  <c r="H2" i="6"/>
  <c r="E2" i="26"/>
  <c r="C6" i="17" s="1"/>
  <c r="D6" i="17" s="1"/>
  <c r="D7" i="17" s="1"/>
  <c r="H8" i="27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F4" i="2"/>
  <c r="H2" i="13"/>
  <c r="L16" i="2"/>
  <c r="L17" i="2"/>
  <c r="M18" i="2" s="1"/>
  <c r="H6" i="2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E16" i="2"/>
  <c r="E16" i="46"/>
  <c r="D4" i="30"/>
  <c r="D5" i="30" s="1"/>
  <c r="D6" i="30" s="1"/>
  <c r="D7" i="30" s="1"/>
  <c r="D8" i="30" s="1"/>
  <c r="D9" i="30" s="1"/>
  <c r="D10" i="30" s="1"/>
  <c r="D11" i="30" s="1"/>
  <c r="D12" i="30" s="1"/>
  <c r="D13" i="30" s="1"/>
  <c r="D14" i="30" s="1"/>
  <c r="E34" i="33"/>
  <c r="D39" i="33"/>
  <c r="F39" i="33" s="1"/>
  <c r="G6" i="30"/>
  <c r="G7" i="30" s="1"/>
  <c r="G8" i="30" s="1"/>
  <c r="G9" i="30" s="1"/>
  <c r="G10" i="30" s="1"/>
  <c r="G11" i="30" s="1"/>
  <c r="H13" i="29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H42" i="29" s="1"/>
  <c r="H43" i="29" s="1"/>
  <c r="H44" i="29" s="1"/>
  <c r="H45" i="29" s="1"/>
  <c r="L16" i="46"/>
  <c r="N12" i="46"/>
  <c r="N13" i="46" s="1"/>
  <c r="H2" i="36"/>
  <c r="F12" i="30"/>
  <c r="H8" i="35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E123" i="35" s="1"/>
  <c r="H15" i="7"/>
  <c r="H16" i="7" s="1"/>
  <c r="H17" i="7" s="1"/>
  <c r="H18" i="7" s="1"/>
  <c r="A130" i="19"/>
  <c r="A131" i="19" s="1"/>
  <c r="A132" i="19" s="1"/>
  <c r="A133" i="19" s="1"/>
  <c r="A127" i="19"/>
  <c r="A128" i="19" s="1"/>
  <c r="A129" i="19" s="1"/>
  <c r="D229" i="3" l="1"/>
  <c r="F228" i="3"/>
  <c r="D151" i="4"/>
  <c r="F150" i="4"/>
  <c r="D145" i="5"/>
  <c r="D146" i="5" s="1"/>
  <c r="F144" i="5"/>
  <c r="D192" i="6"/>
  <c r="F191" i="6"/>
  <c r="H2" i="7"/>
  <c r="D10" i="2"/>
  <c r="D11" i="2" s="1"/>
  <c r="D12" i="2" s="1"/>
  <c r="H19" i="7"/>
  <c r="H20" i="7" s="1"/>
  <c r="H21" i="7" s="1"/>
  <c r="H22" i="7" s="1"/>
  <c r="H23" i="7" s="1"/>
  <c r="H24" i="7" s="1"/>
  <c r="H25" i="7" s="1"/>
  <c r="H26" i="7" s="1"/>
  <c r="F185" i="7"/>
  <c r="D186" i="7"/>
  <c r="D177" i="8"/>
  <c r="F176" i="8"/>
  <c r="H9" i="9"/>
  <c r="D150" i="9"/>
  <c r="F149" i="9"/>
  <c r="H8" i="10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" i="10"/>
  <c r="F60" i="15"/>
  <c r="F61" i="15" s="1"/>
  <c r="F62" i="15" s="1"/>
  <c r="F63" i="15" s="1"/>
  <c r="F64" i="15" s="1"/>
  <c r="F65" i="15" s="1"/>
  <c r="F66" i="15" s="1"/>
  <c r="F67" i="15" s="1"/>
  <c r="F68" i="15" s="1"/>
  <c r="F69" i="15" s="1"/>
  <c r="F70" i="15" s="1"/>
  <c r="F71" i="15" s="1"/>
  <c r="H19" i="1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16" i="12"/>
  <c r="H17" i="12" s="1"/>
  <c r="H2" i="11"/>
  <c r="I119" i="14"/>
  <c r="I123" i="14" s="1"/>
  <c r="G142" i="14"/>
  <c r="H12" i="13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143" i="13"/>
  <c r="H134" i="14"/>
  <c r="H133" i="14"/>
  <c r="H122" i="14"/>
  <c r="G107" i="14"/>
  <c r="H123" i="14"/>
  <c r="H7" i="24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G2" i="24"/>
  <c r="D40" i="33"/>
  <c r="F40" i="33" s="1"/>
  <c r="D34" i="33"/>
  <c r="D35" i="33" s="1"/>
  <c r="E35" i="33"/>
  <c r="C15" i="17"/>
  <c r="E8" i="32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I8" i="32"/>
  <c r="I9" i="32" s="1"/>
  <c r="I10" i="32" s="1"/>
  <c r="I11" i="32" s="1"/>
  <c r="I12" i="32" s="1"/>
  <c r="I13" i="32" s="1"/>
  <c r="I14" i="32" s="1"/>
  <c r="I15" i="32" s="1"/>
  <c r="I16" i="32" s="1"/>
  <c r="I17" i="32" s="1"/>
  <c r="I18" i="32" s="1"/>
  <c r="I19" i="32" s="1"/>
  <c r="E16" i="17"/>
  <c r="G4" i="17"/>
  <c r="G4" i="2"/>
  <c r="G5" i="2" s="1"/>
  <c r="G6" i="2" s="1"/>
  <c r="G7" i="2" s="1"/>
  <c r="G8" i="2" s="1"/>
  <c r="G9" i="2" s="1"/>
  <c r="G10" i="2" s="1"/>
  <c r="G11" i="2" s="1"/>
  <c r="G12" i="2" s="1"/>
  <c r="G15" i="46"/>
  <c r="G16" i="46" s="1"/>
  <c r="G13" i="30"/>
  <c r="G14" i="30" s="1"/>
  <c r="G5" i="17"/>
  <c r="G6" i="17" s="1"/>
  <c r="G7" i="17" s="1"/>
  <c r="E16" i="30"/>
  <c r="F15" i="30"/>
  <c r="F16" i="30" s="1"/>
  <c r="G12" i="30"/>
  <c r="D230" i="3" l="1"/>
  <c r="F229" i="3"/>
  <c r="D152" i="4"/>
  <c r="F151" i="4"/>
  <c r="D147" i="5"/>
  <c r="F147" i="5" s="1"/>
  <c r="F146" i="5"/>
  <c r="F145" i="5"/>
  <c r="D193" i="6"/>
  <c r="D194" i="6" s="1"/>
  <c r="F192" i="6"/>
  <c r="F40" i="1"/>
  <c r="F42" i="1" s="1"/>
  <c r="F45" i="1" s="1"/>
  <c r="D187" i="7"/>
  <c r="F186" i="7"/>
  <c r="D178" i="8"/>
  <c r="F177" i="8"/>
  <c r="H10" i="9"/>
  <c r="H11" i="9" s="1"/>
  <c r="F150" i="9"/>
  <c r="D151" i="9"/>
  <c r="H18" i="12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140" i="14"/>
  <c r="C16" i="17"/>
  <c r="D15" i="17"/>
  <c r="F8" i="17"/>
  <c r="H2" i="24"/>
  <c r="E139" i="24" s="1"/>
  <c r="G15" i="30"/>
  <c r="G16" i="30" s="1"/>
  <c r="F194" i="6" l="1"/>
  <c r="D195" i="6"/>
  <c r="F195" i="6" s="1"/>
  <c r="F230" i="3"/>
  <c r="D231" i="3"/>
  <c r="D153" i="4"/>
  <c r="F152" i="4"/>
  <c r="F193" i="6"/>
  <c r="H12" i="9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D188" i="7"/>
  <c r="F187" i="7"/>
  <c r="D179" i="8"/>
  <c r="F178" i="8"/>
  <c r="D152" i="9"/>
  <c r="F151" i="9"/>
  <c r="F102" i="15"/>
  <c r="F103" i="15" s="1"/>
  <c r="G8" i="17"/>
  <c r="G9" i="17" s="1"/>
  <c r="G10" i="17" s="1"/>
  <c r="G11" i="17" s="1"/>
  <c r="G12" i="17" s="1"/>
  <c r="G13" i="17" s="1"/>
  <c r="G14" i="17" s="1"/>
  <c r="F15" i="17"/>
  <c r="F231" i="3" l="1"/>
  <c r="D234" i="3"/>
  <c r="D156" i="4"/>
  <c r="D157" i="4" s="1"/>
  <c r="D158" i="4" s="1"/>
  <c r="D159" i="4" s="1"/>
  <c r="F153" i="4"/>
  <c r="D150" i="5"/>
  <c r="D189" i="7"/>
  <c r="F188" i="7"/>
  <c r="D180" i="8"/>
  <c r="F179" i="8"/>
  <c r="F152" i="9"/>
  <c r="D153" i="9"/>
  <c r="F16" i="17"/>
  <c r="G15" i="17"/>
  <c r="G16" i="17" s="1"/>
  <c r="D235" i="3" l="1"/>
  <c r="F234" i="3"/>
  <c r="D167" i="4"/>
  <c r="D168" i="4" s="1"/>
  <c r="F156" i="4"/>
  <c r="D151" i="5"/>
  <c r="F150" i="5"/>
  <c r="D196" i="6"/>
  <c r="F189" i="7"/>
  <c r="D190" i="7"/>
  <c r="F180" i="8"/>
  <c r="D181" i="8"/>
  <c r="D154" i="9"/>
  <c r="F153" i="9"/>
  <c r="D236" i="3" l="1"/>
  <c r="F235" i="3"/>
  <c r="F167" i="4"/>
  <c r="F168" i="4"/>
  <c r="F182" i="4"/>
  <c r="F157" i="4"/>
  <c r="D152" i="5"/>
  <c r="F151" i="5"/>
  <c r="D197" i="6"/>
  <c r="F196" i="6"/>
  <c r="D191" i="7"/>
  <c r="F190" i="7"/>
  <c r="D182" i="8"/>
  <c r="F181" i="8"/>
  <c r="F154" i="9"/>
  <c r="D155" i="9"/>
  <c r="D237" i="3" l="1"/>
  <c r="F236" i="3"/>
  <c r="F186" i="4"/>
  <c r="F159" i="4"/>
  <c r="D153" i="5"/>
  <c r="F152" i="5"/>
  <c r="D198" i="6"/>
  <c r="F197" i="6"/>
  <c r="D192" i="7"/>
  <c r="F191" i="7"/>
  <c r="D183" i="8"/>
  <c r="F182" i="8"/>
  <c r="D156" i="9"/>
  <c r="F155" i="9"/>
  <c r="D245" i="3" l="1"/>
  <c r="F237" i="3"/>
  <c r="F158" i="4"/>
  <c r="D154" i="5"/>
  <c r="F153" i="5"/>
  <c r="D199" i="6"/>
  <c r="F198" i="6"/>
  <c r="D193" i="7"/>
  <c r="F192" i="7"/>
  <c r="D184" i="8"/>
  <c r="F183" i="8"/>
  <c r="F156" i="9"/>
  <c r="D157" i="9"/>
  <c r="D246" i="3" l="1"/>
  <c r="F246" i="3" s="1"/>
  <c r="F245" i="3"/>
  <c r="D155" i="5"/>
  <c r="F154" i="5"/>
  <c r="D200" i="6"/>
  <c r="F199" i="6"/>
  <c r="D194" i="7"/>
  <c r="F193" i="7"/>
  <c r="D185" i="8"/>
  <c r="F184" i="8"/>
  <c r="D158" i="9"/>
  <c r="F157" i="9"/>
  <c r="F155" i="5" l="1"/>
  <c r="D156" i="5"/>
  <c r="D201" i="6"/>
  <c r="F200" i="6"/>
  <c r="D195" i="7"/>
  <c r="F194" i="7"/>
  <c r="D186" i="8"/>
  <c r="F185" i="8"/>
  <c r="F158" i="9"/>
  <c r="D159" i="9"/>
  <c r="D157" i="5" l="1"/>
  <c r="F156" i="5"/>
  <c r="F201" i="6"/>
  <c r="D202" i="6"/>
  <c r="D196" i="7"/>
  <c r="F195" i="7"/>
  <c r="D187" i="8"/>
  <c r="F186" i="8"/>
  <c r="F159" i="9"/>
  <c r="D160" i="9"/>
  <c r="F157" i="5" l="1"/>
  <c r="D158" i="5"/>
  <c r="D203" i="6"/>
  <c r="F202" i="6"/>
  <c r="D197" i="7"/>
  <c r="F196" i="7"/>
  <c r="D188" i="8"/>
  <c r="F187" i="8"/>
  <c r="F160" i="9"/>
  <c r="D161" i="9"/>
  <c r="D159" i="5" l="1"/>
  <c r="F158" i="5"/>
  <c r="F203" i="6"/>
  <c r="D204" i="6"/>
  <c r="F197" i="7"/>
  <c r="D198" i="7"/>
  <c r="D189" i="8"/>
  <c r="F188" i="8"/>
  <c r="D162" i="9"/>
  <c r="F161" i="9"/>
  <c r="D160" i="5" l="1"/>
  <c r="F159" i="5"/>
  <c r="F204" i="6"/>
  <c r="D205" i="6"/>
  <c r="D199" i="7"/>
  <c r="F198" i="7"/>
  <c r="D190" i="8"/>
  <c r="F189" i="8"/>
  <c r="F162" i="9"/>
  <c r="D163" i="9"/>
  <c r="D161" i="5" l="1"/>
  <c r="F161" i="5" s="1"/>
  <c r="F160" i="5"/>
  <c r="D206" i="6"/>
  <c r="F205" i="6"/>
  <c r="D200" i="7"/>
  <c r="F199" i="7"/>
  <c r="D191" i="8"/>
  <c r="F190" i="8"/>
  <c r="D164" i="9"/>
  <c r="F163" i="9"/>
  <c r="D207" i="6" l="1"/>
  <c r="F207" i="6" s="1"/>
  <c r="F206" i="6"/>
  <c r="F200" i="7"/>
  <c r="D201" i="7"/>
  <c r="D192" i="8"/>
  <c r="F191" i="8"/>
  <c r="F164" i="9"/>
  <c r="D165" i="9"/>
  <c r="F201" i="7" l="1"/>
  <c r="D202" i="7"/>
  <c r="F202" i="7" s="1"/>
  <c r="D193" i="8"/>
  <c r="F193" i="8" s="1"/>
  <c r="F192" i="8"/>
  <c r="D166" i="9"/>
  <c r="F166" i="9" s="1"/>
  <c r="F165" i="9"/>
  <c r="I8" i="4"/>
  <c r="I9" i="4"/>
  <c r="I10" i="4"/>
  <c r="I11" i="4"/>
  <c r="I12" i="4"/>
  <c r="I13" i="4"/>
  <c r="I14" i="4"/>
  <c r="I15" i="4"/>
  <c r="G16" i="2"/>
  <c r="G15" i="2"/>
  <c r="C16" i="2"/>
  <c r="C15" i="2"/>
  <c r="D15" i="2"/>
  <c r="F15" i="2"/>
  <c r="F16" i="2"/>
  <c r="G14" i="2"/>
  <c r="F13" i="2"/>
  <c r="G13" i="2"/>
  <c r="J179" i="4"/>
  <c r="J160" i="4"/>
  <c r="H160" i="4"/>
  <c r="G8" i="4"/>
  <c r="G2" i="4"/>
  <c r="I2" i="4"/>
  <c r="E69" i="4"/>
  <c r="E8" i="4"/>
  <c r="E2" i="4"/>
  <c r="C13" i="2"/>
  <c r="D13" i="2"/>
  <c r="D14" i="2"/>
  <c r="H238" i="3"/>
  <c r="J238" i="3"/>
  <c r="J254" i="3"/>
</calcChain>
</file>

<file path=xl/sharedStrings.xml><?xml version="1.0" encoding="utf-8"?>
<sst xmlns="http://schemas.openxmlformats.org/spreadsheetml/2006/main" count="6070" uniqueCount="2138">
  <si>
    <t>hesaba yazılmayan</t>
  </si>
  <si>
    <t>hacı ödeme</t>
  </si>
  <si>
    <t>peri ödeme</t>
  </si>
  <si>
    <t>BAKİYE</t>
  </si>
  <si>
    <t>2023 den devir PERİ BORÇLU</t>
  </si>
  <si>
    <t>4 ad çeyrek *5000</t>
  </si>
  <si>
    <t>KALAN BAKİYE</t>
  </si>
  <si>
    <t>YASEMİN ARAÇ HESABI</t>
  </si>
  <si>
    <t>YASEMİN KAPORA</t>
  </si>
  <si>
    <t>YASEMİN UMUTTAN OKUL PARASINDAN</t>
  </si>
  <si>
    <t>YASEMİN OKUL PARASINDAN</t>
  </si>
  <si>
    <t>YASEMİN OKUL PARASI</t>
  </si>
  <si>
    <t>DERSANE+ ÖDEME</t>
  </si>
  <si>
    <t>MAAŞTAN ÖDENECEK (okul parasından artan)</t>
  </si>
  <si>
    <t>TOPLAM  YASEMİNİN ARAÇ ÖDEMESİ</t>
  </si>
  <si>
    <t>TAHMİNİ</t>
  </si>
  <si>
    <t>GERÇEKLEŞEN</t>
  </si>
  <si>
    <t>NZN</t>
  </si>
  <si>
    <t>HC</t>
  </si>
  <si>
    <t>NY</t>
  </si>
  <si>
    <t>GİRİŞ</t>
  </si>
  <si>
    <t>ÇIKIŞ</t>
  </si>
  <si>
    <t xml:space="preserve"> BAKİYE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</si>
  <si>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</si>
  <si>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</si>
  <si>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</si>
  <si>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</si>
  <si>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</si>
  <si>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</si>
  <si>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</si>
  <si>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</si>
  <si>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</si>
  <si>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</si>
  <si>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</si>
  <si>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</si>
  <si>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</si>
  <si>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</si>
  <si>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</si>
  <si>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</si>
  <si>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</si>
  <si>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</si>
  <si>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</si>
  <si>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</si>
  <si>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</si>
  <si>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</si>
  <si>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</si>
  <si>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</si>
  <si>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</si>
  <si>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</si>
  <si>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</si>
  <si>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</si>
  <si>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</si>
  <si>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</si>
  <si>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</si>
  <si>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</si>
  <si>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ocak 23 maaş</t>
  </si>
  <si>
    <t>temmuz artış</t>
  </si>
  <si>
    <t>temmuz 23  maaş</t>
  </si>
  <si>
    <t xml:space="preserve"> - EKİM 2025</t>
  </si>
  <si>
    <t>TOPLAM</t>
  </si>
  <si>
    <t>KK 4876 İşbank</t>
  </si>
  <si>
    <t>KK 5165 Denizbank</t>
  </si>
  <si>
    <t>Aidat Marmara Royal Site 9/12</t>
  </si>
  <si>
    <t xml:space="preserve">Kira Adem Özen 7/12 Mrmr Ryl A Blok 82  </t>
  </si>
  <si>
    <t>Elektrik 9522138254 Sanayi</t>
  </si>
  <si>
    <t>Doğalgaz 800004222954 Kümbet D10</t>
  </si>
  <si>
    <t>Doğalgaz 800004222959 Kümbet D09</t>
  </si>
  <si>
    <t>Doğalgaz Marmara Royal Ablok D:82</t>
  </si>
  <si>
    <t>maaş</t>
  </si>
  <si>
    <t>yasemin</t>
  </si>
  <si>
    <t>umut</t>
  </si>
  <si>
    <t>Genel Masraf</t>
  </si>
  <si>
    <t>Elektrik 5847500300 Kümbet D09</t>
  </si>
  <si>
    <t>Elektrik 8222520300 Kümbet D10</t>
  </si>
  <si>
    <t>TUSDATA 2025    30/30        8845  -  8845 = 0</t>
  </si>
  <si>
    <t xml:space="preserve">İşbank 4876 KK                       </t>
  </si>
  <si>
    <t>HESAP KESİM</t>
  </si>
  <si>
    <t>Denizbank 5165 kk</t>
  </si>
  <si>
    <t>işkembe</t>
  </si>
  <si>
    <t xml:space="preserve"> - EYLÜL 2025</t>
  </si>
  <si>
    <t>TUSDATA 2025    29/30          17690    -  8845 = 8845</t>
  </si>
  <si>
    <t xml:space="preserve"> - AĞUSTOS 2025</t>
  </si>
  <si>
    <t>TUSDATA 2025    28/30         26535    -  8845 = 17690</t>
  </si>
  <si>
    <t xml:space="preserve"> - TEMMUZ 2025</t>
  </si>
  <si>
    <t>TUSDATA 2025    27/30        35380    -  8845 = 26535</t>
  </si>
  <si>
    <t xml:space="preserve"> - HAZİRAN 2025</t>
  </si>
  <si>
    <t>TUSDATA 2025    26/30        44225   -  8845 = 35380</t>
  </si>
  <si>
    <t xml:space="preserve"> - MAYIS 2025</t>
  </si>
  <si>
    <t>TUSDATA 2025    25/30      53070   -  8845 = 44225</t>
  </si>
  <si>
    <t xml:space="preserve"> - NİSAN 2025</t>
  </si>
  <si>
    <t>SANAYI BELEDIYE SAYC UCRETI</t>
  </si>
  <si>
    <t>TUSDATA 2025    24/30     61915  -  8845 = 53070</t>
  </si>
  <si>
    <t xml:space="preserve"> - MART 2025</t>
  </si>
  <si>
    <t xml:space="preserve"> 2024 / 8</t>
  </si>
  <si>
    <t>TUSDATA 2025    23/30    70760 -  8845 = 61915</t>
  </si>
  <si>
    <t xml:space="preserve"> - ŞUBAT 2025</t>
  </si>
  <si>
    <t>SnyB salih ant  16 asgari ücret * 22104 = 353664</t>
  </si>
  <si>
    <t xml:space="preserve"> 2024 / 7</t>
  </si>
  <si>
    <t>Doğuş Kira 7/12-2025-26</t>
  </si>
  <si>
    <t xml:space="preserve"> - OCAK 2025</t>
  </si>
  <si>
    <t xml:space="preserve">SnyB salih ant bankadan   </t>
  </si>
  <si>
    <t>umut banka hesabı – hmb hesaba havale – 801 – 209 nazan</t>
  </si>
  <si>
    <t xml:space="preserve"> 2024 / 5</t>
  </si>
  <si>
    <t xml:space="preserve"> 2024 / 6</t>
  </si>
  <si>
    <t>Doğuş Kira 5/12-2025-26</t>
  </si>
  <si>
    <t>Doğuş Kira 6/12-2025-26</t>
  </si>
  <si>
    <t>TUSDATA 2023    8/30   8*250 = 2000                    ÖDENDİ</t>
  </si>
  <si>
    <t>TUSDATA 2024    9/30 – 20/30   12*250 = 3000     ÖDENDİ + 250 TL fazla ödeme yapıldı</t>
  </si>
  <si>
    <t>TUSDATA 2025    21/30   1*8595 = 8595</t>
  </si>
  <si>
    <t>TUSDATA 2025    22/30-30/30   9*8845 = 79605</t>
  </si>
  <si>
    <t>TUSDATA  TOPLAM                         93450</t>
  </si>
  <si>
    <t>TUSDATA 2023 aylık ödendi</t>
  </si>
  <si>
    <t>ÖDENDİ</t>
  </si>
  <si>
    <t>TUSDATA 2024 aylık ödendi</t>
  </si>
  <si>
    <t>TUSDATA 2024 Toplu ödendi</t>
  </si>
  <si>
    <t>TUSDATA 2025</t>
  </si>
  <si>
    <t>ÖDENECEK</t>
  </si>
  <si>
    <t>BORÇ YOK</t>
  </si>
  <si>
    <t>belediye</t>
  </si>
  <si>
    <t>mrkt</t>
  </si>
  <si>
    <t>toyota gaz</t>
  </si>
  <si>
    <t>ödeme</t>
  </si>
  <si>
    <t>audi kışlık dğşm</t>
  </si>
  <si>
    <t>döner vedat</t>
  </si>
  <si>
    <t>audi benzin</t>
  </si>
  <si>
    <t>pervin ankara-tokat</t>
  </si>
  <si>
    <t>pide</t>
  </si>
  <si>
    <t>ŞUBAT 2025 e</t>
  </si>
  <si>
    <t>Devir</t>
  </si>
  <si>
    <t>alış Tutar</t>
  </si>
  <si>
    <t>pervin 329500-35800</t>
  </si>
  <si>
    <t>İş 1626748</t>
  </si>
  <si>
    <t>denizbank</t>
  </si>
  <si>
    <t>İş ytrm 1626748 801</t>
  </si>
  <si>
    <t>iş ytrm ALTIN.S1</t>
  </si>
  <si>
    <t>iş ytrm 382789 TTE</t>
  </si>
  <si>
    <t xml:space="preserve">iş ytrm 382789 RGYAS </t>
  </si>
  <si>
    <t>iş ytrm 382789 KOTON</t>
  </si>
  <si>
    <t>iş ytrm 382789 LILAK</t>
  </si>
  <si>
    <t xml:space="preserve">gau iş alış                         </t>
  </si>
  <si>
    <t>xau çeyrek</t>
  </si>
  <si>
    <t>xau tam</t>
  </si>
  <si>
    <t>USD iş alış                           35,4713</t>
  </si>
  <si>
    <t>eur iş alış                           39,3164</t>
  </si>
  <si>
    <t>kasa nakit</t>
  </si>
  <si>
    <t>nakit</t>
  </si>
  <si>
    <t>TOPLAM YATIRIM SONUCU</t>
  </si>
  <si>
    <t>Ay sonu BAKİYE</t>
  </si>
  <si>
    <t xml:space="preserve"> Bakiye</t>
  </si>
  <si>
    <t>emekli maaş aralık</t>
  </si>
  <si>
    <t>6 aylık enflasyon</t>
  </si>
  <si>
    <t>emekli maaş ocak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</si>
  <si>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</si>
  <si>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</si>
  <si>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</si>
  <si>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</si>
  <si>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</si>
  <si>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 xml:space="preserve">kayseri otobüs bileti </t>
  </si>
  <si>
    <t>1 adet çeyrek</t>
  </si>
  <si>
    <t>işbanktan hacıya havale</t>
  </si>
  <si>
    <t>işbanktan periye havale kred iiçin</t>
  </si>
  <si>
    <t>ziraat kredi ödemesi</t>
  </si>
  <si>
    <t>audi teker porya-yazlık lastik değişimi</t>
  </si>
  <si>
    <t>panter testere 1/9</t>
  </si>
  <si>
    <t>azaerbaycan otel için 240 usd *32</t>
  </si>
  <si>
    <t>ali kredi için -ali bankaya yatırmış</t>
  </si>
  <si>
    <t>panter testere 2/9</t>
  </si>
  <si>
    <t>audi kaza için alınan</t>
  </si>
  <si>
    <t>audi kaza için harcanan</t>
  </si>
  <si>
    <t xml:space="preserve">aliden kredi için alınan 15/06/2024 taksidi </t>
  </si>
  <si>
    <t>ziraate havale kredi için bayram öncesi</t>
  </si>
  <si>
    <t>benzin</t>
  </si>
  <si>
    <t>trafik cezaı yıldızeli</t>
  </si>
  <si>
    <t>çeyrek 5 ad. 4030 * 5</t>
  </si>
  <si>
    <t>panter testere 3/9</t>
  </si>
  <si>
    <t>elden nakit aliden alınan kredi için</t>
  </si>
  <si>
    <t>peri ziraat kredi ödemesi taksit 76</t>
  </si>
  <si>
    <t>panter testere 4/9 -9/9 6 taksit</t>
  </si>
  <si>
    <t xml:space="preserve">ARACI ALMADAN ÖNCE HACI BORÇ TOPLAMI </t>
  </si>
  <si>
    <t>tcross 12-8-2024</t>
  </si>
  <si>
    <t>sigorta</t>
  </si>
  <si>
    <t>kasko</t>
  </si>
  <si>
    <t>ARAÇ TOPLAM MALİYET</t>
  </si>
  <si>
    <t>ARAÇ ÖNCESİ HESAP</t>
  </si>
  <si>
    <t>TRAFİK SİGORTASI</t>
  </si>
  <si>
    <t>KASKO 9 taksitte ödenecek peri kk</t>
  </si>
  <si>
    <t>atiladan yasemine araba için</t>
  </si>
  <si>
    <t>Yasemin + dersanedwn</t>
  </si>
  <si>
    <t>Yasemin maaştan ödeyecek</t>
  </si>
  <si>
    <t>ATİLADAN geri alınan EMANET ALTIN</t>
  </si>
  <si>
    <t>pervin   6 ad çeyrek *4100</t>
  </si>
  <si>
    <t>pervin   1 ad tam *16200</t>
  </si>
  <si>
    <t xml:space="preserve">pervin   1 ad gram *2500 </t>
  </si>
  <si>
    <t>pervin   10 ad çeyrek *4100</t>
  </si>
  <si>
    <t>ziraat kredi 68000 TL aliden nakit alındı ziraate 22 taksitte ödenecek</t>
  </si>
  <si>
    <t>PERVİNDEN HAVALE taksit 1/12</t>
  </si>
  <si>
    <t>havale</t>
  </si>
  <si>
    <t>istanbul tokat topçam bilet</t>
  </si>
  <si>
    <t>Taksit 1/12 kalan</t>
  </si>
  <si>
    <t>Taksit 2/12 30000</t>
  </si>
  <si>
    <t>Taksit 2/12 6000</t>
  </si>
  <si>
    <t>500 noksan ÖDENDİ</t>
  </si>
  <si>
    <t>Taksit 3/12  30000</t>
  </si>
  <si>
    <t>Taksit 3/12   6000</t>
  </si>
  <si>
    <t>Taksit 4/12 36,500</t>
  </si>
  <si>
    <t>700 noksan ÖDENDİ</t>
  </si>
  <si>
    <t>ankara-tokat bilet</t>
  </si>
  <si>
    <t>Taksit 5/12 36,500</t>
  </si>
  <si>
    <t>1500 fazla</t>
  </si>
  <si>
    <t>TCROSS</t>
  </si>
  <si>
    <t>KASKO SİGORTASI</t>
  </si>
  <si>
    <t>T-CROSS TOPLAM MALİYET</t>
  </si>
  <si>
    <t>ÖDEMELER</t>
  </si>
  <si>
    <t>Ödeyen</t>
  </si>
  <si>
    <t>Miktar</t>
  </si>
  <si>
    <t>Bakiye</t>
  </si>
  <si>
    <t xml:space="preserve">Yasemin </t>
  </si>
  <si>
    <t>Yasemin</t>
  </si>
  <si>
    <t xml:space="preserve">ATİLA </t>
  </si>
  <si>
    <t>Atila</t>
  </si>
  <si>
    <t>hacı</t>
  </si>
  <si>
    <t>Yasemin Atila Hacı Toplam Ödeme</t>
  </si>
  <si>
    <t>Pervin</t>
  </si>
  <si>
    <t>12*36500 taksit ödemesi</t>
  </si>
  <si>
    <t>Pervin Toplam Ödeme</t>
  </si>
  <si>
    <t>gr</t>
  </si>
  <si>
    <t>çeyrek</t>
  </si>
  <si>
    <t>s1</t>
  </si>
  <si>
    <t>iş 801</t>
  </si>
  <si>
    <t>adet</t>
  </si>
  <si>
    <t>fiyat</t>
  </si>
  <si>
    <t>tutar</t>
  </si>
  <si>
    <t>bakiye</t>
  </si>
  <si>
    <t>gelen</t>
  </si>
  <si>
    <t>94,25 gr bilezik * 2400 TL/gr (22 ayar)</t>
  </si>
  <si>
    <t>altın</t>
  </si>
  <si>
    <t>78 çeyrek * 4200</t>
  </si>
  <si>
    <t xml:space="preserve">iş 801 </t>
  </si>
  <si>
    <t>pervin</t>
  </si>
  <si>
    <t>pervin 13 ad çeyrek *4200 benim kasada</t>
  </si>
  <si>
    <t>pervin   6 ad çeyrek *4200 benim kasada</t>
  </si>
  <si>
    <t>pervin   1 ad tam *16200 benim kasada</t>
  </si>
  <si>
    <t>pervin   1 ad gram *2500 benim kasada</t>
  </si>
  <si>
    <t>pervin banka 10  kasada</t>
  </si>
  <si>
    <t>okul parasından gelecek (nakit)</t>
  </si>
  <si>
    <r>
      <rPr>
        <sz val="10"/>
        <color rgb="FF000000"/>
        <rFont val="Liberation Sans1"/>
        <charset val="162"/>
      </rPr>
      <t xml:space="preserve">gr altın 5 * 2500   </t>
    </r>
    <r>
      <rPr>
        <sz val="10"/>
        <color rgb="FFFF0000"/>
        <rFont val="Liberation Sans1"/>
        <charset val="162"/>
      </rPr>
      <t>OKUL PARASI KALSIN</t>
    </r>
  </si>
  <si>
    <t>gr altın 36 * 2500 (audi)</t>
  </si>
  <si>
    <t>BOZ</t>
  </si>
  <si>
    <t>gr altın 94 * 2520</t>
  </si>
  <si>
    <r>
      <rPr>
        <sz val="10"/>
        <color rgb="FF000000"/>
        <rFont val="Liberation Sans1"/>
        <charset val="162"/>
      </rPr>
      <t xml:space="preserve">dolsr 850 *32        </t>
    </r>
    <r>
      <rPr>
        <sz val="10"/>
        <color rgb="FFFF0000"/>
        <rFont val="Liberation Sans1"/>
        <charset val="162"/>
      </rPr>
      <t>OKUL PARASI KALSIN</t>
    </r>
  </si>
  <si>
    <t>s1                                  25,93*7500</t>
  </si>
  <si>
    <t>satıldı</t>
  </si>
  <si>
    <t>boz</t>
  </si>
  <si>
    <t>ytr 801</t>
  </si>
  <si>
    <t>ASIL HESAP</t>
  </si>
  <si>
    <t>ytr 808           722 adet deil TL imiş</t>
  </si>
  <si>
    <t>ytr 812</t>
  </si>
  <si>
    <t>KALSIN</t>
  </si>
  <si>
    <r>
      <rPr>
        <sz val="10"/>
        <color rgb="FF000000"/>
        <rFont val="Liberation Sans1"/>
        <charset val="162"/>
      </rPr>
      <t xml:space="preserve">gr               </t>
    </r>
    <r>
      <rPr>
        <sz val="10"/>
        <color rgb="FFFF0000"/>
        <rFont val="Liberation Sans1"/>
        <charset val="162"/>
      </rPr>
      <t>OKUL PARASI KALSIN</t>
    </r>
  </si>
  <si>
    <t>GELECEK</t>
  </si>
  <si>
    <t xml:space="preserve">Ali </t>
  </si>
  <si>
    <t>ÖDEME</t>
  </si>
  <si>
    <t>KALAN</t>
  </si>
  <si>
    <t>uyasemin iş 801</t>
  </si>
  <si>
    <t>umut okul parasından umut -&gt; peri &gt; yasemin havale edildi</t>
  </si>
  <si>
    <t>kaparo için doğuş otoya yaseminden havale</t>
  </si>
  <si>
    <t xml:space="preserve">yasemin 808 den gelen </t>
  </si>
  <si>
    <t>HESAPTA</t>
  </si>
  <si>
    <t>yasemin s1 den gelecek ÇARŞAMBA SATILDI</t>
  </si>
  <si>
    <t xml:space="preserve">hacı iş 801 </t>
  </si>
  <si>
    <t>fiziki</t>
  </si>
  <si>
    <t>s1 hacı</t>
  </si>
  <si>
    <t>atila</t>
  </si>
  <si>
    <t>ali</t>
  </si>
  <si>
    <t>PERŞEMBE</t>
  </si>
  <si>
    <t>yasemin s1 den gelecek</t>
  </si>
  <si>
    <t>s1 hacı   PERŞEMBE SATILDI</t>
  </si>
  <si>
    <t>MAHKEME</t>
  </si>
  <si>
    <t>DEMİREL ARABULUCULUK</t>
  </si>
  <si>
    <t>MERDAL TAKİP</t>
  </si>
  <si>
    <t>FATURA</t>
  </si>
  <si>
    <t>ELEKTRİK</t>
  </si>
  <si>
    <t>KREDİ</t>
  </si>
  <si>
    <t>TZG</t>
  </si>
  <si>
    <t>ÖLÇÜM</t>
  </si>
  <si>
    <t>SINIR TESPİTİ</t>
  </si>
  <si>
    <t>DUVAR VE KAPI YAPIMI</t>
  </si>
  <si>
    <t>ELEKTRİK-SU ABONE İŞLEMLERİ</t>
  </si>
  <si>
    <t>ELEKTRİK TESİSAT</t>
  </si>
  <si>
    <t>BAHÇE</t>
  </si>
  <si>
    <t>KERESTE</t>
  </si>
  <si>
    <t>ARALIK</t>
  </si>
  <si>
    <t>İş 789</t>
  </si>
  <si>
    <t>iş sny</t>
  </si>
  <si>
    <t>iş ytrm</t>
  </si>
  <si>
    <t>40 * 527,212240</t>
  </si>
  <si>
    <t>iş 808</t>
  </si>
  <si>
    <t>300 * 18,625761</t>
  </si>
  <si>
    <t>AVPGY</t>
  </si>
  <si>
    <t>MEGMT</t>
  </si>
  <si>
    <t>SURGY</t>
  </si>
  <si>
    <t>TABGD</t>
  </si>
  <si>
    <t>xau iş alış                                              1987</t>
  </si>
  <si>
    <t>usd iş satış-alış                 30,19258</t>
  </si>
  <si>
    <t>eur iş alış                           33,0124</t>
  </si>
  <si>
    <t xml:space="preserve"> - ARALIK 2024</t>
  </si>
  <si>
    <t xml:space="preserve"> 2024 / 3</t>
  </si>
  <si>
    <t>dnxkk</t>
  </si>
  <si>
    <t xml:space="preserve"> 2024 / 4</t>
  </si>
  <si>
    <t>BİNA VERGİSİ</t>
  </si>
  <si>
    <t>KÜLTÜR VERGİSİ</t>
  </si>
  <si>
    <t>Nazan Kira ödemesi 12+</t>
  </si>
  <si>
    <t>umut kiradan</t>
  </si>
  <si>
    <t>snyB Ali Demirel bankadan</t>
  </si>
  <si>
    <t>Doğuş Kira 4/12-2025-26</t>
  </si>
  <si>
    <t>devlet</t>
  </si>
  <si>
    <t xml:space="preserve"> 2024 / 9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</si>
  <si>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</si>
  <si>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</si>
  <si>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</si>
  <si>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</si>
  <si>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</si>
  <si>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</si>
  <si>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</si>
  <si>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</si>
  <si>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</si>
  <si>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>pazarama 64gb ram umut</t>
  </si>
  <si>
    <t xml:space="preserve">  9– 9</t>
  </si>
  <si>
    <t>amazon kc200 2tb nvme umut</t>
  </si>
  <si>
    <t>koctas</t>
  </si>
  <si>
    <t>koton</t>
  </si>
  <si>
    <t>tcross benzn</t>
  </si>
  <si>
    <t>dürümle</t>
  </si>
  <si>
    <t>mrkt erenler</t>
  </si>
  <si>
    <t>gaz</t>
  </si>
  <si>
    <t>tcdd tkt-ist-tkt bsnss</t>
  </si>
  <si>
    <t>ARALIKa</t>
  </si>
  <si>
    <t>xau iş alış                           2867,2</t>
  </si>
  <si>
    <t>pervinden   16 ad çeyrek *4100</t>
  </si>
  <si>
    <t>pervinden   1 ad tam *16200</t>
  </si>
  <si>
    <t xml:space="preserve">pervinden   1 ad gram *2500 </t>
  </si>
  <si>
    <t>OCAK 2025 e</t>
  </si>
  <si>
    <t xml:space="preserve"> - KASIM 2024</t>
  </si>
  <si>
    <t>TUSDATA 19/30</t>
  </si>
  <si>
    <t>17-2-24 de toplu ödendi</t>
  </si>
  <si>
    <t xml:space="preserve">Kira Adem Özen 6/12 Mrmr Ryl A Blok 82  </t>
  </si>
  <si>
    <t>Doğuş Kira 3/12-2025-26</t>
  </si>
  <si>
    <t>2240 VODAFONE fatura</t>
  </si>
  <si>
    <t>snyF merdal kipel icra yoluyla avukattan</t>
  </si>
  <si>
    <t>tcross pervinden 7</t>
  </si>
  <si>
    <t>Nazan Kira ödemesi 11 + 8 + 9+ 10</t>
  </si>
  <si>
    <t>yasemin winter</t>
  </si>
  <si>
    <t>umut winter</t>
  </si>
  <si>
    <t>snyCD</t>
  </si>
  <si>
    <t xml:space="preserve">  8– 9</t>
  </si>
  <si>
    <t xml:space="preserve"> 8 – 9</t>
  </si>
  <si>
    <t>yasemin okul</t>
  </si>
  <si>
    <t>BELEDİYE SU ABONESİ</t>
  </si>
  <si>
    <t>AÖF</t>
  </si>
  <si>
    <t>DÖNER TZG</t>
  </si>
  <si>
    <t>MRKT</t>
  </si>
  <si>
    <t>PİDE ET</t>
  </si>
  <si>
    <t>FIRIN PİDE</t>
  </si>
  <si>
    <t>tvk</t>
  </si>
  <si>
    <t>balık</t>
  </si>
  <si>
    <t>lknt tzg</t>
  </si>
  <si>
    <t>gaz sivas</t>
  </si>
  <si>
    <t>su</t>
  </si>
  <si>
    <t>aksoy 4 ad mil menteşe tzg</t>
  </si>
  <si>
    <t>KASIMa</t>
  </si>
  <si>
    <t xml:space="preserve">umut   </t>
  </si>
  <si>
    <t>pervin 365500-36000</t>
  </si>
  <si>
    <t>iş ALTIN.S1</t>
  </si>
  <si>
    <t xml:space="preserve"> - EKİM 2024</t>
  </si>
  <si>
    <t>TUSDATA 18/30</t>
  </si>
  <si>
    <t xml:space="preserve">Kira Adem Özen 5/12 Mrmr Ryl A Blok 82  </t>
  </si>
  <si>
    <t>ali demirel keşif için avukata denizbank havale</t>
  </si>
  <si>
    <t>Doğuş Kira 2/12-2025-26</t>
  </si>
  <si>
    <t>bankadan</t>
  </si>
  <si>
    <t>tcross pervinden 5</t>
  </si>
  <si>
    <t>Elektrik 8758480300 BAHÇE</t>
  </si>
  <si>
    <t>yasemin okul kk denizbnk -120000</t>
  </si>
  <si>
    <t>kk</t>
  </si>
  <si>
    <t>2240 vodafon</t>
  </si>
  <si>
    <t>tcross pervinden 6</t>
  </si>
  <si>
    <t>snyA 120000</t>
  </si>
  <si>
    <t>Nazan Kira ödemesi</t>
  </si>
  <si>
    <t xml:space="preserve"> 7 – 9</t>
  </si>
  <si>
    <t>pazarama umut cam teli</t>
  </si>
  <si>
    <t>mtv yb 1397</t>
  </si>
  <si>
    <t>shell tcross</t>
  </si>
  <si>
    <t>kanlıca yğrt</t>
  </si>
  <si>
    <t>fucicort</t>
  </si>
  <si>
    <t>şile yemek</t>
  </si>
  <si>
    <t>park</t>
  </si>
  <si>
    <t>şok</t>
  </si>
  <si>
    <t>migros farilya</t>
  </si>
  <si>
    <t>lc</t>
  </si>
  <si>
    <t>opet tcross</t>
  </si>
  <si>
    <t>migros emaar</t>
  </si>
  <si>
    <t>yedigöller</t>
  </si>
  <si>
    <t>erenler</t>
  </si>
  <si>
    <t>kasap</t>
  </si>
  <si>
    <t>tat pide</t>
  </si>
  <si>
    <t>vedat</t>
  </si>
  <si>
    <t>Pazar döner</t>
  </si>
  <si>
    <t>a101</t>
  </si>
  <si>
    <t>2 ad metal kesme</t>
  </si>
  <si>
    <t>2 tr çimento tzg</t>
  </si>
  <si>
    <t>adıgüzeller</t>
  </si>
  <si>
    <t>selanik pide</t>
  </si>
  <si>
    <t>EKİMe</t>
  </si>
  <si>
    <t>kasa xau iş alış                           2867,2</t>
  </si>
  <si>
    <t>kasa xau çeyrek</t>
  </si>
  <si>
    <t>kasa xau tam</t>
  </si>
  <si>
    <t xml:space="preserve"> - EYLÜL 2024</t>
  </si>
  <si>
    <t>2240 Turkcell fatura</t>
  </si>
  <si>
    <t>TUSDATA 17/30</t>
  </si>
  <si>
    <t xml:space="preserve">Kira Adem Özen 4/12 Mrmr Ryl A Blok 82  </t>
  </si>
  <si>
    <t>Doğuş Kira 1/12-2025-26</t>
  </si>
  <si>
    <t>BANKADAN</t>
  </si>
  <si>
    <t>yasemin 2 maaş 17000*2</t>
  </si>
  <si>
    <t>tcross pervinden 3</t>
  </si>
  <si>
    <t xml:space="preserve"> 2024 / 2</t>
  </si>
  <si>
    <t>deniz kk</t>
  </si>
  <si>
    <t>tcross pervinden 4</t>
  </si>
  <si>
    <t>2240 vodafone</t>
  </si>
  <si>
    <t>Doğuş Kira 7/12-2024-25 15000 - 6500 (07/03) 29-Şubattan</t>
  </si>
  <si>
    <t>t-cross kurban sinana</t>
  </si>
  <si>
    <t>snyG</t>
  </si>
  <si>
    <t>Atasun Gözlük</t>
  </si>
  <si>
    <t xml:space="preserve"> 6 – 6</t>
  </si>
  <si>
    <t xml:space="preserve">  6– 9</t>
  </si>
  <si>
    <t>THY ist uçak bileti</t>
  </si>
  <si>
    <t>THY ist uçak bileti iptal vergi iade</t>
  </si>
  <si>
    <t>kurban kızılay</t>
  </si>
  <si>
    <t xml:space="preserve"> 3 / 3</t>
  </si>
  <si>
    <t>gib</t>
  </si>
  <si>
    <t>EYLÜLe</t>
  </si>
  <si>
    <t>pervin 438-35600</t>
  </si>
  <si>
    <t xml:space="preserve"> - AĞUSTOS 2024</t>
  </si>
  <si>
    <t>iş</t>
  </si>
  <si>
    <t>TUSDATA 16/30</t>
  </si>
  <si>
    <t>umut s24</t>
  </si>
  <si>
    <t>Doğuş Kira 12/12- Mart 2024- Mart 25 Ödenmiş oldu</t>
  </si>
  <si>
    <t xml:space="preserve">Kira Adem Özen 3/12 Mrmr Ryl A Blok 82  </t>
  </si>
  <si>
    <t>tcross pervinden 1 - 30000</t>
  </si>
  <si>
    <t>Elektrik 8758480300 Bahçe</t>
  </si>
  <si>
    <t>3074 usulsuzluk 2024071001FCp0000016</t>
  </si>
  <si>
    <t>ali balcı</t>
  </si>
  <si>
    <t>3074 usulsuzluk 2024071001FCp0000017</t>
  </si>
  <si>
    <t>3074 usulsuzluk 2024071001FCp0000018</t>
  </si>
  <si>
    <t>3074 usulsuzluk 2024071001FCp0000019</t>
  </si>
  <si>
    <t>3074 usulsuzluk 2024071001FCp0000020</t>
  </si>
  <si>
    <t>3074 usulsuzluk 2024071001FCp0000021</t>
  </si>
  <si>
    <t>3074 DV 2024071001FCp0000022</t>
  </si>
  <si>
    <t>19-09 ödeme</t>
  </si>
  <si>
    <t>3074 DV 2024071001FCp0000023</t>
  </si>
  <si>
    <t>3074 DV 2024071001FCp0000024</t>
  </si>
  <si>
    <t>3074 DV 2024071901FCp0000005</t>
  </si>
  <si>
    <t>tcross pervinden 2 -5600</t>
  </si>
  <si>
    <t>snyE süleymana 22-04-2024 de verildi</t>
  </si>
  <si>
    <t xml:space="preserve"> 5 – 6</t>
  </si>
  <si>
    <t xml:space="preserve">  5– 9</t>
  </si>
  <si>
    <t>bosch matkap 500maxipuan</t>
  </si>
  <si>
    <t xml:space="preserve"> 2 / 2</t>
  </si>
  <si>
    <t xml:space="preserve"> 2 / 3</t>
  </si>
  <si>
    <t>vergi dairesi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</si>
  <si>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</si>
  <si>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</si>
  <si>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</si>
  <si>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Kızılay kurban 11750/2</t>
  </si>
  <si>
    <t>Kızılay kurban 4300*2 = 8600/2</t>
  </si>
  <si>
    <t>vergi ankara</t>
  </si>
  <si>
    <t>yaz okulu</t>
  </si>
  <si>
    <t>pide et</t>
  </si>
  <si>
    <t>tavk dnr</t>
  </si>
  <si>
    <t>motor yağı</t>
  </si>
  <si>
    <t>tat dnr</t>
  </si>
  <si>
    <t>ozcan iskndr</t>
  </si>
  <si>
    <t>petrol</t>
  </si>
  <si>
    <t>mercmk</t>
  </si>
  <si>
    <t>noter suleyman akan</t>
  </si>
  <si>
    <t>oödeme otomtk</t>
  </si>
  <si>
    <t>sofra bezi</t>
  </si>
  <si>
    <t>bim yağ</t>
  </si>
  <si>
    <t>ceviz</t>
  </si>
  <si>
    <t>cevizli yapım</t>
  </si>
  <si>
    <t>AĞUSTOSa</t>
  </si>
  <si>
    <t>iş sny umut-ortak 156</t>
  </si>
  <si>
    <t>iş TTE</t>
  </si>
  <si>
    <t xml:space="preserve">iş RNSGY </t>
  </si>
  <si>
    <t>iş KOTON</t>
  </si>
  <si>
    <t>iş LILAK</t>
  </si>
  <si>
    <t>xau iş alış                           2461,08</t>
  </si>
  <si>
    <t>usd iş satış-alış                 32,9542</t>
  </si>
  <si>
    <t>usd nakit</t>
  </si>
  <si>
    <t>eur iş alış                           35,47,85</t>
  </si>
  <si>
    <t xml:space="preserve"> - TEMMUZ 2024</t>
  </si>
  <si>
    <t>TUSDATA 15/30</t>
  </si>
  <si>
    <t>Doğuş Kira 11/12-2024-25</t>
  </si>
  <si>
    <t xml:space="preserve">Kira Adem Özen 2/12 Mrmr Ryl A Blok 82  </t>
  </si>
  <si>
    <t>AUB YGV 2.taksit</t>
  </si>
  <si>
    <t>hepsi</t>
  </si>
  <si>
    <t>ödendi</t>
  </si>
  <si>
    <t xml:space="preserve"> 4 – 6</t>
  </si>
  <si>
    <t xml:space="preserve">  4– 9</t>
  </si>
  <si>
    <t xml:space="preserve">  4 – 6</t>
  </si>
  <si>
    <t xml:space="preserve"> 1 / 2</t>
  </si>
  <si>
    <t xml:space="preserve"> 1 / 3</t>
  </si>
  <si>
    <t>vergi</t>
  </si>
  <si>
    <t>avans maximil</t>
  </si>
  <si>
    <t>hepsiburada  yasemin laptop - 21,309,98</t>
  </si>
  <si>
    <t xml:space="preserve">        6 – 6</t>
  </si>
  <si>
    <t xml:space="preserve">       5 - 6</t>
  </si>
  <si>
    <t xml:space="preserve"> 5 - 6</t>
  </si>
  <si>
    <t>yemek</t>
  </si>
  <si>
    <t>ulusu mak eksoz için</t>
  </si>
  <si>
    <t>tavukçu</t>
  </si>
  <si>
    <t>sivas döner</t>
  </si>
  <si>
    <t>sivas market</t>
  </si>
  <si>
    <t>tat lok</t>
  </si>
  <si>
    <t>inş</t>
  </si>
  <si>
    <t>çorba</t>
  </si>
  <si>
    <t>çalışkan fide</t>
  </si>
  <si>
    <t>bonus</t>
  </si>
  <si>
    <t>örükçüoğlu toyota kapak contası</t>
  </si>
  <si>
    <t>yağlı kamil</t>
  </si>
  <si>
    <t>kebap-kamil</t>
  </si>
  <si>
    <t>çörek-kamil</t>
  </si>
  <si>
    <t>çorba-kamil</t>
  </si>
  <si>
    <t>yıllık ücret</t>
  </si>
  <si>
    <t>sivas yemek</t>
  </si>
  <si>
    <t>adıgüzel market</t>
  </si>
  <si>
    <t>kkdf</t>
  </si>
  <si>
    <t>gecikme faizi bsmv</t>
  </si>
  <si>
    <t>faiz</t>
  </si>
  <si>
    <t>,</t>
  </si>
  <si>
    <t>TEMMUZa</t>
  </si>
  <si>
    <t xml:space="preserve"> - HAZİRAN 2024</t>
  </si>
  <si>
    <t>TUSDATA 14/30</t>
  </si>
  <si>
    <t>KK 5165 Denizbank artı hesaptan</t>
  </si>
  <si>
    <t>KK 5165 Denizbank nakit ödeme</t>
  </si>
  <si>
    <t>KK 4876 İşbank EUR BAKU     35,5039</t>
  </si>
  <si>
    <t>KK 4876 İşbank EUR BAKU</t>
  </si>
  <si>
    <t>Aidat Marmara Royal Site 1/12</t>
  </si>
  <si>
    <t xml:space="preserve">Kira Adem Özen 1/12 Mrmr Ryl A Blok 82 </t>
  </si>
  <si>
    <t>Kira Adem Özen 1/12 Mrmr Ryl A Blok 82</t>
  </si>
  <si>
    <t>iphone 7+ ferro 3600 mA batarya</t>
  </si>
  <si>
    <t>maaş kurban ikramiyesi</t>
  </si>
  <si>
    <t>Süleyman Elektrik</t>
  </si>
  <si>
    <t>egea</t>
  </si>
  <si>
    <t>Pazarama –</t>
  </si>
  <si>
    <t xml:space="preserve">  9 – 9</t>
  </si>
  <si>
    <t xml:space="preserve">  3 – 6</t>
  </si>
  <si>
    <t xml:space="preserve">  3 – 9</t>
  </si>
  <si>
    <t>marmara royal market</t>
  </si>
  <si>
    <t>pizza locale ist</t>
  </si>
  <si>
    <t xml:space="preserve">        5 – 6</t>
  </si>
  <si>
    <t xml:space="preserve"> 4 - 6</t>
  </si>
  <si>
    <t>ajet</t>
  </si>
  <si>
    <t>akgünler</t>
  </si>
  <si>
    <t>pegasus kıbrıs umut askerlik</t>
  </si>
  <si>
    <t>akgünler iade</t>
  </si>
  <si>
    <t>topcam</t>
  </si>
  <si>
    <t>incipark</t>
  </si>
  <si>
    <t>talbay gıda</t>
  </si>
  <si>
    <t>et pide</t>
  </si>
  <si>
    <t>x</t>
  </si>
  <si>
    <t>noter merdal kipel ihtar</t>
  </si>
  <si>
    <t>belbim metro 3 lü biniş</t>
  </si>
  <si>
    <t>havaist saw-ist</t>
  </si>
  <si>
    <t>havaist yurt dışı çıkış harcı bakü</t>
  </si>
  <si>
    <t>paşa mercimek</t>
  </si>
  <si>
    <t>kayseri</t>
  </si>
  <si>
    <t>misli puan yükleme</t>
  </si>
  <si>
    <t>ykm pegasus kıbrıs</t>
  </si>
  <si>
    <t xml:space="preserve">ykm  </t>
  </si>
  <si>
    <t>kayseri otobüs</t>
  </si>
  <si>
    <t>iskender</t>
  </si>
  <si>
    <t>benzin mağusa</t>
  </si>
  <si>
    <t>önder mağusa</t>
  </si>
  <si>
    <t>ali yakar mağusa</t>
  </si>
  <si>
    <t>ekor</t>
  </si>
  <si>
    <t>kayseri-tokat</t>
  </si>
  <si>
    <t>aşçıbaşı sivas peri ankara</t>
  </si>
  <si>
    <t>HAZİRANa</t>
  </si>
  <si>
    <t>usd iş satış-alış                 33,5088</t>
  </si>
  <si>
    <t>eur iş alış                           35,1526</t>
  </si>
  <si>
    <t xml:space="preserve"> - MAYIS 2024</t>
  </si>
  <si>
    <t>TUSDATA 13/30</t>
  </si>
  <si>
    <t>işbank</t>
  </si>
  <si>
    <t>AUB usulsüzlük cezası Ali Demirel Damga vergisi için</t>
  </si>
  <si>
    <t>2-4 te ödendi</t>
  </si>
  <si>
    <t>Aidat Marmara Royal Site 12/12</t>
  </si>
  <si>
    <t>Kira Adem Özen 12/12 Mrmr Ryl A Blok 82</t>
  </si>
  <si>
    <t>Doğuş Kira 10/12-2024-25</t>
  </si>
  <si>
    <t xml:space="preserve"> 2 – 6</t>
  </si>
  <si>
    <t xml:space="preserve">  2– 9</t>
  </si>
  <si>
    <t xml:space="preserve"> 2 – 9</t>
  </si>
  <si>
    <t xml:space="preserve">  2 – 6</t>
  </si>
  <si>
    <t>pazarama bosch gsb 12v30 2295,18 - 740 maxipuan</t>
  </si>
  <si>
    <t xml:space="preserve">  1 – 9</t>
  </si>
  <si>
    <t>market</t>
  </si>
  <si>
    <t>gib vergi</t>
  </si>
  <si>
    <t>kafe356</t>
  </si>
  <si>
    <t xml:space="preserve">        4 – 6</t>
  </si>
  <si>
    <t xml:space="preserve"> 3 - 6</t>
  </si>
  <si>
    <t>et bahçe</t>
  </si>
  <si>
    <t>gaz kamil</t>
  </si>
  <si>
    <t>audi lastik değşm</t>
  </si>
  <si>
    <t>ajet tjk-saw azerbaycan</t>
  </si>
  <si>
    <t>azarbeijan airlines ist-baku-ist</t>
  </si>
  <si>
    <t>selanik yemek</t>
  </si>
  <si>
    <t>MAYISa</t>
  </si>
  <si>
    <t xml:space="preserve"> - NİSAN 2024</t>
  </si>
  <si>
    <t xml:space="preserve">TUSDATA 12/30 </t>
  </si>
  <si>
    <t>dnz kk</t>
  </si>
  <si>
    <t>Aidat Marmara Royal Site 11/12</t>
  </si>
  <si>
    <t>Ablama bayram öncesi (iş 5gr)</t>
  </si>
  <si>
    <t>AUB YGV 1.taksit</t>
  </si>
  <si>
    <t>2-5 vadeli idi</t>
  </si>
  <si>
    <t>Doğuş Kira 8/12-2024-25     30 Marttan</t>
  </si>
  <si>
    <t>SGK bayramlık</t>
  </si>
  <si>
    <t>Kira Adem Özen 11/12 Mrmr Ryl A Blok 82</t>
  </si>
  <si>
    <t xml:space="preserve">snyF Merdal Kipel bankadan ödeme </t>
  </si>
  <si>
    <t>Devlet 142,24</t>
  </si>
  <si>
    <t>lihkab ücreti - tuzgümrüğü ölçüm</t>
  </si>
  <si>
    <t>snyE Kira Bedeli Süleyman Akan</t>
  </si>
  <si>
    <t>işbank umut ortak hesabe KİRA BEDELİ</t>
  </si>
  <si>
    <t>snyE Kira Bedeli İADE Cihan ÇAM</t>
  </si>
  <si>
    <t>Yasemin + bayram</t>
  </si>
  <si>
    <t>Umut + bayram</t>
  </si>
  <si>
    <t>Doğuş Kira 9/12-2024-25</t>
  </si>
  <si>
    <t>snyE senet  5/5   7000 ödenmedi kiracı değişti</t>
  </si>
  <si>
    <t>umuta havale</t>
  </si>
  <si>
    <t xml:space="preserve"> 1 – 6</t>
  </si>
  <si>
    <t xml:space="preserve">  1 – 6</t>
  </si>
  <si>
    <t xml:space="preserve">  1– 9</t>
  </si>
  <si>
    <t>kofteci</t>
  </si>
  <si>
    <t>atasun yakın gözlük sigorta</t>
  </si>
  <si>
    <t>peri bilet kayseri</t>
  </si>
  <si>
    <t>benzin çapa</t>
  </si>
  <si>
    <t>et</t>
  </si>
  <si>
    <t>led-fiş aksoy</t>
  </si>
  <si>
    <t>kk ücret</t>
  </si>
  <si>
    <t>pazarama online indirim</t>
  </si>
  <si>
    <t>amazon coreliquid 240r 3201TL-Arctic Fan 399TL</t>
  </si>
  <si>
    <t xml:space="preserve">         6 – 6</t>
  </si>
  <si>
    <t xml:space="preserve">        3 – 6</t>
  </si>
  <si>
    <r>
      <rPr>
        <b/>
        <sz val="10"/>
        <color rgb="FF000000"/>
        <rFont val="Liberation Sans1"/>
        <charset val="162"/>
      </rP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</si>
  <si>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 xml:space="preserve"> 2 - 6</t>
  </si>
  <si>
    <t>örükçüoğlu audi porya</t>
  </si>
  <si>
    <t>NİSANa</t>
  </si>
  <si>
    <t>125000*0,880976</t>
  </si>
  <si>
    <t xml:space="preserve"> - MART 2024</t>
  </si>
  <si>
    <t>TUSDATA 11/30</t>
  </si>
  <si>
    <t>Aidat Marmara Royal Site 10/12</t>
  </si>
  <si>
    <t>alumba gss prim borcu</t>
  </si>
  <si>
    <t>iş havale</t>
  </si>
  <si>
    <t>Kira Adem Özen 10/12 Mrmr Ryl A Blok 82</t>
  </si>
  <si>
    <t>Doğuş Kira 7/12-2024-25</t>
  </si>
  <si>
    <t>yasemin okul -65000 deniz kk ile</t>
  </si>
  <si>
    <t>Tuzgümrüğü kira</t>
  </si>
  <si>
    <t>Hurdacı Elektrik                  32,42 1. aydan ekleNDİ</t>
  </si>
  <si>
    <t>Merdal                                 90,58 2. aydan düş</t>
  </si>
  <si>
    <t xml:space="preserve"> 6 – 9</t>
  </si>
  <si>
    <t>Amazon -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</si>
  <si>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</si>
  <si>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</si>
  <si>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</si>
  <si>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</si>
  <si>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</si>
  <si>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</si>
  <si>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</si>
  <si>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</si>
  <si>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</si>
  <si>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</si>
  <si>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</si>
  <si>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</si>
  <si>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</si>
  <si>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</si>
  <si>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</si>
  <si>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</si>
  <si>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</si>
  <si>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</si>
  <si>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</si>
  <si>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</si>
  <si>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</si>
  <si>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>ceza dr184 sungurlu</t>
  </si>
  <si>
    <t>MART</t>
  </si>
  <si>
    <t>umut   29,500 yasemin okul iadesi</t>
  </si>
  <si>
    <t>125000*1,034036</t>
  </si>
  <si>
    <t>ALVES</t>
  </si>
  <si>
    <t>12*19,45</t>
  </si>
  <si>
    <t>LMKDC</t>
  </si>
  <si>
    <t>36*38</t>
  </si>
  <si>
    <t>OBAMS</t>
  </si>
  <si>
    <t>15*39,24</t>
  </si>
  <si>
    <t>MOGAN</t>
  </si>
  <si>
    <t>xau iş alış                           2087,56</t>
  </si>
  <si>
    <t>usd iş satış-alış                 31,6936</t>
  </si>
  <si>
    <t>eur iş alış                           34,2704</t>
  </si>
  <si>
    <t xml:space="preserve"> - ŞUBAT 2024</t>
  </si>
  <si>
    <t>TUSDATA 10/30</t>
  </si>
  <si>
    <t>TUSDATA 10/30 - 20-30 * 11 adet senet ödemesi (şubat 2 kez ödendi yanlışlıkla)</t>
  </si>
  <si>
    <t xml:space="preserve">Doğuş Kira 6/12-2024-25 </t>
  </si>
  <si>
    <t>Kira Adem Özen 9/12 Mrmr Ryl A Blok 82</t>
  </si>
  <si>
    <t>maaş ocak ayı EK ödeme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</si>
  <si>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</si>
  <si>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</si>
  <si>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devlet 16,62</t>
  </si>
  <si>
    <t>devlet 138,75</t>
  </si>
  <si>
    <t>snyE senet  5/5   7- 7 =         0 kalan</t>
  </si>
  <si>
    <t>Merdal                                         fazla havale</t>
  </si>
  <si>
    <t>Pazarama – i7-13700 + KC3000-512gb</t>
  </si>
  <si>
    <t xml:space="preserve"> 9 – 9</t>
  </si>
  <si>
    <t xml:space="preserve"> 5 – 9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</si>
  <si>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</si>
  <si>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</si>
  <si>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</si>
  <si>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</si>
  <si>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</si>
  <si>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</si>
  <si>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</si>
  <si>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</si>
  <si>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</si>
  <si>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</si>
  <si>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</si>
  <si>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</si>
  <si>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ist sucuk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</si>
  <si>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</si>
  <si>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</si>
  <si>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</si>
  <si>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</si>
  <si>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</si>
  <si>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</si>
  <si>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</si>
  <si>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</si>
  <si>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ŞUBAT</t>
  </si>
  <si>
    <t>umut   15+15=30000 yasemin okul iadesi</t>
  </si>
  <si>
    <t>57 * 576,588071</t>
  </si>
  <si>
    <t>36*28,66</t>
  </si>
  <si>
    <t xml:space="preserve"> - OCAK 2024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</si>
  <si>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</si>
  <si>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</si>
  <si>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</si>
  <si>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</si>
  <si>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</si>
  <si>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Doğuş Kira 6/12-2024-25</t>
  </si>
  <si>
    <t>Kira snyE senet 4/5 13- 6 = 7000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</si>
  <si>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</si>
  <si>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</si>
  <si>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</si>
  <si>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</si>
  <si>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</si>
  <si>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</si>
  <si>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</si>
  <si>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</si>
  <si>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Hurdacı Elektrik     32,42 eksik</t>
  </si>
  <si>
    <t>Merdal         382789 havale</t>
  </si>
  <si>
    <t>8 – 9</t>
  </si>
  <si>
    <t xml:space="preserve"> 4 – 9</t>
  </si>
  <si>
    <t>al nlbry bosch gal12-40 şarj</t>
  </si>
  <si>
    <t xml:space="preserve"> 10 – 10</t>
  </si>
  <si>
    <t xml:space="preserve">        4  – 6</t>
  </si>
  <si>
    <t xml:space="preserve">        1 – 3</t>
  </si>
  <si>
    <t>emrar arar tokat ?</t>
  </si>
  <si>
    <t>izzet çağlar tokat ?</t>
  </si>
  <si>
    <t>et ev</t>
  </si>
  <si>
    <t>kasap zeki tokat ?</t>
  </si>
  <si>
    <t>snycd noter ihtar süre bitimi</t>
  </si>
  <si>
    <t>erenler ev</t>
  </si>
  <si>
    <t>OCAK</t>
  </si>
  <si>
    <t>umut   250 usd * 30,97 = 7742,5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</si>
  <si>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</si>
  <si>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</si>
  <si>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</si>
  <si>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</si>
  <si>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</si>
  <si>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</si>
  <si>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</si>
  <si>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</si>
  <si>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</si>
  <si>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</si>
  <si>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</si>
  <si>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</si>
  <si>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</si>
  <si>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</si>
  <si>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</si>
  <si>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</si>
  <si>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</si>
  <si>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</si>
  <si>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</si>
  <si>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</si>
  <si>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</si>
  <si>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</si>
  <si>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xau</t>
  </si>
  <si>
    <t>usd</t>
  </si>
  <si>
    <t>eur</t>
  </si>
  <si>
    <t>kasa</t>
  </si>
  <si>
    <t>Peri</t>
  </si>
  <si>
    <t>dil kurs havale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</si>
  <si>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</si>
  <si>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</si>
  <si>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</si>
  <si>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</si>
  <si>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</si>
  <si>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</si>
  <si>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</si>
  <si>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</si>
  <si>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</si>
  <si>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</si>
  <si>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</si>
  <si>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</si>
  <si>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</si>
  <si>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</si>
  <si>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</si>
  <si>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</si>
  <si>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</si>
  <si>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</si>
  <si>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</si>
  <si>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</si>
  <si>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</si>
  <si>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</si>
  <si>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</si>
  <si>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</si>
  <si>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</si>
  <si>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</si>
  <si>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</si>
  <si>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</si>
  <si>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</si>
  <si>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</si>
  <si>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</si>
  <si>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</si>
  <si>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</si>
  <si>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</si>
  <si>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</si>
  <si>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</si>
  <si>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</si>
  <si>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</si>
  <si>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</si>
  <si>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</si>
  <si>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</si>
  <si>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</si>
  <si>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</si>
  <si>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</si>
  <si>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</si>
  <si>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</si>
  <si>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</si>
  <si>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</si>
  <si>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BAKIYE</t>
  </si>
  <si>
    <t>2023 YILI NAZAN BALCI</t>
  </si>
  <si>
    <t>Yapılacak</t>
  </si>
  <si>
    <t>Kalacak</t>
  </si>
  <si>
    <t>Yapılan</t>
  </si>
  <si>
    <t>Kalan</t>
  </si>
  <si>
    <t>Ödeme</t>
  </si>
  <si>
    <t>2023 yıl sonu nazan kira geliri</t>
  </si>
  <si>
    <t>2024 yılı Toplam</t>
  </si>
  <si>
    <t>denizbanka</t>
  </si>
  <si>
    <t>nazan havale</t>
  </si>
  <si>
    <t>ödenmedi</t>
  </si>
  <si>
    <t>Hisse Oranı</t>
  </si>
  <si>
    <t>Tarih</t>
  </si>
  <si>
    <t>Açıklama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</si>
  <si>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</si>
  <si>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</si>
  <si>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</si>
  <si>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</si>
  <si>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</si>
  <si>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</si>
  <si>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</si>
  <si>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</si>
  <si>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</si>
  <si>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</si>
  <si>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</si>
  <si>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</si>
  <si>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</si>
  <si>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</si>
  <si>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</si>
  <si>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</si>
  <si>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</si>
  <si>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</si>
  <si>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</si>
  <si>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</si>
  <si>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</si>
  <si>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</si>
  <si>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</si>
  <si>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</si>
  <si>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</si>
  <si>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</si>
  <si>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</si>
  <si>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</si>
  <si>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</si>
  <si>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</si>
  <si>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</si>
  <si>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</si>
  <si>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</si>
  <si>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</si>
  <si>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</si>
  <si>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</si>
  <si>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</si>
  <si>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</si>
  <si>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</si>
  <si>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</si>
  <si>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</si>
  <si>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</si>
  <si>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</si>
  <si>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</si>
  <si>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</si>
  <si>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</si>
  <si>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</si>
  <si>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</si>
  <si>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</si>
  <si>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</si>
  <si>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</si>
  <si>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3 – 9</t>
  </si>
  <si>
    <t xml:space="preserve"> 3 – 6</t>
  </si>
  <si>
    <t xml:space="preserve">        3  – 6</t>
  </si>
  <si>
    <t xml:space="preserve">         2 – 6</t>
  </si>
  <si>
    <t>yeğenbey toyota ceza</t>
  </si>
  <si>
    <t>sebze yağ</t>
  </si>
  <si>
    <t>ayfer kurt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</si>
  <si>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</si>
  <si>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</si>
  <si>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</si>
  <si>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</si>
  <si>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</si>
  <si>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</si>
  <si>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</si>
  <si>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</si>
  <si>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</si>
  <si>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</si>
  <si>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</si>
  <si>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</si>
  <si>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</si>
  <si>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</si>
  <si>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</si>
  <si>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</si>
  <si>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</si>
  <si>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</si>
  <si>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</si>
  <si>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</si>
  <si>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</si>
  <si>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</si>
  <si>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</si>
  <si>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</si>
  <si>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</si>
  <si>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</si>
  <si>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</si>
  <si>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</si>
  <si>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</si>
  <si>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</si>
  <si>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</si>
  <si>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</si>
  <si>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</si>
  <si>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</si>
  <si>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</si>
  <si>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</si>
  <si>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</si>
  <si>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</si>
  <si>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</si>
  <si>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</si>
  <si>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</si>
  <si>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</si>
  <si>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</si>
  <si>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</si>
  <si>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</si>
  <si>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</si>
  <si>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</si>
  <si>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</si>
  <si>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</si>
  <si>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</si>
  <si>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</si>
  <si>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</si>
  <si>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</si>
  <si>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</si>
  <si>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</si>
  <si>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</si>
  <si>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</si>
  <si>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</si>
  <si>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</si>
  <si>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</si>
  <si>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</si>
  <si>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</si>
  <si>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</si>
  <si>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</si>
  <si>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</si>
  <si>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</si>
  <si>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</si>
  <si>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</si>
  <si>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</si>
  <si>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</si>
  <si>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</si>
  <si>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</si>
  <si>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</si>
  <si>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</si>
  <si>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</si>
  <si>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</si>
  <si>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</si>
  <si>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</si>
  <si>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</si>
  <si>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</si>
  <si>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</si>
  <si>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</si>
  <si>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</si>
  <si>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</si>
  <si>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</si>
  <si>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</si>
  <si>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</si>
  <si>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</si>
  <si>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</si>
  <si>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</si>
  <si>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</si>
  <si>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</si>
  <si>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</si>
  <si>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</si>
  <si>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</si>
  <si>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</si>
  <si>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</si>
  <si>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</si>
  <si>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</si>
  <si>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</si>
  <si>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</si>
  <si>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</si>
  <si>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</si>
  <si>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</si>
  <si>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</si>
  <si>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</si>
  <si>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</si>
  <si>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</si>
  <si>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</si>
  <si>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</si>
  <si>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</si>
  <si>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</si>
  <si>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</si>
  <si>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</si>
  <si>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</si>
  <si>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</si>
  <si>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</si>
  <si>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</si>
  <si>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</si>
  <si>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</si>
  <si>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</si>
  <si>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</si>
  <si>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</si>
  <si>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</si>
  <si>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</si>
  <si>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</si>
  <si>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</si>
  <si>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</si>
  <si>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</si>
  <si>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</si>
  <si>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</si>
  <si>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</si>
  <si>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</si>
  <si>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</si>
  <si>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bsmv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</si>
  <si>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</si>
  <si>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</si>
  <si>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</si>
  <si>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</si>
  <si>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</si>
  <si>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</si>
  <si>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</si>
  <si>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</si>
  <si>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</si>
  <si>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</si>
  <si>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</si>
  <si>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</si>
  <si>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</si>
  <si>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</si>
  <si>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</si>
  <si>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</si>
  <si>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</si>
  <si>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</si>
  <si>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</si>
  <si>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</si>
  <si>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</si>
  <si>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</si>
  <si>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</si>
  <si>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</si>
  <si>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</si>
  <si>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</si>
  <si>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</si>
  <si>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</si>
  <si>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</si>
  <si>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</si>
  <si>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</si>
  <si>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</si>
  <si>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</si>
  <si>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</si>
  <si>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</si>
  <si>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</si>
  <si>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</si>
  <si>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</si>
  <si>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</si>
  <si>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</si>
  <si>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</si>
  <si>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</si>
  <si>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</si>
  <si>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</si>
  <si>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</si>
  <si>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</si>
  <si>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</si>
  <si>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</si>
  <si>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</si>
  <si>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</si>
  <si>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</si>
  <si>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</si>
  <si>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</si>
  <si>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</si>
  <si>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</si>
  <si>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</si>
  <si>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</si>
  <si>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</si>
  <si>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</si>
  <si>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</si>
  <si>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</si>
  <si>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</si>
  <si>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</si>
  <si>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</si>
  <si>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</si>
  <si>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</si>
  <si>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</si>
  <si>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</si>
  <si>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</si>
  <si>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</si>
  <si>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</si>
  <si>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</si>
  <si>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</si>
  <si>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</si>
  <si>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</si>
  <si>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</si>
  <si>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</si>
  <si>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</si>
  <si>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</si>
  <si>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</si>
  <si>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</si>
  <si>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</si>
  <si>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</si>
  <si>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</si>
  <si>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</si>
  <si>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</si>
  <si>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</si>
  <si>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</si>
  <si>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</si>
  <si>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</si>
  <si>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</si>
  <si>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</si>
  <si>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</si>
  <si>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</si>
  <si>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</si>
  <si>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</si>
  <si>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</si>
  <si>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</si>
  <si>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</si>
  <si>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</si>
  <si>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</si>
  <si>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</si>
  <si>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</si>
  <si>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</si>
  <si>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</si>
  <si>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</si>
  <si>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</si>
  <si>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</si>
  <si>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</si>
  <si>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</si>
  <si>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</si>
  <si>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</si>
  <si>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</si>
  <si>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</si>
  <si>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</si>
  <si>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</si>
  <si>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</si>
  <si>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</si>
  <si>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</si>
  <si>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</si>
  <si>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</si>
  <si>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</si>
  <si>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</si>
  <si>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</si>
  <si>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</si>
  <si>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</si>
  <si>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</si>
  <si>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</si>
  <si>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</si>
  <si>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</si>
  <si>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</si>
  <si>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</si>
  <si>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</si>
  <si>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</si>
  <si>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</si>
  <si>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</si>
  <si>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</si>
  <si>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</si>
  <si>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</si>
  <si>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</si>
  <si>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</si>
  <si>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</si>
  <si>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</si>
  <si>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</si>
  <si>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</si>
  <si>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</si>
  <si>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</si>
  <si>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</si>
  <si>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</si>
  <si>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</si>
  <si>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</si>
  <si>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</si>
  <si>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</si>
  <si>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</si>
  <si>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</si>
  <si>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</si>
  <si>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</si>
  <si>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</si>
  <si>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</si>
  <si>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</si>
  <si>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</si>
  <si>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</si>
  <si>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</si>
  <si>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</si>
  <si>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</si>
  <si>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</si>
  <si>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</si>
  <si>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</si>
  <si>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</si>
  <si>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</si>
  <si>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</si>
  <si>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</si>
  <si>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</si>
  <si>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</si>
  <si>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</si>
  <si>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</si>
  <si>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</si>
  <si>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</si>
  <si>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</si>
  <si>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</si>
  <si>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</si>
  <si>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</si>
  <si>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</si>
  <si>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</si>
  <si>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</si>
  <si>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</si>
  <si>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</si>
  <si>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</si>
  <si>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</si>
  <si>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</si>
  <si>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</si>
  <si>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</si>
  <si>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</si>
  <si>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</si>
  <si>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</si>
  <si>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</si>
  <si>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</si>
  <si>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</si>
  <si>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</si>
  <si>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</si>
  <si>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</si>
  <si>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</si>
  <si>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</si>
  <si>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</si>
  <si>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</si>
  <si>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</si>
  <si>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</si>
  <si>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</si>
  <si>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</si>
  <si>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</si>
  <si>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</si>
  <si>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</si>
  <si>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</si>
  <si>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</si>
  <si>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</si>
  <si>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</si>
  <si>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</si>
  <si>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</si>
  <si>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</si>
  <si>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</si>
  <si>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</si>
  <si>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</si>
  <si>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</si>
  <si>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</si>
  <si>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</si>
  <si>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</si>
  <si>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</si>
  <si>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</si>
  <si>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</si>
  <si>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</si>
  <si>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</si>
  <si>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</si>
  <si>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</si>
  <si>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</si>
  <si>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</si>
  <si>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</si>
  <si>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</si>
  <si>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</si>
  <si>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</si>
  <si>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</si>
  <si>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</si>
  <si>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</si>
  <si>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</si>
  <si>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</si>
  <si>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</si>
  <si>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</si>
  <si>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</si>
  <si>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</si>
  <si>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</si>
  <si>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erenler pide 12- k13</t>
  </si>
  <si>
    <t>2022 Ocak  Devir</t>
  </si>
  <si>
    <t>Ocak çıkışı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</si>
  <si>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</si>
  <si>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</si>
  <si>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</si>
  <si>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</si>
  <si>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</si>
  <si>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</si>
  <si>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</si>
  <si>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</si>
  <si>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</si>
  <si>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</si>
  <si>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</si>
  <si>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</si>
  <si>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</si>
  <si>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</si>
  <si>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</si>
  <si>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</si>
  <si>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</si>
  <si>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</si>
  <si>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</si>
  <si>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</si>
  <si>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</si>
  <si>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</si>
  <si>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</si>
  <si>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</si>
  <si>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</si>
  <si>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</si>
  <si>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</si>
  <si>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</si>
  <si>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</si>
  <si>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</si>
  <si>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</si>
  <si>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</si>
  <si>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</si>
  <si>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</si>
  <si>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</si>
  <si>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</si>
  <si>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</si>
  <si>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</si>
  <si>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</si>
  <si>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</si>
  <si>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</si>
  <si>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</si>
  <si>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</si>
  <si>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</si>
  <si>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</si>
  <si>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</si>
  <si>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</si>
  <si>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</si>
  <si>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</si>
  <si>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</si>
  <si>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</si>
  <si>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</si>
  <si>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</si>
  <si>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</si>
  <si>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</si>
  <si>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</si>
  <si>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</si>
  <si>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</si>
  <si>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</si>
  <si>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</si>
  <si>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</si>
  <si>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</si>
  <si>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</si>
  <si>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</si>
  <si>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</si>
  <si>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</si>
  <si>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</si>
  <si>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</si>
  <si>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</si>
  <si>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</si>
  <si>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</si>
  <si>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</si>
  <si>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</si>
  <si>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</si>
  <si>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</si>
  <si>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</si>
  <si>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</si>
  <si>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</si>
  <si>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</si>
  <si>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</si>
  <si>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</si>
  <si>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</si>
  <si>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</si>
  <si>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</si>
  <si>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</si>
  <si>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</si>
  <si>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</si>
  <si>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</si>
  <si>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</si>
  <si>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</si>
  <si>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</si>
  <si>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</si>
  <si>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</si>
  <si>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</si>
  <si>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</si>
  <si>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</si>
  <si>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</si>
  <si>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</si>
  <si>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</si>
  <si>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</si>
  <si>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</si>
  <si>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</si>
  <si>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</si>
  <si>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</si>
  <si>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</si>
  <si>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</si>
  <si>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</si>
  <si>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</si>
  <si>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</si>
  <si>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</si>
  <si>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</si>
  <si>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</si>
  <si>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</si>
  <si>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</si>
  <si>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</si>
  <si>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</si>
  <si>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</si>
  <si>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</si>
  <si>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</si>
  <si>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</si>
  <si>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</si>
  <si>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</si>
  <si>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</si>
  <si>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</si>
  <si>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</si>
  <si>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</si>
  <si>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</si>
  <si>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</si>
  <si>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</si>
  <si>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</si>
  <si>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</si>
  <si>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</si>
  <si>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</si>
  <si>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</si>
  <si>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</si>
  <si>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</si>
  <si>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</si>
  <si>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</si>
  <si>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</si>
  <si>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</si>
  <si>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</si>
  <si>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</si>
  <si>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</si>
  <si>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</si>
  <si>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</si>
  <si>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</si>
  <si>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</si>
  <si>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</si>
  <si>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</si>
  <si>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</si>
  <si>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</si>
  <si>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</si>
  <si>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</si>
  <si>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</si>
  <si>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</si>
  <si>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</si>
  <si>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</si>
  <si>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</si>
  <si>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</si>
  <si>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</si>
  <si>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</si>
  <si>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</si>
  <si>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</si>
  <si>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</si>
  <si>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</si>
  <si>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</si>
  <si>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</si>
  <si>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</si>
  <si>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</si>
  <si>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</si>
  <si>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</si>
  <si>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</si>
  <si>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</si>
  <si>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</si>
  <si>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</si>
  <si>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</si>
  <si>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</si>
  <si>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</si>
  <si>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</si>
  <si>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</si>
  <si>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</si>
  <si>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</si>
  <si>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</si>
  <si>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</si>
  <si>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</si>
  <si>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</si>
  <si>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</si>
  <si>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</si>
  <si>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</si>
  <si>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</si>
  <si>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</si>
  <si>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</si>
  <si>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</si>
  <si>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</si>
  <si>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</si>
  <si>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</si>
  <si>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</si>
  <si>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</si>
  <si>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</si>
  <si>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</si>
  <si>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</si>
  <si>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</si>
  <si>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</si>
  <si>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</si>
  <si>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</si>
  <si>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</si>
  <si>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</si>
  <si>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</si>
  <si>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</si>
  <si>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</si>
  <si>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</si>
  <si>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</si>
  <si>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</si>
  <si>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</si>
  <si>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</si>
  <si>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</si>
  <si>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</si>
  <si>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</si>
  <si>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</si>
  <si>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</si>
  <si>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</si>
  <si>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</si>
  <si>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</si>
  <si>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</si>
  <si>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</si>
  <si>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</si>
  <si>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</si>
  <si>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</si>
  <si>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</si>
  <si>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</si>
  <si>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</si>
  <si>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</si>
  <si>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</si>
  <si>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</si>
  <si>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</si>
  <si>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</si>
  <si>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</si>
  <si>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</si>
  <si>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</si>
  <si>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</si>
  <si>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</si>
  <si>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</si>
  <si>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</si>
  <si>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</si>
  <si>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</si>
  <si>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</si>
  <si>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</si>
  <si>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</si>
  <si>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</si>
  <si>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</si>
  <si>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</si>
  <si>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</si>
  <si>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</si>
  <si>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</si>
  <si>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</si>
  <si>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</si>
  <si>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</si>
  <si>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</si>
  <si>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</si>
  <si>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</si>
  <si>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</si>
  <si>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</si>
  <si>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</si>
  <si>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</si>
  <si>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Doğuş Kira 5/12-2025-26 bankadan</t>
  </si>
  <si>
    <t>bankadan havale</t>
  </si>
  <si>
    <t>Taksit 9/12 - 36500</t>
  </si>
  <si>
    <t>Taksit 10/12 - 36500</t>
  </si>
  <si>
    <t>Taksit 11/12 - 36500</t>
  </si>
  <si>
    <t>Taksit 12/12 - 36500</t>
  </si>
  <si>
    <t>sivas benzin</t>
  </si>
  <si>
    <t xml:space="preserve">Kira Adem Özen 8/12 Mrmr Ryl A Blok 82  </t>
  </si>
  <si>
    <t xml:space="preserve">Kira Adem Özen 9/12 Mrmr Ryl A Blok 82  </t>
  </si>
  <si>
    <t xml:space="preserve">Kira Adem Özen 10/12 Mrmr Ryl A Blok 82  </t>
  </si>
  <si>
    <t xml:space="preserve">Kira Adem Özen 11/12 Mrmr Ryl A Blok 82  </t>
  </si>
  <si>
    <t xml:space="preserve">Kira Adem Özen 12/12 Mrmr Ryl A Blok 82  </t>
  </si>
  <si>
    <t xml:space="preserve">Kira Adem Özen 1/12 Mrmr Ryl A Blok 82  </t>
  </si>
  <si>
    <t xml:space="preserve"> 2024 / 8/9</t>
  </si>
  <si>
    <t xml:space="preserve"> 2024 / 5/9</t>
  </si>
  <si>
    <t xml:space="preserve"> 2024 / 6/9</t>
  </si>
  <si>
    <t>turknet yıllık internet</t>
  </si>
  <si>
    <t>yasemin 24 ocak için</t>
  </si>
  <si>
    <t>İş ytrm 1626748 THYAO</t>
  </si>
  <si>
    <t>iş ytrm ALTIN.S1                          30,86</t>
  </si>
  <si>
    <t>iş ytrm ALTIN.S1                                32,48</t>
  </si>
  <si>
    <t>İş ytrm 1626748 801 STOPAJ</t>
  </si>
  <si>
    <t>iş ytrm 382789 801                          nzn</t>
  </si>
  <si>
    <t>merc çorca</t>
  </si>
  <si>
    <t>pegasus kıbrıs umut mezuniyet peri-atila-hc kysr</t>
  </si>
  <si>
    <t>pegasus kıbrıs umut mezuniyet ayşe ist</t>
  </si>
  <si>
    <t>pegasus kıbrıs umut mezuniyet yasemin ist</t>
  </si>
  <si>
    <t>tvk knt</t>
  </si>
  <si>
    <t>tvk dnr</t>
  </si>
  <si>
    <t>dnr</t>
  </si>
  <si>
    <t>topçam istanbul tasemin karakol</t>
  </si>
  <si>
    <t xml:space="preserve">mola </t>
  </si>
  <si>
    <t>ymk ysmn</t>
  </si>
  <si>
    <t>penti pijama</t>
  </si>
  <si>
    <t>emar yemek</t>
  </si>
  <si>
    <t>emar yemek çocuklar</t>
  </si>
  <si>
    <t>pegasus iade</t>
  </si>
  <si>
    <t>pegasus yasemin indirimli</t>
  </si>
  <si>
    <t>mrcmk çorba</t>
  </si>
  <si>
    <t>uöut klavye mouse n11</t>
  </si>
  <si>
    <t>peri çiçek</t>
  </si>
  <si>
    <t>lcw kot</t>
  </si>
  <si>
    <t>pideci mustafa</t>
  </si>
  <si>
    <t>kkasap</t>
  </si>
  <si>
    <t>cevizli</t>
  </si>
  <si>
    <t>mrkt bonustan</t>
  </si>
  <si>
    <t>ahmet alp karne</t>
  </si>
  <si>
    <t>BELEDİYE sanayi sayaç 5-6 taksitler</t>
  </si>
  <si>
    <t>belediye ayşe balcı</t>
  </si>
  <si>
    <t>belediye hmb 2024 emlak-su</t>
  </si>
  <si>
    <t>emlak vergileri İŞ KK İLE ÖDENDİ AYŞE-HMB - PERİ BORC YOK</t>
  </si>
  <si>
    <t>BELEDİYE PERİ BORÇ YOK</t>
  </si>
  <si>
    <t>voda 2240</t>
  </si>
  <si>
    <t xml:space="preserve">turknet 12 aylık internet </t>
  </si>
  <si>
    <t xml:space="preserve"> 6 taksit</t>
  </si>
  <si>
    <t>aylık fiyat</t>
  </si>
  <si>
    <t>6 ayda  ödenecek</t>
  </si>
  <si>
    <t>fazla ödeme</t>
  </si>
  <si>
    <t>turknet 12 aylık internet + 299,90 fazla ödeme</t>
  </si>
  <si>
    <t>MART 2025 e</t>
  </si>
  <si>
    <t>İş ytrm 1626748 801                  satış 25</t>
  </si>
  <si>
    <t>İş ytrm 1626748 801                   satış 9</t>
  </si>
  <si>
    <t>İş ytrm 1626748 801          ali demirel avukatlık</t>
  </si>
  <si>
    <t>İş ytrm 1626748 801   deniz kk</t>
  </si>
  <si>
    <t>emrullah özere - ali demirel avukatlık ücreti</t>
  </si>
  <si>
    <t>kayseri havalanı otopark</t>
  </si>
  <si>
    <t>elmacıoğlu iskender</t>
  </si>
  <si>
    <t>havalanı fazla kilo</t>
  </si>
  <si>
    <t>eziç yenek</t>
  </si>
  <si>
    <r>
      <t xml:space="preserve">TUSDATA 2025    21/30   1*8595 = 8595-250 = </t>
    </r>
    <r>
      <rPr>
        <b/>
        <u/>
        <sz val="10"/>
        <color rgb="FF000000"/>
        <rFont val="Arial"/>
        <family val="2"/>
        <charset val="162"/>
      </rPr>
      <t>8345</t>
    </r>
  </si>
  <si>
    <r>
      <t>TUSDATA 2025    22/30   79605 -</t>
    </r>
    <r>
      <rPr>
        <b/>
        <u/>
        <sz val="10"/>
        <color rgb="FF000000"/>
        <rFont val="Arial"/>
        <family val="2"/>
        <charset val="162"/>
      </rPr>
      <t xml:space="preserve"> 8845</t>
    </r>
    <r>
      <rPr>
        <sz val="10"/>
        <color rgb="FF000000"/>
        <rFont val="Arial"/>
        <family val="2"/>
        <charset val="162"/>
      </rPr>
      <t xml:space="preserve"> = 70760</t>
    </r>
  </si>
  <si>
    <t>2025 01 tüfe</t>
  </si>
  <si>
    <t>doğuş</t>
  </si>
  <si>
    <t>march benzin umut mezuniyet</t>
  </si>
  <si>
    <t>İş ytrm 1626748 801          adem özen kira</t>
  </si>
  <si>
    <t>İş ytrm 1626748 801                 satış 21</t>
  </si>
  <si>
    <t>umut passtrm</t>
  </si>
  <si>
    <t>ksp</t>
  </si>
  <si>
    <t>coşkun giyim mont-pant</t>
  </si>
  <si>
    <t>kanat</t>
  </si>
  <si>
    <t>tv-kağıt-hvl</t>
  </si>
  <si>
    <t>aof 4. dönem ücreti</t>
  </si>
  <si>
    <t>ali demirel ihtar noter msrf için av. Emrullaha havale</t>
  </si>
  <si>
    <t>A101</t>
  </si>
  <si>
    <t>EMRAR ARAR</t>
  </si>
  <si>
    <t xml:space="preserve">pide   </t>
  </si>
  <si>
    <t>bahçe benzin</t>
  </si>
  <si>
    <t>tantuni</t>
  </si>
  <si>
    <t>DAU yasemin okul</t>
  </si>
  <si>
    <t xml:space="preserve"> 2024 / 7/9 iş kk</t>
  </si>
  <si>
    <t>NİSAN 2025 e</t>
  </si>
  <si>
    <t>vodafone 2240</t>
  </si>
  <si>
    <t>kar</t>
  </si>
  <si>
    <t>satış</t>
  </si>
  <si>
    <t>gün</t>
  </si>
  <si>
    <t>aylık</t>
  </si>
  <si>
    <t>net</t>
  </si>
  <si>
    <t>thyo</t>
  </si>
  <si>
    <t>İş ytrm 1626748 THYAO             satış 120</t>
  </si>
  <si>
    <t>iş ytrm 382789 801             nzn EMANET</t>
  </si>
  <si>
    <t>ALİ DEMİREL (219000) VE SALİH ANT(290000) ÖDEMELERİ MAHKEMEDE İADE OLABİLECEĞİ İÇİN ÖDEME YAPILMADI</t>
  </si>
  <si>
    <t>YATIRIM SATIŞI SONUCU</t>
  </si>
  <si>
    <t>KAR</t>
  </si>
  <si>
    <t>audi akü ahmet karan</t>
  </si>
  <si>
    <t xml:space="preserve"> - 1 / 6 - </t>
  </si>
  <si>
    <t>tcdd 2 kişi buss tokat-ank     27-3</t>
  </si>
  <si>
    <t>topçam ankara tokat dönüş      09-04-25</t>
  </si>
  <si>
    <t>mrcmk</t>
  </si>
  <si>
    <t>edeler dondurma</t>
  </si>
  <si>
    <t>audi buji örkç</t>
  </si>
  <si>
    <t>audi buji 1800 bobin 650 antfrz 600 işç "1000</t>
  </si>
  <si>
    <t>audi turbo soğ radyt  örkç</t>
  </si>
  <si>
    <t>audi yağ hava-yağ filt</t>
  </si>
  <si>
    <t>toyota benz sivas peri</t>
  </si>
  <si>
    <t>aşçıbaşı köfte</t>
  </si>
  <si>
    <t>a101 yıldızeli</t>
  </si>
  <si>
    <t>???????</t>
  </si>
  <si>
    <t>BELEDİYE sanayi sayaç 7 taksitler</t>
  </si>
  <si>
    <t>audi motor</t>
  </si>
  <si>
    <t>audi zincir</t>
  </si>
  <si>
    <t>hvl masraf</t>
  </si>
  <si>
    <t>elektrikçi adnan işçilik</t>
  </si>
  <si>
    <t>emrullah - ali demirel istinaf</t>
  </si>
  <si>
    <t>audi için  kk toplam</t>
  </si>
  <si>
    <t>audi zincir iş havale</t>
  </si>
  <si>
    <t>audi motor iş havale</t>
  </si>
  <si>
    <t>elektrikçi adnan işçilik iş havale</t>
  </si>
  <si>
    <t>audi toplam masraf</t>
  </si>
  <si>
    <t>audi toplam masraf nisan ayı kk hesabı altında</t>
  </si>
  <si>
    <t>euro borç tl karşılığı rum kesimi mrkt khv</t>
  </si>
  <si>
    <t>akü 6*625</t>
  </si>
  <si>
    <t>bayram harçlığı</t>
  </si>
  <si>
    <t>KK 5165 Denizbank     27-3-25</t>
  </si>
  <si>
    <t xml:space="preserve"> - 2 / 6 - </t>
  </si>
  <si>
    <t xml:space="preserve"> - 3 / 6 - </t>
  </si>
  <si>
    <t xml:space="preserve"> - 6 / 6 - </t>
  </si>
  <si>
    <t xml:space="preserve"> - 5 / 6 - </t>
  </si>
  <si>
    <t xml:space="preserve"> - 4 / 6 - </t>
  </si>
  <si>
    <t>motor nakliye volkan çetiner</t>
  </si>
  <si>
    <t>alumba kira damga vergisi</t>
  </si>
  <si>
    <t xml:space="preserve">gau forex  -v %2    3791 * 2 / 100 = 76=&gt; 91                        </t>
  </si>
  <si>
    <t>umut bayram elden</t>
  </si>
  <si>
    <t>219 dan</t>
  </si>
  <si>
    <t>290 dan</t>
  </si>
  <si>
    <t>MAYIS 2025 e</t>
  </si>
  <si>
    <t>komisyon</t>
  </si>
  <si>
    <t>yasemin okul için</t>
  </si>
  <si>
    <t xml:space="preserve">gau forex  -v %2    3816 * 2 / 100 = 76=&gt; 91                        </t>
  </si>
  <si>
    <t>2024 den devir PERİ BORÇLU</t>
  </si>
  <si>
    <t>peri_2024-f65</t>
  </si>
  <si>
    <t>Taksit 6/12 - 36500 peri havale</t>
  </si>
  <si>
    <t>pervin 407100-41600</t>
  </si>
  <si>
    <t xml:space="preserve">pervin </t>
  </si>
  <si>
    <t>pervin audi motor</t>
  </si>
  <si>
    <t>nzn satış ve havale  20 adet</t>
  </si>
  <si>
    <t>801 alış</t>
  </si>
  <si>
    <t>801 satış</t>
  </si>
  <si>
    <t>komisyon iş 801</t>
  </si>
  <si>
    <t>NAZAN ÖZKAN 2024-2025 ÖDEMELER</t>
  </si>
  <si>
    <t xml:space="preserve">ali demirel ve salih ant mahkeme sürecinde iade olabileceği için </t>
  </si>
  <si>
    <t xml:space="preserve">Nazan 2024 ve 2025 hesabı için,  </t>
  </si>
  <si>
    <t>nisan 2025 den itibaren her ay 20 adet fon starak nazana gönderilecek</t>
  </si>
  <si>
    <t>872  TL den 240 adet iş 801 fon aldım</t>
  </si>
  <si>
    <t>kalan fon</t>
  </si>
  <si>
    <t>iş 801 fon</t>
  </si>
  <si>
    <t>nazan 2024            139000     23,5384%</t>
  </si>
  <si>
    <t>sny b 290 dan          68000     23,5384%</t>
  </si>
  <si>
    <t>motor kulakları yağ çubuğu   kk</t>
  </si>
  <si>
    <t>Gram Altın 438000 TL/2637 TL/gr</t>
  </si>
  <si>
    <t>Çocukların okul masrafları için altın olarak biriktirdiğim parayı</t>
  </si>
  <si>
    <t xml:space="preserve"> faiz ödemesin diye  verdim. Ayda 36 500 ödeyebilirim dedi</t>
  </si>
  <si>
    <t>TL/gr</t>
  </si>
  <si>
    <t>araç için bozdurduğum gr altın</t>
  </si>
  <si>
    <t>AUDİ KAZA HESAPTAN</t>
  </si>
  <si>
    <t>hacı-Pervin</t>
  </si>
  <si>
    <t>ZİRAAT KREDİ - ali balcıdan</t>
  </si>
  <si>
    <t>PERVİN ALTIN - fiziki</t>
  </si>
  <si>
    <t>3450 TL ödemeli ziraat kredi borcunu</t>
  </si>
  <si>
    <t>Ali balcı nakit olarak verdi</t>
  </si>
  <si>
    <t>Pervin kredi olarak aylık ziraate ödeyecek</t>
  </si>
  <si>
    <t>klima</t>
  </si>
  <si>
    <t>av.emrulah-merdalkipel-tahliye</t>
  </si>
  <si>
    <t>eziç yemek</t>
  </si>
  <si>
    <t>çilem ltd. hellim</t>
  </si>
  <si>
    <t>mrk</t>
  </si>
  <si>
    <t>pide kmç</t>
  </si>
  <si>
    <t>kftc ysf</t>
  </si>
  <si>
    <t>benzin bahçe</t>
  </si>
  <si>
    <t>işkmb</t>
  </si>
  <si>
    <t>audi silecek</t>
  </si>
  <si>
    <t>audi antifiriz vs</t>
  </si>
  <si>
    <t>kfc</t>
  </si>
  <si>
    <t>alphamega</t>
  </si>
  <si>
    <t xml:space="preserve"> 2024 / 10</t>
  </si>
  <si>
    <t>silecek</t>
  </si>
  <si>
    <t>antifiriz vs</t>
  </si>
  <si>
    <t>fren işçilik</t>
  </si>
  <si>
    <t>şanzıman</t>
  </si>
  <si>
    <t>march benzin umut askerlik</t>
  </si>
  <si>
    <t>önder mrkt</t>
  </si>
  <si>
    <t>gıda</t>
  </si>
  <si>
    <t>merve halı</t>
  </si>
  <si>
    <t>ocaklı şeker</t>
  </si>
  <si>
    <t>has ort</t>
  </si>
  <si>
    <t>grostan</t>
  </si>
  <si>
    <t>mrck</t>
  </si>
  <si>
    <t>kalan 801</t>
  </si>
  <si>
    <t>HAZİRAN 2025 e</t>
  </si>
  <si>
    <t>VODA 2240</t>
  </si>
  <si>
    <t>Pervin Kredi sordu- 300000 TL veriyolarmış 12 AYDA 450000 TL GERİ  ödemesi varmış</t>
  </si>
  <si>
    <t>300000 den fazla vermiyor banka</t>
  </si>
  <si>
    <t>iş 801 satış</t>
  </si>
  <si>
    <t>KK 4876 İşbank 24,09 euro x44,2038</t>
  </si>
  <si>
    <t>applksyn</t>
  </si>
  <si>
    <t>ifraz</t>
  </si>
  <si>
    <t>bld hrc</t>
  </si>
  <si>
    <t>kdstr hrc</t>
  </si>
  <si>
    <t>tapu</t>
  </si>
  <si>
    <t>iş 801 stış</t>
  </si>
  <si>
    <t>yasemin kira</t>
  </si>
  <si>
    <t>lise arksı ifraz</t>
  </si>
  <si>
    <t>kişi</t>
  </si>
  <si>
    <t>belediye sayaç sanayi</t>
  </si>
  <si>
    <t>çiçek anneler günü 700+</t>
  </si>
  <si>
    <t>kanatçı</t>
  </si>
  <si>
    <t>kays-ercan umut yemin trni</t>
  </si>
  <si>
    <t>kays topçam bilet</t>
  </si>
  <si>
    <t>kays tokat yıldızı bilet</t>
  </si>
  <si>
    <t>kays bldy otobüs</t>
  </si>
  <si>
    <t xml:space="preserve">bakery </t>
  </si>
  <si>
    <t>ilkay yemek ecosse</t>
  </si>
  <si>
    <t>kays altıntabak şiş</t>
  </si>
  <si>
    <t>kays bldy metro</t>
  </si>
  <si>
    <t>kays bldy metro cmhryt meydan</t>
  </si>
  <si>
    <t>kays bldy otobüs havaalanı</t>
  </si>
  <si>
    <t>kahve</t>
  </si>
  <si>
    <t>akkuş mrkt</t>
  </si>
  <si>
    <t>tcdd tkt kurban bayranı</t>
  </si>
  <si>
    <t>tcdd ist kurban bayranı  4-10 hzrn</t>
  </si>
  <si>
    <t>iş kk</t>
  </si>
  <si>
    <t>belediye emlak ayşe</t>
  </si>
  <si>
    <t>belediye emlak hacı</t>
  </si>
  <si>
    <t>belediye emlak sanayi</t>
  </si>
  <si>
    <t>duş spiral</t>
  </si>
  <si>
    <t>dom-bibr fide</t>
  </si>
  <si>
    <t>çapa benzn</t>
  </si>
  <si>
    <t>kurban mehmetçik vakfı</t>
  </si>
  <si>
    <t xml:space="preserve"> 0 -3</t>
  </si>
  <si>
    <t>kurban kızılay peri nakit ödedi</t>
  </si>
  <si>
    <t xml:space="preserve">maaş kurban bayramlık </t>
  </si>
  <si>
    <t>TEMMUZ  2025 e</t>
  </si>
  <si>
    <t>nzn satış ve havale  20 adet      1/12</t>
  </si>
  <si>
    <t>nzn satış ve havale  20 adet      2/12</t>
  </si>
  <si>
    <t>nzn satış ve havale  20 adet      3/12</t>
  </si>
  <si>
    <t>nzn satış ve havale  20 adet      4/12</t>
  </si>
  <si>
    <t>nzn satış ve havale  20 adet      5/12</t>
  </si>
  <si>
    <t>nzn satış ve havale  20 adet      6/12</t>
  </si>
  <si>
    <t>nzn satış ve havale  20 adet      7/12</t>
  </si>
  <si>
    <t>nzn satış ve havale  20 adet      8/12</t>
  </si>
  <si>
    <t>nzn satış ve havale  20 adet      9/12</t>
  </si>
  <si>
    <t>nzn satış ve havale  20 adet   10/12</t>
  </si>
  <si>
    <t>nzn satış ve havale  20 adet   11/12</t>
  </si>
  <si>
    <t>nzn satış ve havale  20 adet   12/12</t>
  </si>
  <si>
    <t>devletten</t>
  </si>
  <si>
    <t xml:space="preserve"> 1 -3</t>
  </si>
  <si>
    <t>yağlı ist kurban byram</t>
  </si>
  <si>
    <t>otobüs</t>
  </si>
  <si>
    <t>otopark</t>
  </si>
  <si>
    <t>bim mrkt</t>
  </si>
  <si>
    <t>playland</t>
  </si>
  <si>
    <t>decathlon</t>
  </si>
  <si>
    <t>kamil dizel opet</t>
  </si>
  <si>
    <t>turşu</t>
  </si>
  <si>
    <t>flo polo</t>
  </si>
  <si>
    <t>flo dockers</t>
  </si>
  <si>
    <t>atasun yasemin güneş gzlğü</t>
  </si>
  <si>
    <t xml:space="preserve"> 1 -6</t>
  </si>
  <si>
    <t>paşa işkembe ist dönüş</t>
  </si>
  <si>
    <t>çanta</t>
  </si>
  <si>
    <t>pastırma umut</t>
  </si>
  <si>
    <t>fide</t>
  </si>
  <si>
    <t>lider pide ist</t>
  </si>
  <si>
    <t>doğuş üsk kat cam camcı isa</t>
  </si>
  <si>
    <t>sny b 290 dan 2025-    68000     23,5384%</t>
  </si>
  <si>
    <t>nazan 2024-               139000     23,5384%</t>
  </si>
  <si>
    <t>ALİ DEMİREL (219000) VE SALİH ANT(290000) ÖDEMELERİ MAHKEMEDE İADE OLABİLECEĞİ İÇİN PEŞİN ÖDEME YAPILMADI</t>
  </si>
  <si>
    <t xml:space="preserve">Nazan 2024 ve 2025 (sadece salih ant 290,000 TL) hesabı için,  </t>
  </si>
  <si>
    <t>fren disk ön  4000</t>
  </si>
  <si>
    <t>fren balata ön arka 800</t>
  </si>
  <si>
    <t>fren disk arka torna 1200 TL</t>
  </si>
  <si>
    <t>sağ rotil  500</t>
  </si>
  <si>
    <t>motor-fren işçilik</t>
  </si>
  <si>
    <t>fren disk ön  4000 trw</t>
  </si>
  <si>
    <t>fren balata ön arka 800 trw</t>
  </si>
  <si>
    <t>fren disk arka torna 1200 TL trw</t>
  </si>
  <si>
    <t>sağ rotil  febi</t>
  </si>
  <si>
    <t>aidat</t>
  </si>
  <si>
    <t>taksitlendirme</t>
  </si>
  <si>
    <t>kyusuf</t>
  </si>
  <si>
    <t>dgs osym</t>
  </si>
  <si>
    <t>mustafa ışkın</t>
  </si>
  <si>
    <t>peynir bal</t>
  </si>
  <si>
    <t>et fab</t>
  </si>
  <si>
    <t xml:space="preserve">oxkan ağıl </t>
  </si>
  <si>
    <t>basbug.com audi fren disk-balata</t>
  </si>
  <si>
    <t xml:space="preserve">audi motor-fren işçilik </t>
  </si>
  <si>
    <t>audi motor-fren işçilik havale</t>
  </si>
  <si>
    <t>fide-çorap arif ustadan emanet ödendi</t>
  </si>
  <si>
    <t>alp bey karne</t>
  </si>
  <si>
    <t>AĞSTOS  2025 e</t>
  </si>
  <si>
    <t>kk ve kira için</t>
  </si>
  <si>
    <t xml:space="preserve"> 2 -3</t>
  </si>
  <si>
    <t xml:space="preserve"> 2 -6</t>
  </si>
  <si>
    <t xml:space="preserve"> 3 -3</t>
  </si>
  <si>
    <t xml:space="preserve"> 3 -6</t>
  </si>
  <si>
    <t xml:space="preserve"> 4 -6</t>
  </si>
  <si>
    <t xml:space="preserve"> 5 -6</t>
  </si>
  <si>
    <t xml:space="preserve"> 6 -6</t>
  </si>
  <si>
    <t>nzn satış ve havale  30 adet      5/12</t>
  </si>
  <si>
    <t>aksoy metal sny aydınlık</t>
  </si>
  <si>
    <t>isot sny beyaz çadır 8*5 mt</t>
  </si>
  <si>
    <t>koçtaş</t>
  </si>
  <si>
    <t>gece döneri</t>
  </si>
  <si>
    <t>kırıntı ist</t>
  </si>
  <si>
    <t>eld. Decathlon</t>
  </si>
  <si>
    <t>burger</t>
  </si>
  <si>
    <t>çamlıca kule</t>
  </si>
  <si>
    <t>börek</t>
  </si>
  <si>
    <t>frida cafe</t>
  </si>
  <si>
    <t>opet</t>
  </si>
  <si>
    <t>kftc yusuf</t>
  </si>
  <si>
    <t>ışkın</t>
  </si>
  <si>
    <t>dnr vdt</t>
  </si>
  <si>
    <t>öfeme</t>
  </si>
  <si>
    <t>belediye hmb emlak</t>
  </si>
  <si>
    <t>peynir</t>
  </si>
  <si>
    <t>tvn boyası doğuş marshall tnk</t>
  </si>
  <si>
    <t>isot alçı</t>
  </si>
  <si>
    <t>50*50 profil</t>
  </si>
  <si>
    <t>isot alçı 140 mrsll yağlı boya kg 300</t>
  </si>
  <si>
    <t>isot sıva alçısı 2 tr</t>
  </si>
  <si>
    <t>su bldy</t>
  </si>
  <si>
    <t>peynir pkmz</t>
  </si>
  <si>
    <t>vdfn 2240</t>
  </si>
  <si>
    <t>EYLÜL  2025 e</t>
  </si>
  <si>
    <t>yatırımdan</t>
  </si>
  <si>
    <t>dnr 2</t>
  </si>
  <si>
    <t>dnr su</t>
  </si>
  <si>
    <t>alçıpan 210      doğuş</t>
  </si>
  <si>
    <t>metal kesme    doğuş</t>
  </si>
  <si>
    <t>dndrm</t>
  </si>
  <si>
    <t>isot</t>
  </si>
  <si>
    <t>ajet ist</t>
  </si>
  <si>
    <t>euroka tcross sigorta</t>
  </si>
  <si>
    <t xml:space="preserve"> 1 -9</t>
  </si>
  <si>
    <t>euroka tcross sigorta trafik</t>
  </si>
  <si>
    <t>topçam tkt-svs    istanbul TUS</t>
  </si>
  <si>
    <t>marmara royal mrkt</t>
  </si>
  <si>
    <t>decathlon pant siyah</t>
  </si>
  <si>
    <t>tcross benzin</t>
  </si>
  <si>
    <t>viaport koçtaş duş</t>
  </si>
  <si>
    <t>viaport jilet</t>
  </si>
  <si>
    <t>mrkt file</t>
  </si>
  <si>
    <t>green salads</t>
  </si>
  <si>
    <t>metro</t>
  </si>
  <si>
    <t>hd iskender</t>
  </si>
  <si>
    <t>benzin vw ikame</t>
  </si>
  <si>
    <t>şenay dğmgn pike</t>
  </si>
  <si>
    <t>metro dömüş</t>
  </si>
  <si>
    <t>bahçe sulama</t>
  </si>
  <si>
    <t xml:space="preserve"> 2 -9</t>
  </si>
  <si>
    <t xml:space="preserve"> 3 -9</t>
  </si>
  <si>
    <t xml:space="preserve"> 4 -9</t>
  </si>
  <si>
    <t xml:space="preserve"> 5 -9</t>
  </si>
  <si>
    <t xml:space="preserve"> 6 -9</t>
  </si>
  <si>
    <t xml:space="preserve"> 7 -9</t>
  </si>
  <si>
    <t xml:space="preserve"> 8 -9</t>
  </si>
  <si>
    <t xml:space="preserve"> 9 -9</t>
  </si>
  <si>
    <t>pervin audi bakım</t>
  </si>
  <si>
    <t>Kr/Zrr</t>
  </si>
  <si>
    <t>SON ÖDEME</t>
  </si>
  <si>
    <t>PİDE</t>
  </si>
  <si>
    <t>SİVAS KÖFTE YSMN TAYİN</t>
  </si>
  <si>
    <t>İDSOT BAHÇE ÇMNTO 110 DMR BĞLM 50</t>
  </si>
  <si>
    <t>DÖNER</t>
  </si>
  <si>
    <t>gram altın darphane altın.s1</t>
  </si>
  <si>
    <t>BİRİKMİŞ ALTIN (yasemin ev kirası)</t>
  </si>
  <si>
    <t>438 000 için bozulan altın</t>
  </si>
  <si>
    <t>bozulan altının değeri</t>
  </si>
  <si>
    <t>altın farkı</t>
  </si>
  <si>
    <t>hesabı pervine attım</t>
  </si>
  <si>
    <t>tamam dedim</t>
  </si>
  <si>
    <t>152000 i param yok ben ödemem dedi</t>
  </si>
  <si>
    <t>xau TL/gr</t>
  </si>
  <si>
    <t>ödeme/gr</t>
  </si>
  <si>
    <t>Tplm gr</t>
  </si>
  <si>
    <t>altın.s1</t>
  </si>
  <si>
    <t xml:space="preserve">36500/2626 TLgr=166,10-13,90=152,20 </t>
  </si>
  <si>
    <t xml:space="preserve">36000/2801 TLgr=152,2-12,85=139,35 </t>
  </si>
  <si>
    <t xml:space="preserve">36000/2905 TLgr=139,35-12,39=126,95 </t>
  </si>
  <si>
    <t>35800/2898 TLgr=126,96-12,35=114,60</t>
  </si>
  <si>
    <t xml:space="preserve">38000/2970 TLgr=114,60-12,79=101,81 </t>
  </si>
  <si>
    <t xml:space="preserve">35800/2898 TLgr=101,81-12,35=89,45 </t>
  </si>
  <si>
    <t xml:space="preserve">36000/3045 TLgr=89,45-11,82=77,83 </t>
  </si>
  <si>
    <t>26000/3413 TLgr=77,83-7,62= 70,01</t>
  </si>
  <si>
    <t xml:space="preserve">36000/3650 TLgr=70,01-9,86= 60,15 </t>
  </si>
  <si>
    <t xml:space="preserve">36500/3950 TLgr=60,15-9,24 = 50,91 </t>
  </si>
  <si>
    <t>35000/4150 TLgr=50,91 - 8,43  = 427,47</t>
  </si>
  <si>
    <t>36500/4250 TLgr=42,47 - 8,59  =  33,89</t>
  </si>
  <si>
    <t>36000/4300 TLgr=33,89 - 8,37  =  25,51</t>
  </si>
  <si>
    <t>36000/4300 TLgr=25,51 - 8,37  =  17,14</t>
  </si>
  <si>
    <t>EKİM  2025 e</t>
  </si>
  <si>
    <t>hesaba geçen</t>
  </si>
  <si>
    <t xml:space="preserve">Kira Adem Özen 4/12 Mrmr Ryl A Blok 82 aidat İADESİ </t>
  </si>
  <si>
    <t>2 aylık depozito * 25 000 (son kira bedeli) eylülde 12 gün oturuldu 10 000 TL</t>
  </si>
  <si>
    <t>turkcell 2240</t>
  </si>
  <si>
    <t>KASIM  2025 e</t>
  </si>
  <si>
    <t>AJET İSTANBUL</t>
  </si>
  <si>
    <t>pide çklkl 2 ad</t>
  </si>
  <si>
    <t>yoğurtmaç</t>
  </si>
  <si>
    <t>su 2 ad</t>
  </si>
  <si>
    <t>yasemin botoks kurs</t>
  </si>
  <si>
    <t>çkrdk</t>
  </si>
  <si>
    <t>benzin tcross               istanbul a veda</t>
  </si>
  <si>
    <t>bolu hanzade 2 kişi</t>
  </si>
  <si>
    <t>çörk</t>
  </si>
  <si>
    <t>slknlu mat GL</t>
  </si>
  <si>
    <t>tcell 2240</t>
  </si>
  <si>
    <t>av emrullah - salih ant Adli Tıp K. İmza</t>
  </si>
  <si>
    <t>işbank ytrm hesabı saklama</t>
  </si>
  <si>
    <t>et dnr</t>
  </si>
  <si>
    <t>amazon modem</t>
  </si>
  <si>
    <t>çklkl pide</t>
  </si>
  <si>
    <t>pide fab</t>
  </si>
  <si>
    <t>unal başpınar</t>
  </si>
  <si>
    <t>audi muayene</t>
  </si>
  <si>
    <t>ırmak pide</t>
  </si>
  <si>
    <t>pide fab çklk</t>
  </si>
  <si>
    <t>transit arka lamba</t>
  </si>
  <si>
    <t>kıbrıs pastırma</t>
  </si>
  <si>
    <t>yağlı</t>
  </si>
  <si>
    <t xml:space="preserve">et   </t>
  </si>
  <si>
    <t>dnr ilkay</t>
  </si>
  <si>
    <t xml:space="preserve"> - KASIM 2025</t>
  </si>
  <si>
    <t>emrullah özer salih ant-sameturgut masraf</t>
  </si>
  <si>
    <t>ARALIK  2025 e</t>
  </si>
  <si>
    <t>stopaj</t>
  </si>
  <si>
    <t>saklama ücreti</t>
  </si>
  <si>
    <t>BSMV</t>
  </si>
  <si>
    <t>STOPAJ</t>
  </si>
  <si>
    <t>17+12 = 39 adet bozdum.</t>
  </si>
  <si>
    <t xml:space="preserve"> 20 000 TL nazana gönderdim</t>
  </si>
  <si>
    <t>12 fon = 14816,52 nin 10000 av. emrullah özere masraf için. 5000 hesapta kaldı</t>
  </si>
  <si>
    <t xml:space="preserve">hc satış  </t>
  </si>
  <si>
    <t xml:space="preserve">hc satış </t>
  </si>
  <si>
    <t>masraf</t>
  </si>
  <si>
    <t>nznz ödeme</t>
  </si>
  <si>
    <t>ana para ödendikten sonra nazana ödenecek bakiye</t>
  </si>
  <si>
    <t>bozdurup nazana yollamadığım</t>
  </si>
  <si>
    <t>2026 ocak</t>
  </si>
  <si>
    <t>2026 mart</t>
  </si>
  <si>
    <t>2026 şubat</t>
  </si>
  <si>
    <t>masraflar 207 içinden ödendikten sonra</t>
  </si>
  <si>
    <t>801 den + bakiye olarak 93 837 TL gerçekleşti</t>
  </si>
  <si>
    <t>nazana ait 76 adet fon kaldı. 93 837,99</t>
  </si>
  <si>
    <t>2025 kasım havale yapıldı</t>
  </si>
  <si>
    <t>2025 aralık havale yapıldı</t>
  </si>
  <si>
    <t>snyCD 301000 TL den</t>
  </si>
  <si>
    <t>2026 nisan</t>
  </si>
  <si>
    <t xml:space="preserve"> - ARALIK 2025</t>
  </si>
  <si>
    <t>CVZLİ</t>
  </si>
  <si>
    <t>bnzn</t>
  </si>
  <si>
    <t>tyrtdışı sigorta belçika</t>
  </si>
  <si>
    <t>mly</t>
  </si>
  <si>
    <t>toyta</t>
  </si>
  <si>
    <t>foto utku</t>
  </si>
  <si>
    <t>serdal ipek</t>
  </si>
  <si>
    <t>sny pide</t>
  </si>
  <si>
    <t>s24 fe</t>
  </si>
  <si>
    <t>eczne</t>
  </si>
  <si>
    <t>çrp yelek pntln</t>
  </si>
  <si>
    <t>cvzli</t>
  </si>
  <si>
    <t>bnzn tokat t-cross belçika</t>
  </si>
  <si>
    <t>çitlekçi</t>
  </si>
  <si>
    <t>bnzn tcross</t>
  </si>
  <si>
    <t>bolu ymk</t>
  </si>
  <si>
    <t>belbim</t>
  </si>
  <si>
    <t>yurtdışı çıkış harcı</t>
  </si>
  <si>
    <t>depo avm</t>
  </si>
  <si>
    <t>habu döner</t>
  </si>
  <si>
    <t>ikea dolap</t>
  </si>
  <si>
    <t xml:space="preserve">ikea </t>
  </si>
  <si>
    <t>ikea</t>
  </si>
  <si>
    <t>sandalye 4 adet çilingiroğlu</t>
  </si>
  <si>
    <t>57440,48+</t>
  </si>
  <si>
    <t>motomax kask eldiven</t>
  </si>
  <si>
    <t>decathlon ayakkabı atila-hc</t>
  </si>
  <si>
    <t>kabak</t>
  </si>
  <si>
    <t>avansas toner</t>
  </si>
  <si>
    <t>almus yemk</t>
  </si>
  <si>
    <t xml:space="preserve">et </t>
  </si>
  <si>
    <t xml:space="preserve"> - OCAK 2026</t>
  </si>
  <si>
    <t>EURAİL</t>
  </si>
  <si>
    <t>BELÇİKA</t>
  </si>
  <si>
    <t>€</t>
  </si>
  <si>
    <t>bruxell</t>
  </si>
  <si>
    <t>amsterdam</t>
  </si>
  <si>
    <t>ovpay.nl</t>
  </si>
  <si>
    <t>lo stivale</t>
  </si>
  <si>
    <t>uma concepts</t>
  </si>
  <si>
    <t>albert heijn</t>
  </si>
  <si>
    <t>ccv*ghm</t>
  </si>
  <si>
    <t>park hotel brugge</t>
  </si>
  <si>
    <t>de knotwilg</t>
  </si>
  <si>
    <t>MOTOLİnK BRUGGE</t>
  </si>
  <si>
    <t>opus latino</t>
  </si>
  <si>
    <t>bruxel</t>
  </si>
  <si>
    <t>kilit bsklt brugge</t>
  </si>
  <si>
    <t>leonidas</t>
  </si>
  <si>
    <t>boulengerie</t>
  </si>
  <si>
    <t>şubat</t>
  </si>
  <si>
    <t>mart</t>
  </si>
  <si>
    <t>misan</t>
  </si>
  <si>
    <t>mayıs</t>
  </si>
  <si>
    <t>hzrn</t>
  </si>
  <si>
    <t>tmmz</t>
  </si>
  <si>
    <t>nish oyopark</t>
  </si>
  <si>
    <t>poaş mazot transporter</t>
  </si>
  <si>
    <t>balcan ayşe yemek</t>
  </si>
  <si>
    <t>ceyda habek malatyalı ali</t>
  </si>
  <si>
    <t>kğçyal batarya</t>
  </si>
  <si>
    <t>dechatlon</t>
  </si>
  <si>
    <t>pzrstn</t>
  </si>
  <si>
    <t>infotek waveshare</t>
  </si>
  <si>
    <t>amazon ax900 ble+wifi</t>
  </si>
  <si>
    <t>robotistan pic0 2wh</t>
  </si>
  <si>
    <t>OCAK  2026 e</t>
  </si>
  <si>
    <t>SanCD Ali Demirel Kira</t>
  </si>
  <si>
    <t>2026 ocak 25000</t>
  </si>
  <si>
    <t>2026 şubat 25000</t>
  </si>
  <si>
    <t>2026 mart 25000</t>
  </si>
  <si>
    <t>2026 nisan 25000</t>
  </si>
  <si>
    <t>2026 mayıs 25000</t>
  </si>
  <si>
    <t>yaseminden</t>
  </si>
  <si>
    <t>yasemine</t>
  </si>
  <si>
    <t>KK 4876 İşbank euro</t>
  </si>
  <si>
    <t>2249 + yurtdışı 3 gb</t>
  </si>
  <si>
    <t>iş 382789</t>
  </si>
  <si>
    <t>rgyas temettü</t>
  </si>
  <si>
    <t>ŞUBAT  2026 ya</t>
  </si>
  <si>
    <t>KALAN TAKSİTLİ BORÇ TOPLAMI</t>
  </si>
  <si>
    <t>NAZAN HESABINA</t>
  </si>
  <si>
    <t>AKTARILACAK</t>
  </si>
  <si>
    <t>BENİM HESAPLAR</t>
  </si>
  <si>
    <t>İş NAZAN HESAP</t>
  </si>
  <si>
    <t>2025 YILI YATIRIM GETİRİSİ</t>
  </si>
  <si>
    <t xml:space="preserve">eur iş alış                           </t>
  </si>
  <si>
    <t xml:space="preserve">USD iş alış                           </t>
  </si>
  <si>
    <t>2025 den DEVİR</t>
  </si>
  <si>
    <t>NAZAN BALCI 2026 ÖDEMELER</t>
  </si>
  <si>
    <t>İş NAZAN HESAP sanayi 5801-0390073</t>
  </si>
  <si>
    <t>yaseminin arabada pervine verdiğim altın değer kaybı</t>
  </si>
  <si>
    <t>altın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</si>
</sst>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dd\.mm\.yy;@"/>
    <numFmt numFmtId="165" formatCode="#,##0.00\ _T_L;[Red]\-#,##0.00\ _T_L"/>
    <numFmt numFmtId="166" formatCode="%0"/>
    <numFmt numFmtId="167" formatCode="#,##0.00_ ;[Red]\-#,##0.00\ "/>
    <numFmt numFmtId="168" formatCode="&quot;Tpl / &quot;General"/>
    <numFmt numFmtId="169" formatCode="0.0000%"/>
    <numFmt numFmtId="170" formatCode="%0.0000"/>
    <numFmt numFmtId="171" formatCode="%0.00"/>
    <numFmt numFmtId="172" formatCode="0.00_ ;[Red]\-0.00\ "/>
    <numFmt numFmtId="173" formatCode="d\.mmm"/>
    <numFmt numFmtId="174" formatCode="dd/mmm"/>
    <numFmt numFmtId="175" formatCode="dd\.mm\.yyyy"/>
    <numFmt numFmtId="176" formatCode="dd/mm/yyyy"/>
    <numFmt numFmtId="177" formatCode="dd/mm/yy;@"/>
    <numFmt numFmtId="178" formatCode="[$₺-41F]#,##0.00;[Red]\-[$₺-41F]#,##0.00"/>
    <numFmt numFmtId="179" formatCode="#,##0.000000"/>
    <numFmt numFmtId="180" formatCode="#,##0.0000"/>
    <numFmt numFmtId="181" formatCode="_-* #,##0.00_-;\-* #,##0.00_-;_-* \-??_-;_-@_-"/>
    <numFmt numFmtId="182" formatCode="#,##0.00;[Red]#,##0.00"/>
    <numFmt numFmtId="183" formatCode="d\.mm\.yyyy"/>
    <numFmt numFmtId="184" formatCode="#,##0.00\ ;[Red]\-#,##0.00\ "/>
    <numFmt numFmtId="185" formatCode="#,##0.000"/>
    <numFmt numFmtId="186" formatCode="0_ ;[Red]\-0\ "/>
    <numFmt numFmtId="187" formatCode="#,##0.000000000;[Red]\-#,##0.000000000"/>
    <numFmt numFmtId="188" formatCode="0.000%"/>
    <numFmt numFmtId="189" formatCode="0.000000_ ;[Red]\-0.000000\ "/>
    <numFmt numFmtId="190" formatCode="%0.000"/>
    <numFmt numFmtId="191" formatCode="0.000_ ;[Red]\-0.000\ "/>
    <numFmt numFmtId="192" formatCode="#,##0_ ;\-#,##0\ "/>
    <numFmt numFmtId="193" formatCode="0_ ;\-0\ "/>
    <numFmt numFmtId="198" formatCode="0.00\ &quot;gr&quot;"/>
  </numFmts>
  <fonts count="63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12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i/>
      <u/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u/>
      <sz val="10"/>
      <color rgb="FF000000"/>
      <name val="Arial"/>
      <family val="2"/>
      <charset val="162"/>
    </font>
    <font>
      <sz val="11"/>
      <color rgb="FFFFFFFF"/>
      <name val="Calibri"/>
      <family val="2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b/>
      <sz val="8"/>
      <color rgb="FF000000"/>
      <name val="Liberation Sans1"/>
      <charset val="162"/>
    </font>
    <font>
      <sz val="10"/>
      <color rgb="FFFF0000"/>
      <name val="Arial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  <font>
      <b/>
      <i/>
      <u/>
      <sz val="10"/>
      <color rgb="FFFF0000"/>
      <name val="Liberation Sans1"/>
      <charset val="162"/>
    </font>
    <font>
      <b/>
      <sz val="10"/>
      <color theme="1"/>
      <name val="Liberation Sans1"/>
      <charset val="162"/>
    </font>
    <font>
      <sz val="10"/>
      <color theme="1"/>
      <name val="Liberation Sans1"/>
      <charset val="162"/>
    </font>
    <font>
      <b/>
      <u/>
      <sz val="8"/>
      <color rgb="FF000000"/>
      <name val="Liberation Sans1"/>
      <charset val="162"/>
    </font>
    <font>
      <b/>
      <sz val="14"/>
      <color rgb="FF000000"/>
      <name val="Liberation Sans1"/>
      <charset val="162"/>
    </font>
    <font>
      <sz val="10"/>
      <name val="Liberation Sans1"/>
      <charset val="162"/>
    </font>
    <font>
      <b/>
      <sz val="10"/>
      <name val="Liberation Sans1"/>
      <charset val="162"/>
    </font>
    <font>
      <u/>
      <sz val="9"/>
      <color rgb="FF000000"/>
      <name val="Liberation Sans1"/>
      <charset val="162"/>
    </font>
    <font>
      <sz val="12"/>
      <color rgb="FFFF0000"/>
      <name val="Liberation Sans1"/>
      <charset val="162"/>
    </font>
    <font>
      <b/>
      <u/>
      <sz val="10"/>
      <color rgb="FFFF0000"/>
      <name val="Liberation Sans1"/>
      <charset val="162"/>
    </font>
    <font>
      <b/>
      <sz val="11"/>
      <color rgb="FFFF0000"/>
      <name val="Liberation Sans1"/>
      <charset val="162"/>
    </font>
    <font>
      <b/>
      <u/>
      <sz val="11"/>
      <color rgb="FFFF0000"/>
      <name val="Liberation Sans1"/>
      <charset val="162"/>
    </font>
    <font>
      <sz val="8"/>
      <name val="Liberation Sans1"/>
      <charset val="162"/>
    </font>
    <font>
      <b/>
      <sz val="10"/>
      <color theme="7" tint="0.79998168889431442"/>
      <name val="Liberation Sans1"/>
      <charset val="162"/>
    </font>
    <font>
      <b/>
      <u/>
      <sz val="14"/>
      <color rgb="FF000000"/>
      <name val="Arial"/>
      <family val="2"/>
      <charset val="162"/>
    </font>
    <font>
      <b/>
      <sz val="10"/>
      <color theme="9" tint="-0.499984740745262"/>
      <name val="Liberation Sans1"/>
      <charset val="162"/>
    </font>
  </fonts>
  <fills count="59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4472C4"/>
        <bgColor rgb="FF808080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E2EFDA"/>
        <bgColor rgb="FFE2F0D9"/>
      </patternFill>
    </fill>
    <fill>
      <patternFill patternType="solid">
        <fgColor rgb="FFFFFFD7"/>
        <bgColor rgb="FFFFFFCC"/>
      </patternFill>
    </fill>
    <fill>
      <patternFill patternType="solid">
        <fgColor rgb="FFC5E0B4"/>
        <bgColor rgb="FFC6E0B4"/>
      </patternFill>
    </fill>
    <fill>
      <patternFill patternType="solid">
        <fgColor rgb="FFAFD095"/>
        <bgColor rgb="FFA9D08E"/>
      </patternFill>
    </fill>
    <fill>
      <patternFill patternType="solid">
        <fgColor theme="9" tint="0.79989013336588644"/>
        <bgColor rgb="FFE2EFDA"/>
      </patternFill>
    </fill>
    <fill>
      <patternFill patternType="solid">
        <fgColor rgb="FFFFBF00"/>
        <bgColor rgb="FFFFFF00"/>
      </patternFill>
    </fill>
    <fill>
      <patternFill patternType="solid">
        <fgColor theme="5" tint="0.79989013336588644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FFFFA6"/>
        <bgColor rgb="FFFFFFCC"/>
      </patternFill>
    </fill>
    <fill>
      <patternFill patternType="solid">
        <fgColor rgb="FFFCE4D6"/>
        <bgColor rgb="FFFBE5D6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D7D7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F7D1D5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D4EA6B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468A1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E2EFDA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theme="9" tint="0.39997558519241921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39997558519241921"/>
        <bgColor rgb="FFC6E0B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E2EFDA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24">
    <xf numFmtId="0" fontId="0" fillId="0" borderId="0"/>
    <xf numFmtId="181" fontId="46" fillId="0" borderId="0" applyBorder="0" applyProtection="0"/>
    <xf numFmtId="166" fontId="46" fillId="0" borderId="0" applyBorder="0" applyProtection="0"/>
    <xf numFmtId="0" fontId="2" fillId="2" borderId="0" applyBorder="0" applyProtection="0"/>
    <xf numFmtId="0" fontId="2" fillId="3" borderId="0" applyBorder="0" applyProtection="0"/>
    <xf numFmtId="0" fontId="3" fillId="4" borderId="0" applyBorder="0" applyProtection="0"/>
    <xf numFmtId="0" fontId="3" fillId="0" borderId="0" applyBorder="0" applyProtection="0"/>
    <xf numFmtId="0" fontId="4" fillId="5" borderId="0" applyBorder="0" applyProtection="0"/>
    <xf numFmtId="0" fontId="5" fillId="6" borderId="0" applyBorder="0" applyProtection="0"/>
    <xf numFmtId="0" fontId="6" fillId="0" borderId="0" applyBorder="0" applyProtection="0"/>
    <xf numFmtId="0" fontId="7" fillId="7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8" borderId="0" applyBorder="0" applyProtection="0"/>
    <xf numFmtId="0" fontId="13" fillId="8" borderId="1" applyProtection="0"/>
    <xf numFmtId="0" fontId="14" fillId="0" borderId="0" applyBorder="0" applyProtection="0"/>
    <xf numFmtId="0" fontId="46" fillId="0" borderId="0" applyBorder="0" applyProtection="0"/>
    <xf numFmtId="0" fontId="46" fillId="0" borderId="0" applyBorder="0" applyProtection="0"/>
    <xf numFmtId="0" fontId="4" fillId="0" borderId="0" applyBorder="0" applyProtection="0"/>
    <xf numFmtId="0" fontId="19" fillId="9" borderId="0" applyBorder="0" applyProtection="0"/>
    <xf numFmtId="0" fontId="20" fillId="10" borderId="0" applyBorder="0" applyProtection="0"/>
    <xf numFmtId="0" fontId="27" fillId="11" borderId="0" applyBorder="0" applyProtection="0"/>
  </cellStyleXfs>
  <cellXfs count="69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4" fontId="15" fillId="0" borderId="0" xfId="0" applyNumberFormat="1" applyFont="1" applyAlignment="1">
      <alignment horizontal="right"/>
    </xf>
    <xf numFmtId="0" fontId="0" fillId="0" borderId="0" xfId="0" applyFont="1"/>
    <xf numFmtId="4" fontId="0" fillId="12" borderId="0" xfId="0" applyNumberFormat="1" applyFill="1"/>
    <xf numFmtId="164" fontId="0" fillId="0" borderId="0" xfId="0" applyNumberFormat="1"/>
    <xf numFmtId="0" fontId="0" fillId="0" borderId="0" xfId="0"/>
    <xf numFmtId="4" fontId="0" fillId="0" borderId="0" xfId="0" applyNumberFormat="1"/>
    <xf numFmtId="4" fontId="3" fillId="0" borderId="5" xfId="0" applyNumberFormat="1" applyFont="1" applyBorder="1" applyAlignment="1">
      <alignment horizontal="right"/>
    </xf>
    <xf numFmtId="4" fontId="3" fillId="0" borderId="0" xfId="0" applyNumberFormat="1" applyFont="1"/>
    <xf numFmtId="0" fontId="3" fillId="0" borderId="0" xfId="0" applyFont="1" applyAlignment="1">
      <alignment horizontal="right"/>
    </xf>
    <xf numFmtId="0" fontId="16" fillId="13" borderId="0" xfId="0" applyFont="1" applyFill="1" applyAlignment="1">
      <alignment horizontal="left"/>
    </xf>
    <xf numFmtId="165" fontId="17" fillId="13" borderId="6" xfId="0" applyNumberFormat="1" applyFont="1" applyFill="1" applyBorder="1" applyAlignment="1">
      <alignment horizontal="center"/>
    </xf>
    <xf numFmtId="165" fontId="17" fillId="13" borderId="7" xfId="0" applyNumberFormat="1" applyFont="1" applyFill="1" applyBorder="1" applyAlignment="1">
      <alignment horizontal="center"/>
    </xf>
    <xf numFmtId="165" fontId="17" fillId="13" borderId="8" xfId="0" applyNumberFormat="1" applyFont="1" applyFill="1" applyBorder="1" applyAlignment="1">
      <alignment horizontal="right"/>
    </xf>
    <xf numFmtId="165" fontId="17" fillId="13" borderId="6" xfId="0" applyNumberFormat="1" applyFont="1" applyFill="1" applyBorder="1" applyAlignment="1">
      <alignment horizontal="right"/>
    </xf>
    <xf numFmtId="165" fontId="17" fillId="14" borderId="8" xfId="0" applyNumberFormat="1" applyFont="1" applyFill="1" applyBorder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6" fontId="18" fillId="15" borderId="9" xfId="0" applyNumberFormat="1" applyFont="1" applyFill="1" applyBorder="1" applyAlignment="1">
      <alignment horizontal="center" vertical="center"/>
    </xf>
    <xf numFmtId="165" fontId="17" fillId="13" borderId="7" xfId="0" applyNumberFormat="1" applyFont="1" applyFill="1" applyBorder="1" applyAlignment="1">
      <alignment horizontal="right"/>
    </xf>
    <xf numFmtId="166" fontId="0" fillId="15" borderId="10" xfId="0" applyNumberFormat="1" applyFill="1" applyBorder="1" applyAlignment="1">
      <alignment horizontal="center" vertical="center"/>
    </xf>
    <xf numFmtId="166" fontId="0" fillId="16" borderId="11" xfId="0" applyNumberFormat="1" applyFill="1" applyBorder="1" applyAlignment="1">
      <alignment horizontal="center" vertical="center"/>
    </xf>
    <xf numFmtId="4" fontId="0" fillId="16" borderId="12" xfId="0" applyNumberFormat="1" applyFont="1" applyFill="1" applyBorder="1" applyAlignment="1">
      <alignment horizontal="center" vertical="center"/>
    </xf>
    <xf numFmtId="167" fontId="0" fillId="17" borderId="0" xfId="0" applyNumberFormat="1" applyFill="1"/>
    <xf numFmtId="167" fontId="0" fillId="18" borderId="0" xfId="0" applyNumberFormat="1" applyFill="1"/>
    <xf numFmtId="165" fontId="0" fillId="14" borderId="13" xfId="0" applyNumberFormat="1" applyFill="1" applyBorder="1"/>
    <xf numFmtId="0" fontId="0" fillId="0" borderId="0" xfId="0" applyFont="1" applyAlignment="1">
      <alignment horizontal="right"/>
    </xf>
    <xf numFmtId="4" fontId="0" fillId="15" borderId="10" xfId="0" applyNumberFormat="1" applyFill="1" applyBorder="1"/>
    <xf numFmtId="0" fontId="0" fillId="16" borderId="11" xfId="0" applyFill="1" applyBorder="1"/>
    <xf numFmtId="0" fontId="0" fillId="16" borderId="12" xfId="0" applyFill="1" applyBorder="1"/>
    <xf numFmtId="1" fontId="0" fillId="15" borderId="10" xfId="0" applyNumberFormat="1" applyFill="1" applyBorder="1"/>
    <xf numFmtId="4" fontId="0" fillId="16" borderId="11" xfId="0" applyNumberFormat="1" applyFill="1" applyBorder="1"/>
    <xf numFmtId="0" fontId="0" fillId="0" borderId="0" xfId="0" applyFont="1" applyAlignment="1">
      <alignment horizontal="left"/>
    </xf>
    <xf numFmtId="3" fontId="0" fillId="16" borderId="12" xfId="0" applyNumberFormat="1" applyFill="1" applyBorder="1"/>
    <xf numFmtId="4" fontId="0" fillId="16" borderId="12" xfId="0" applyNumberFormat="1" applyFill="1" applyBorder="1"/>
    <xf numFmtId="0" fontId="0" fillId="16" borderId="0" xfId="0" applyFont="1" applyFill="1" applyAlignment="1">
      <alignment horizontal="right"/>
    </xf>
    <xf numFmtId="0" fontId="0" fillId="16" borderId="0" xfId="0" applyFill="1"/>
    <xf numFmtId="0" fontId="3" fillId="19" borderId="0" xfId="0" applyFont="1" applyFill="1"/>
    <xf numFmtId="165" fontId="0" fillId="14" borderId="0" xfId="0" applyNumberFormat="1" applyFill="1"/>
    <xf numFmtId="0" fontId="0" fillId="19" borderId="2" xfId="0" applyFill="1" applyBorder="1"/>
    <xf numFmtId="0" fontId="0" fillId="19" borderId="14" xfId="0" applyFill="1" applyBorder="1"/>
    <xf numFmtId="1" fontId="3" fillId="15" borderId="9" xfId="0" applyNumberFormat="1" applyFont="1" applyFill="1" applyBorder="1"/>
    <xf numFmtId="4" fontId="3" fillId="16" borderId="2" xfId="0" applyNumberFormat="1" applyFont="1" applyFill="1" applyBorder="1"/>
    <xf numFmtId="3" fontId="3" fillId="16" borderId="3" xfId="0" applyNumberFormat="1" applyFont="1" applyFill="1" applyBorder="1"/>
    <xf numFmtId="168" fontId="18" fillId="0" borderId="15" xfId="0" applyNumberFormat="1" applyFont="1" applyBorder="1"/>
    <xf numFmtId="4" fontId="18" fillId="0" borderId="16" xfId="0" applyNumberFormat="1" applyFont="1" applyBorder="1"/>
    <xf numFmtId="4" fontId="18" fillId="0" borderId="15" xfId="0" applyNumberFormat="1" applyFont="1" applyBorder="1"/>
    <xf numFmtId="4" fontId="0" fillId="14" borderId="15" xfId="0" applyNumberFormat="1" applyFill="1" applyBorder="1"/>
    <xf numFmtId="0" fontId="0" fillId="0" borderId="17" xfId="0" applyBorder="1"/>
    <xf numFmtId="4" fontId="18" fillId="0" borderId="18" xfId="0" applyNumberFormat="1" applyFont="1" applyBorder="1"/>
    <xf numFmtId="1" fontId="18" fillId="15" borderId="19" xfId="0" applyNumberFormat="1" applyFont="1" applyFill="1" applyBorder="1"/>
    <xf numFmtId="4" fontId="18" fillId="16" borderId="17" xfId="0" applyNumberFormat="1" applyFont="1" applyFill="1" applyBorder="1"/>
    <xf numFmtId="4" fontId="18" fillId="16" borderId="20" xfId="0" applyNumberFormat="1" applyFont="1" applyFill="1" applyBorder="1"/>
    <xf numFmtId="4" fontId="18" fillId="0" borderId="0" xfId="0" applyNumberFormat="1" applyFont="1"/>
    <xf numFmtId="165" fontId="0" fillId="0" borderId="0" xfId="0" applyNumberFormat="1"/>
    <xf numFmtId="165" fontId="3" fillId="0" borderId="0" xfId="0" applyNumberFormat="1" applyFont="1" applyAlignment="1">
      <alignment horizontal="right"/>
    </xf>
    <xf numFmtId="4" fontId="0" fillId="16" borderId="4" xfId="0" applyNumberFormat="1" applyFill="1" applyBorder="1"/>
    <xf numFmtId="4" fontId="0" fillId="16" borderId="21" xfId="0" applyNumberFormat="1" applyFill="1" applyBorder="1"/>
    <xf numFmtId="0" fontId="17" fillId="0" borderId="0" xfId="0" applyFont="1"/>
    <xf numFmtId="165" fontId="15" fillId="0" borderId="0" xfId="0" applyNumberFormat="1" applyFont="1" applyAlignment="1">
      <alignment horizontal="right"/>
    </xf>
    <xf numFmtId="4" fontId="17" fillId="0" borderId="0" xfId="0" applyNumberFormat="1" applyFont="1"/>
    <xf numFmtId="17" fontId="0" fillId="0" borderId="0" xfId="0" applyNumberFormat="1"/>
    <xf numFmtId="169" fontId="19" fillId="9" borderId="0" xfId="2" applyNumberFormat="1" applyFont="1" applyFill="1" applyBorder="1" applyProtection="1"/>
    <xf numFmtId="170" fontId="0" fillId="0" borderId="0" xfId="2" applyNumberFormat="1" applyFont="1" applyBorder="1" applyProtection="1"/>
    <xf numFmtId="0" fontId="19" fillId="9" borderId="0" xfId="21" applyFont="1" applyBorder="1" applyProtection="1"/>
    <xf numFmtId="4" fontId="21" fillId="10" borderId="0" xfId="22" applyNumberFormat="1" applyFont="1" applyBorder="1" applyProtection="1"/>
    <xf numFmtId="0" fontId="21" fillId="10" borderId="0" xfId="22" applyFont="1" applyBorder="1" applyProtection="1"/>
    <xf numFmtId="171" fontId="0" fillId="0" borderId="0" xfId="2" applyNumberFormat="1" applyFont="1" applyBorder="1" applyProtection="1"/>
    <xf numFmtId="172" fontId="3" fillId="0" borderId="0" xfId="0" applyNumberFormat="1" applyFont="1"/>
    <xf numFmtId="172" fontId="0" fillId="0" borderId="0" xfId="0" applyNumberFormat="1"/>
    <xf numFmtId="165" fontId="0" fillId="0" borderId="16" xfId="0" applyNumberFormat="1" applyFont="1" applyBorder="1" applyAlignment="1">
      <alignment horizontal="right"/>
    </xf>
    <xf numFmtId="173" fontId="0" fillId="20" borderId="0" xfId="0" applyNumberFormat="1" applyFont="1" applyFill="1"/>
    <xf numFmtId="0" fontId="22" fillId="20" borderId="0" xfId="0" applyFont="1" applyFill="1"/>
    <xf numFmtId="0" fontId="0" fillId="20" borderId="0" xfId="0" applyFill="1"/>
    <xf numFmtId="172" fontId="3" fillId="20" borderId="0" xfId="0" applyNumberFormat="1" applyFont="1" applyFill="1"/>
    <xf numFmtId="174" fontId="0" fillId="20" borderId="0" xfId="0" applyNumberFormat="1" applyFont="1" applyFill="1"/>
    <xf numFmtId="0" fontId="0" fillId="20" borderId="0" xfId="0" applyFont="1" applyFill="1"/>
    <xf numFmtId="172" fontId="0" fillId="20" borderId="0" xfId="0" applyNumberFormat="1" applyFont="1" applyFill="1"/>
    <xf numFmtId="172" fontId="0" fillId="0" borderId="0" xfId="0" applyNumberFormat="1" applyFont="1"/>
    <xf numFmtId="174" fontId="0" fillId="0" borderId="0" xfId="0" applyNumberFormat="1"/>
    <xf numFmtId="175" fontId="23" fillId="0" borderId="0" xfId="0" applyNumberFormat="1" applyFont="1"/>
    <xf numFmtId="172" fontId="3" fillId="0" borderId="0" xfId="0" applyNumberFormat="1" applyFont="1"/>
    <xf numFmtId="0" fontId="24" fillId="0" borderId="0" xfId="0" applyFont="1"/>
    <xf numFmtId="0" fontId="3" fillId="0" borderId="0" xfId="0" applyFont="1"/>
    <xf numFmtId="172" fontId="25" fillId="0" borderId="0" xfId="0" applyNumberFormat="1" applyFont="1"/>
    <xf numFmtId="172" fontId="25" fillId="0" borderId="0" xfId="0" applyNumberFormat="1" applyFont="1" applyBorder="1"/>
    <xf numFmtId="172" fontId="0" fillId="0" borderId="0" xfId="0" applyNumberFormat="1" applyBorder="1"/>
    <xf numFmtId="176" fontId="0" fillId="0" borderId="0" xfId="0" applyNumberFormat="1"/>
    <xf numFmtId="177" fontId="0" fillId="0" borderId="0" xfId="0" applyNumberFormat="1"/>
    <xf numFmtId="175" fontId="23" fillId="0" borderId="0" xfId="0" applyNumberFormat="1" applyFont="1"/>
    <xf numFmtId="175" fontId="0" fillId="0" borderId="0" xfId="0" applyNumberFormat="1"/>
    <xf numFmtId="175" fontId="25" fillId="0" borderId="0" xfId="0" applyNumberFormat="1" applyFont="1"/>
    <xf numFmtId="178" fontId="3" fillId="0" borderId="0" xfId="0" applyNumberFormat="1" applyFont="1"/>
    <xf numFmtId="0" fontId="0" fillId="21" borderId="0" xfId="0" applyFill="1"/>
    <xf numFmtId="0" fontId="26" fillId="21" borderId="0" xfId="0" applyFont="1" applyFill="1"/>
    <xf numFmtId="0" fontId="27" fillId="11" borderId="0" xfId="23" applyFont="1" applyBorder="1" applyProtection="1"/>
    <xf numFmtId="0" fontId="25" fillId="0" borderId="0" xfId="0" applyFont="1"/>
    <xf numFmtId="0" fontId="23" fillId="0" borderId="0" xfId="0" applyFont="1"/>
    <xf numFmtId="172" fontId="3" fillId="22" borderId="0" xfId="0" applyNumberFormat="1" applyFont="1" applyFill="1"/>
    <xf numFmtId="0" fontId="0" fillId="0" borderId="0" xfId="19" applyFont="1" applyBorder="1" applyProtection="1"/>
    <xf numFmtId="172" fontId="23" fillId="0" borderId="0" xfId="0" applyNumberFormat="1" applyFont="1"/>
    <xf numFmtId="172" fontId="25" fillId="0" borderId="22" xfId="0" applyNumberFormat="1" applyFont="1" applyBorder="1"/>
    <xf numFmtId="172" fontId="0" fillId="0" borderId="22" xfId="0" applyNumberFormat="1" applyBorder="1"/>
    <xf numFmtId="0" fontId="3" fillId="21" borderId="0" xfId="0" applyFont="1" applyFill="1"/>
    <xf numFmtId="4" fontId="0" fillId="20" borderId="0" xfId="0" applyNumberFormat="1" applyFill="1"/>
    <xf numFmtId="179" fontId="0" fillId="20" borderId="0" xfId="0" applyNumberFormat="1" applyFill="1"/>
    <xf numFmtId="4" fontId="3" fillId="20" borderId="0" xfId="0" applyNumberFormat="1" applyFont="1" applyFill="1"/>
    <xf numFmtId="172" fontId="3" fillId="0" borderId="23" xfId="0" applyNumberFormat="1" applyFont="1" applyBorder="1"/>
    <xf numFmtId="3" fontId="0" fillId="20" borderId="0" xfId="0" applyNumberFormat="1" applyFill="1"/>
    <xf numFmtId="179" fontId="3" fillId="20" borderId="0" xfId="0" applyNumberFormat="1" applyFont="1" applyFill="1"/>
    <xf numFmtId="180" fontId="0" fillId="0" borderId="0" xfId="0" applyNumberFormat="1"/>
    <xf numFmtId="0" fontId="0" fillId="0" borderId="24" xfId="0" applyBorder="1"/>
    <xf numFmtId="172" fontId="3" fillId="0" borderId="24" xfId="0" applyNumberFormat="1" applyFont="1" applyBorder="1"/>
    <xf numFmtId="172" fontId="3" fillId="0" borderId="25" xfId="0" applyNumberFormat="1" applyFont="1" applyBorder="1" applyAlignment="1">
      <alignment horizontal="right"/>
    </xf>
    <xf numFmtId="167" fontId="3" fillId="0" borderId="0" xfId="0" applyNumberFormat="1" applyFont="1"/>
    <xf numFmtId="0" fontId="3" fillId="18" borderId="0" xfId="0" applyFont="1" applyFill="1"/>
    <xf numFmtId="0" fontId="3" fillId="18" borderId="0" xfId="0" applyFont="1" applyFill="1" applyAlignment="1">
      <alignment horizontal="right"/>
    </xf>
    <xf numFmtId="4" fontId="3" fillId="18" borderId="0" xfId="0" applyNumberFormat="1" applyFont="1" applyFill="1"/>
    <xf numFmtId="0" fontId="0" fillId="0" borderId="2" xfId="0" applyFont="1" applyBorder="1"/>
    <xf numFmtId="0" fontId="0" fillId="0" borderId="14" xfId="0" applyBorder="1"/>
    <xf numFmtId="4" fontId="0" fillId="0" borderId="14" xfId="0" applyNumberFormat="1" applyBorder="1"/>
    <xf numFmtId="4" fontId="17" fillId="0" borderId="14" xfId="0" applyNumberFormat="1" applyFont="1" applyBorder="1"/>
    <xf numFmtId="4" fontId="17" fillId="0" borderId="3" xfId="0" applyNumberFormat="1" applyFont="1" applyBorder="1"/>
    <xf numFmtId="0" fontId="0" fillId="0" borderId="11" xfId="0" applyFont="1" applyBorder="1"/>
    <xf numFmtId="4" fontId="0" fillId="0" borderId="12" xfId="0" applyNumberFormat="1" applyBorder="1"/>
    <xf numFmtId="0" fontId="3" fillId="0" borderId="4" xfId="0" applyFont="1" applyBorder="1"/>
    <xf numFmtId="0" fontId="3" fillId="0" borderId="27" xfId="0" applyFont="1" applyBorder="1"/>
    <xf numFmtId="4" fontId="3" fillId="0" borderId="27" xfId="0" applyNumberFormat="1" applyFont="1" applyBorder="1"/>
    <xf numFmtId="4" fontId="15" fillId="0" borderId="27" xfId="0" applyNumberFormat="1" applyFont="1" applyBorder="1"/>
    <xf numFmtId="4" fontId="3" fillId="0" borderId="5" xfId="0" applyNumberFormat="1" applyFont="1" applyBorder="1"/>
    <xf numFmtId="4" fontId="3" fillId="0" borderId="23" xfId="0" applyNumberFormat="1" applyFont="1" applyBorder="1"/>
    <xf numFmtId="0" fontId="0" fillId="0" borderId="22" xfId="0" applyFont="1" applyBorder="1"/>
    <xf numFmtId="4" fontId="0" fillId="0" borderId="22" xfId="0" applyNumberFormat="1" applyBorder="1"/>
    <xf numFmtId="0" fontId="14" fillId="0" borderId="0" xfId="0" applyFont="1"/>
    <xf numFmtId="0" fontId="0" fillId="0" borderId="25" xfId="0" applyBorder="1"/>
    <xf numFmtId="4" fontId="0" fillId="0" borderId="26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0" fontId="28" fillId="0" borderId="0" xfId="0" applyFont="1"/>
    <xf numFmtId="181" fontId="0" fillId="0" borderId="0" xfId="1" applyFont="1" applyBorder="1" applyProtection="1"/>
    <xf numFmtId="182" fontId="29" fillId="0" borderId="0" xfId="1" applyNumberFormat="1" applyFont="1" applyBorder="1" applyProtection="1"/>
    <xf numFmtId="0" fontId="0" fillId="12" borderId="0" xfId="0" applyFont="1" applyFill="1"/>
    <xf numFmtId="165" fontId="0" fillId="21" borderId="0" xfId="0" applyNumberFormat="1" applyFill="1"/>
    <xf numFmtId="0" fontId="15" fillId="21" borderId="0" xfId="0" applyFont="1" applyFill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65" fontId="3" fillId="0" borderId="0" xfId="0" applyNumberFormat="1" applyFont="1"/>
    <xf numFmtId="0" fontId="24" fillId="20" borderId="0" xfId="0" applyFont="1" applyFill="1"/>
    <xf numFmtId="173" fontId="0" fillId="0" borderId="0" xfId="0" applyNumberFormat="1"/>
    <xf numFmtId="175" fontId="25" fillId="20" borderId="0" xfId="0" applyNumberFormat="1" applyFont="1" applyFill="1"/>
    <xf numFmtId="172" fontId="0" fillId="20" borderId="0" xfId="0" applyNumberFormat="1" applyFill="1"/>
    <xf numFmtId="171" fontId="0" fillId="20" borderId="0" xfId="0" applyNumberFormat="1" applyFill="1"/>
    <xf numFmtId="0" fontId="25" fillId="20" borderId="0" xfId="0" applyFont="1" applyFill="1"/>
    <xf numFmtId="0" fontId="0" fillId="22" borderId="0" xfId="0" applyFont="1" applyFill="1"/>
    <xf numFmtId="171" fontId="0" fillId="0" borderId="0" xfId="0" applyNumberFormat="1"/>
    <xf numFmtId="175" fontId="0" fillId="21" borderId="0" xfId="0" applyNumberFormat="1" applyFill="1"/>
    <xf numFmtId="0" fontId="23" fillId="21" borderId="0" xfId="0" applyFont="1" applyFill="1"/>
    <xf numFmtId="179" fontId="0" fillId="0" borderId="0" xfId="0" applyNumberFormat="1"/>
    <xf numFmtId="3" fontId="0" fillId="0" borderId="0" xfId="0" applyNumberFormat="1"/>
    <xf numFmtId="167" fontId="0" fillId="0" borderId="0" xfId="0" applyNumberFormat="1"/>
    <xf numFmtId="0" fontId="22" fillId="0" borderId="0" xfId="0" applyFont="1"/>
    <xf numFmtId="0" fontId="24" fillId="0" borderId="0" xfId="0" applyFont="1"/>
    <xf numFmtId="0" fontId="16" fillId="0" borderId="0" xfId="0" applyFont="1"/>
    <xf numFmtId="178" fontId="3" fillId="22" borderId="0" xfId="0" applyNumberFormat="1" applyFont="1" applyFill="1"/>
    <xf numFmtId="174" fontId="23" fillId="0" borderId="0" xfId="0" applyNumberFormat="1" applyFont="1"/>
    <xf numFmtId="0" fontId="27" fillId="0" borderId="0" xfId="23" applyFont="1" applyFill="1" applyBorder="1" applyProtection="1"/>
    <xf numFmtId="178" fontId="0" fillId="22" borderId="0" xfId="0" applyNumberFormat="1" applyFill="1"/>
    <xf numFmtId="0" fontId="0" fillId="0" borderId="22" xfId="0" applyFont="1" applyBorder="1" applyAlignment="1">
      <alignment horizontal="right"/>
    </xf>
    <xf numFmtId="172" fontId="3" fillId="0" borderId="22" xfId="0" applyNumberFormat="1" applyFont="1" applyBorder="1"/>
    <xf numFmtId="178" fontId="0" fillId="0" borderId="0" xfId="0" applyNumberFormat="1"/>
    <xf numFmtId="174" fontId="0" fillId="13" borderId="0" xfId="0" applyNumberFormat="1" applyFill="1"/>
    <xf numFmtId="167" fontId="3" fillId="13" borderId="0" xfId="0" applyNumberFormat="1" applyFont="1" applyFill="1"/>
    <xf numFmtId="165" fontId="17" fillId="0" borderId="0" xfId="0" applyNumberFormat="1" applyFont="1" applyAlignment="1">
      <alignment horizontal="right"/>
    </xf>
    <xf numFmtId="175" fontId="0" fillId="12" borderId="0" xfId="0" applyNumberFormat="1" applyFill="1"/>
    <xf numFmtId="172" fontId="29" fillId="0" borderId="0" xfId="0" applyNumberFormat="1" applyFont="1"/>
    <xf numFmtId="175" fontId="0" fillId="22" borderId="0" xfId="0" applyNumberFormat="1" applyFill="1"/>
    <xf numFmtId="172" fontId="3" fillId="12" borderId="0" xfId="0" applyNumberFormat="1" applyFont="1" applyFill="1"/>
    <xf numFmtId="172" fontId="15" fillId="23" borderId="0" xfId="0" applyNumberFormat="1" applyFont="1" applyFill="1"/>
    <xf numFmtId="178" fontId="3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right"/>
    </xf>
    <xf numFmtId="174" fontId="28" fillId="0" borderId="0" xfId="0" applyNumberFormat="1" applyFont="1"/>
    <xf numFmtId="175" fontId="31" fillId="0" borderId="0" xfId="0" applyNumberFormat="1" applyFont="1"/>
    <xf numFmtId="167" fontId="3" fillId="22" borderId="0" xfId="0" applyNumberFormat="1" applyFont="1" applyFill="1"/>
    <xf numFmtId="167" fontId="0" fillId="21" borderId="0" xfId="0" applyNumberFormat="1" applyFill="1"/>
    <xf numFmtId="165" fontId="15" fillId="21" borderId="0" xfId="0" applyNumberFormat="1" applyFont="1" applyFill="1"/>
    <xf numFmtId="167" fontId="15" fillId="21" borderId="0" xfId="0" applyNumberFormat="1" applyFont="1" applyFill="1"/>
    <xf numFmtId="167" fontId="25" fillId="0" borderId="0" xfId="0" applyNumberFormat="1" applyFont="1"/>
    <xf numFmtId="0" fontId="25" fillId="0" borderId="0" xfId="0" applyFont="1" applyAlignment="1">
      <alignment horizontal="right"/>
    </xf>
    <xf numFmtId="167" fontId="15" fillId="0" borderId="0" xfId="0" applyNumberFormat="1" applyFont="1"/>
    <xf numFmtId="0" fontId="23" fillId="0" borderId="0" xfId="0" applyFont="1" applyAlignment="1">
      <alignment horizontal="right"/>
    </xf>
    <xf numFmtId="167" fontId="0" fillId="22" borderId="0" xfId="0" applyNumberFormat="1" applyFill="1"/>
    <xf numFmtId="171" fontId="18" fillId="24" borderId="9" xfId="0" applyNumberFormat="1" applyFont="1" applyFill="1" applyBorder="1" applyAlignment="1">
      <alignment horizontal="center" vertical="center"/>
    </xf>
    <xf numFmtId="171" fontId="18" fillId="16" borderId="2" xfId="0" applyNumberFormat="1" applyFont="1" applyFill="1" applyBorder="1" applyAlignment="1">
      <alignment horizontal="center" vertical="center"/>
    </xf>
    <xf numFmtId="4" fontId="0" fillId="16" borderId="3" xfId="0" applyNumberFormat="1" applyFill="1" applyBorder="1" applyAlignment="1">
      <alignment horizontal="center" vertical="center"/>
    </xf>
    <xf numFmtId="4" fontId="0" fillId="24" borderId="10" xfId="0" applyNumberFormat="1" applyFont="1" applyFill="1" applyBorder="1" applyAlignment="1">
      <alignment horizontal="center" vertical="center"/>
    </xf>
    <xf numFmtId="4" fontId="0" fillId="16" borderId="11" xfId="0" applyNumberFormat="1" applyFont="1" applyFill="1" applyBorder="1" applyAlignment="1">
      <alignment horizontal="center" vertical="center"/>
    </xf>
    <xf numFmtId="165" fontId="0" fillId="17" borderId="28" xfId="0" applyNumberFormat="1" applyFill="1" applyBorder="1"/>
    <xf numFmtId="165" fontId="0" fillId="17" borderId="0" xfId="0" applyNumberFormat="1" applyFill="1"/>
    <xf numFmtId="165" fontId="0" fillId="25" borderId="13" xfId="0" applyNumberFormat="1" applyFill="1" applyBorder="1"/>
    <xf numFmtId="165" fontId="0" fillId="13" borderId="13" xfId="0" applyNumberFormat="1" applyFill="1" applyBorder="1"/>
    <xf numFmtId="4" fontId="0" fillId="24" borderId="10" xfId="0" applyNumberFormat="1" applyFill="1" applyBorder="1"/>
    <xf numFmtId="0" fontId="0" fillId="24" borderId="10" xfId="0" applyFill="1" applyBorder="1"/>
    <xf numFmtId="165" fontId="0" fillId="19" borderId="28" xfId="0" applyNumberFormat="1" applyFill="1" applyBorder="1"/>
    <xf numFmtId="165" fontId="0" fillId="19" borderId="0" xfId="0" applyNumberFormat="1" applyFill="1"/>
    <xf numFmtId="165" fontId="3" fillId="19" borderId="13" xfId="0" applyNumberFormat="1" applyFont="1" applyFill="1" applyBorder="1"/>
    <xf numFmtId="0" fontId="0" fillId="19" borderId="0" xfId="0" applyFill="1"/>
    <xf numFmtId="4" fontId="3" fillId="24" borderId="9" xfId="0" applyNumberFormat="1" applyFont="1" applyFill="1" applyBorder="1"/>
    <xf numFmtId="0" fontId="0" fillId="0" borderId="15" xfId="0" applyBorder="1"/>
    <xf numFmtId="4" fontId="18" fillId="24" borderId="19" xfId="0" applyNumberFormat="1" applyFont="1" applyFill="1" applyBorder="1"/>
    <xf numFmtId="4" fontId="18" fillId="15" borderId="17" xfId="0" applyNumberFormat="1" applyFont="1" applyFill="1" applyBorder="1"/>
    <xf numFmtId="4" fontId="18" fillId="15" borderId="20" xfId="0" applyNumberFormat="1" applyFont="1" applyFill="1" applyBorder="1"/>
    <xf numFmtId="172" fontId="18" fillId="0" borderId="0" xfId="0" applyNumberFormat="1" applyFont="1"/>
    <xf numFmtId="4" fontId="0" fillId="15" borderId="11" xfId="0" applyNumberFormat="1" applyFont="1" applyFill="1" applyBorder="1"/>
    <xf numFmtId="4" fontId="0" fillId="15" borderId="29" xfId="0" applyNumberFormat="1" applyFill="1" applyBorder="1"/>
    <xf numFmtId="4" fontId="0" fillId="15" borderId="4" xfId="0" applyNumberFormat="1" applyFont="1" applyFill="1" applyBorder="1"/>
    <xf numFmtId="0" fontId="0" fillId="0" borderId="0" xfId="0" applyFont="1" applyAlignment="1">
      <alignment wrapText="1"/>
    </xf>
    <xf numFmtId="164" fontId="3" fillId="0" borderId="0" xfId="0" applyNumberFormat="1" applyFont="1"/>
    <xf numFmtId="4" fontId="32" fillId="12" borderId="0" xfId="0" applyNumberFormat="1" applyFont="1" applyFill="1"/>
    <xf numFmtId="4" fontId="0" fillId="12" borderId="9" xfId="0" applyNumberFormat="1" applyFill="1" applyBorder="1"/>
    <xf numFmtId="4" fontId="0" fillId="0" borderId="10" xfId="0" applyNumberFormat="1" applyBorder="1"/>
    <xf numFmtId="0" fontId="33" fillId="0" borderId="0" xfId="0" applyFont="1" applyAlignment="1">
      <alignment horizontal="right"/>
    </xf>
    <xf numFmtId="4" fontId="3" fillId="0" borderId="22" xfId="0" applyNumberFormat="1" applyFont="1" applyBorder="1"/>
    <xf numFmtId="4" fontId="3" fillId="0" borderId="30" xfId="0" applyNumberFormat="1" applyFont="1" applyBorder="1" applyAlignment="1">
      <alignment horizontal="right"/>
    </xf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right"/>
    </xf>
    <xf numFmtId="4" fontId="34" fillId="0" borderId="10" xfId="0" applyNumberFormat="1" applyFont="1" applyBorder="1" applyAlignment="1">
      <alignment horizontal="right"/>
    </xf>
    <xf numFmtId="4" fontId="34" fillId="0" borderId="31" xfId="0" applyNumberFormat="1" applyFont="1" applyBorder="1" applyAlignment="1">
      <alignment horizontal="right"/>
    </xf>
    <xf numFmtId="186" fontId="0" fillId="0" borderId="0" xfId="0" applyNumberFormat="1"/>
    <xf numFmtId="175" fontId="3" fillId="0" borderId="0" xfId="0" applyNumberFormat="1" applyFont="1"/>
    <xf numFmtId="167" fontId="3" fillId="0" borderId="0" xfId="0" applyNumberFormat="1" applyFont="1" applyAlignment="1">
      <alignment horizontal="right"/>
    </xf>
    <xf numFmtId="186" fontId="3" fillId="0" borderId="0" xfId="0" applyNumberFormat="1" applyFont="1"/>
    <xf numFmtId="167" fontId="0" fillId="20" borderId="0" xfId="0" applyNumberFormat="1" applyFill="1"/>
    <xf numFmtId="186" fontId="0" fillId="20" borderId="0" xfId="0" applyNumberFormat="1" applyFill="1"/>
    <xf numFmtId="167" fontId="0" fillId="20" borderId="0" xfId="0" applyNumberFormat="1" applyFont="1" applyFill="1" applyAlignment="1">
      <alignment horizontal="right"/>
    </xf>
    <xf numFmtId="167" fontId="35" fillId="12" borderId="0" xfId="0" applyNumberFormat="1" applyFont="1" applyFill="1"/>
    <xf numFmtId="167" fontId="0" fillId="0" borderId="0" xfId="0" applyNumberFormat="1" applyFont="1" applyAlignment="1">
      <alignment horizontal="right"/>
    </xf>
    <xf numFmtId="167" fontId="36" fillId="26" borderId="0" xfId="0" applyNumberFormat="1" applyFont="1" applyFill="1"/>
    <xf numFmtId="167" fontId="3" fillId="16" borderId="0" xfId="0" applyNumberFormat="1" applyFont="1" applyFill="1"/>
    <xf numFmtId="186" fontId="0" fillId="16" borderId="0" xfId="0" applyNumberFormat="1" applyFill="1"/>
    <xf numFmtId="167" fontId="0" fillId="16" borderId="0" xfId="0" applyNumberFormat="1" applyFont="1" applyFill="1"/>
    <xf numFmtId="0" fontId="32" fillId="0" borderId="0" xfId="0" applyFont="1"/>
    <xf numFmtId="167" fontId="32" fillId="0" borderId="0" xfId="0" applyNumberFormat="1" applyFont="1"/>
    <xf numFmtId="0" fontId="0" fillId="27" borderId="0" xfId="0" applyFont="1" applyFill="1"/>
    <xf numFmtId="167" fontId="0" fillId="27" borderId="0" xfId="0" applyNumberFormat="1" applyFont="1" applyFill="1" applyAlignment="1">
      <alignment horizontal="right"/>
    </xf>
    <xf numFmtId="167" fontId="3" fillId="27" borderId="0" xfId="0" applyNumberFormat="1" applyFont="1" applyFill="1" applyAlignment="1">
      <alignment horizontal="center"/>
    </xf>
    <xf numFmtId="186" fontId="0" fillId="27" borderId="0" xfId="0" applyNumberFormat="1" applyFont="1" applyFill="1" applyAlignment="1">
      <alignment horizontal="center"/>
    </xf>
    <xf numFmtId="0" fontId="0" fillId="27" borderId="0" xfId="0" applyFill="1"/>
    <xf numFmtId="0" fontId="3" fillId="27" borderId="0" xfId="0" applyFont="1" applyFill="1"/>
    <xf numFmtId="167" fontId="3" fillId="27" borderId="0" xfId="0" applyNumberFormat="1" applyFont="1" applyFill="1"/>
    <xf numFmtId="186" fontId="3" fillId="27" borderId="0" xfId="0" applyNumberFormat="1" applyFont="1" applyFill="1"/>
    <xf numFmtId="0" fontId="37" fillId="0" borderId="0" xfId="0" applyFont="1"/>
    <xf numFmtId="183" fontId="0" fillId="28" borderId="0" xfId="0" applyNumberFormat="1" applyFill="1"/>
    <xf numFmtId="167" fontId="38" fillId="19" borderId="0" xfId="0" applyNumberFormat="1" applyFont="1" applyFill="1"/>
    <xf numFmtId="186" fontId="0" fillId="0" borderId="0" xfId="0" applyNumberFormat="1" applyAlignment="1">
      <alignment horizontal="center"/>
    </xf>
    <xf numFmtId="183" fontId="0" fillId="29" borderId="0" xfId="0" applyNumberFormat="1" applyFill="1"/>
    <xf numFmtId="0" fontId="0" fillId="29" borderId="0" xfId="0" applyFill="1"/>
    <xf numFmtId="167" fontId="0" fillId="29" borderId="0" xfId="0" applyNumberFormat="1" applyFill="1"/>
    <xf numFmtId="183" fontId="0" fillId="30" borderId="0" xfId="0" applyNumberFormat="1" applyFill="1"/>
    <xf numFmtId="0" fontId="0" fillId="30" borderId="0" xfId="0" applyFill="1"/>
    <xf numFmtId="167" fontId="0" fillId="30" borderId="0" xfId="0" applyNumberFormat="1" applyFill="1"/>
    <xf numFmtId="0" fontId="0" fillId="28" borderId="0" xfId="0" applyFont="1" applyFill="1"/>
    <xf numFmtId="167" fontId="0" fillId="19" borderId="0" xfId="0" applyNumberFormat="1" applyFill="1"/>
    <xf numFmtId="167" fontId="28" fillId="30" borderId="0" xfId="0" applyNumberFormat="1" applyFont="1" applyFill="1"/>
    <xf numFmtId="186" fontId="3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82" fontId="0" fillId="0" borderId="0" xfId="0" applyNumberFormat="1"/>
    <xf numFmtId="167" fontId="30" fillId="19" borderId="0" xfId="0" applyNumberFormat="1" applyFont="1" applyFill="1" applyAlignment="1">
      <alignment horizontal="center"/>
    </xf>
    <xf numFmtId="167" fontId="16" fillId="19" borderId="0" xfId="0" applyNumberFormat="1" applyFont="1" applyFill="1" applyAlignment="1">
      <alignment horizontal="center"/>
    </xf>
    <xf numFmtId="167" fontId="3" fillId="0" borderId="15" xfId="0" applyNumberFormat="1" applyFont="1" applyBorder="1"/>
    <xf numFmtId="167" fontId="0" fillId="0" borderId="15" xfId="0" applyNumberFormat="1" applyBorder="1"/>
    <xf numFmtId="167" fontId="0" fillId="0" borderId="18" xfId="0" applyNumberFormat="1" applyBorder="1"/>
    <xf numFmtId="169" fontId="32" fillId="0" borderId="0" xfId="0" applyNumberFormat="1" applyFo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right"/>
    </xf>
    <xf numFmtId="165" fontId="38" fillId="19" borderId="0" xfId="0" applyNumberFormat="1" applyFont="1" applyFill="1"/>
    <xf numFmtId="0" fontId="0" fillId="0" borderId="0" xfId="0" applyAlignment="1">
      <alignment horizontal="center"/>
    </xf>
    <xf numFmtId="165" fontId="16" fillId="12" borderId="0" xfId="0" applyNumberFormat="1" applyFont="1" applyFill="1"/>
    <xf numFmtId="183" fontId="0" fillId="20" borderId="0" xfId="0" applyNumberFormat="1" applyFill="1"/>
    <xf numFmtId="165" fontId="0" fillId="20" borderId="0" xfId="0" applyNumberFormat="1" applyFill="1"/>
    <xf numFmtId="183" fontId="0" fillId="31" borderId="0" xfId="0" applyNumberFormat="1" applyFill="1"/>
    <xf numFmtId="0" fontId="0" fillId="31" borderId="0" xfId="0" applyFont="1" applyFill="1"/>
    <xf numFmtId="165" fontId="0" fillId="31" borderId="0" xfId="0" applyNumberFormat="1" applyFill="1"/>
    <xf numFmtId="165" fontId="3" fillId="31" borderId="0" xfId="0" applyNumberFormat="1" applyFont="1" applyFill="1"/>
    <xf numFmtId="165" fontId="38" fillId="31" borderId="0" xfId="0" applyNumberFormat="1" applyFont="1" applyFill="1"/>
    <xf numFmtId="0" fontId="0" fillId="31" borderId="0" xfId="0" applyFill="1" applyAlignment="1">
      <alignment horizontal="center"/>
    </xf>
    <xf numFmtId="0" fontId="38" fillId="0" borderId="0" xfId="0" applyFont="1" applyAlignment="1">
      <alignment horizontal="center"/>
    </xf>
    <xf numFmtId="169" fontId="18" fillId="0" borderId="0" xfId="0" applyNumberFormat="1" applyFont="1" applyAlignment="1">
      <alignment horizontal="center"/>
    </xf>
    <xf numFmtId="169" fontId="30" fillId="19" borderId="0" xfId="0" applyNumberFormat="1" applyFont="1" applyFill="1" applyAlignment="1">
      <alignment horizontal="center"/>
    </xf>
    <xf numFmtId="169" fontId="16" fillId="19" borderId="0" xfId="0" applyNumberFormat="1" applyFont="1" applyFill="1" applyAlignment="1">
      <alignment horizontal="center"/>
    </xf>
    <xf numFmtId="165" fontId="3" fillId="0" borderId="15" xfId="0" applyNumberFormat="1" applyFont="1" applyBorder="1"/>
    <xf numFmtId="165" fontId="0" fillId="0" borderId="15" xfId="0" applyNumberFormat="1" applyBorder="1"/>
    <xf numFmtId="187" fontId="0" fillId="0" borderId="0" xfId="0" applyNumberFormat="1"/>
    <xf numFmtId="165" fontId="0" fillId="0" borderId="18" xfId="0" applyNumberFormat="1" applyBorder="1"/>
    <xf numFmtId="171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0" fillId="32" borderId="0" xfId="0" applyFill="1"/>
    <xf numFmtId="165" fontId="0" fillId="32" borderId="0" xfId="0" applyNumberFormat="1" applyFill="1"/>
    <xf numFmtId="171" fontId="0" fillId="32" borderId="0" xfId="0" applyNumberFormat="1" applyFill="1"/>
    <xf numFmtId="183" fontId="0" fillId="21" borderId="0" xfId="0" applyNumberFormat="1" applyFill="1"/>
    <xf numFmtId="4" fontId="15" fillId="21" borderId="0" xfId="0" applyNumberFormat="1" applyFont="1" applyFill="1"/>
    <xf numFmtId="175" fontId="0" fillId="32" borderId="0" xfId="0" applyNumberFormat="1" applyFill="1"/>
    <xf numFmtId="0" fontId="40" fillId="0" borderId="0" xfId="0" applyFont="1"/>
    <xf numFmtId="0" fontId="24" fillId="12" borderId="0" xfId="0" applyFont="1" applyFill="1"/>
    <xf numFmtId="0" fontId="10" fillId="0" borderId="0" xfId="0" applyFont="1"/>
    <xf numFmtId="175" fontId="0" fillId="0" borderId="0" xfId="0" applyNumberFormat="1" applyFont="1" applyAlignment="1">
      <alignment horizontal="right"/>
    </xf>
    <xf numFmtId="178" fontId="0" fillId="13" borderId="0" xfId="0" applyNumberFormat="1" applyFill="1"/>
    <xf numFmtId="175" fontId="41" fillId="0" borderId="0" xfId="0" applyNumberFormat="1" applyFont="1"/>
    <xf numFmtId="0" fontId="42" fillId="0" borderId="0" xfId="0" applyFont="1"/>
    <xf numFmtId="0" fontId="0" fillId="33" borderId="0" xfId="0" applyFont="1" applyFill="1"/>
    <xf numFmtId="178" fontId="3" fillId="33" borderId="0" xfId="0" applyNumberFormat="1" applyFont="1" applyFill="1"/>
    <xf numFmtId="165" fontId="3" fillId="33" borderId="0" xfId="0" applyNumberFormat="1" applyFont="1" applyFill="1"/>
    <xf numFmtId="165" fontId="0" fillId="33" borderId="0" xfId="0" applyNumberFormat="1" applyFill="1"/>
    <xf numFmtId="178" fontId="3" fillId="13" borderId="0" xfId="0" applyNumberFormat="1" applyFont="1" applyFill="1"/>
    <xf numFmtId="0" fontId="25" fillId="13" borderId="0" xfId="0" applyFont="1" applyFill="1"/>
    <xf numFmtId="165" fontId="3" fillId="21" borderId="0" xfId="0" applyNumberFormat="1" applyFont="1" applyFill="1"/>
    <xf numFmtId="178" fontId="0" fillId="32" borderId="0" xfId="0" applyNumberFormat="1" applyFill="1"/>
    <xf numFmtId="4" fontId="25" fillId="13" borderId="0" xfId="0" applyNumberFormat="1" applyFont="1" applyFill="1"/>
    <xf numFmtId="171" fontId="18" fillId="13" borderId="0" xfId="0" applyNumberFormat="1" applyFon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4" fontId="0" fillId="13" borderId="32" xfId="0" applyNumberFormat="1" applyFill="1" applyBorder="1"/>
    <xf numFmtId="4" fontId="0" fillId="13" borderId="33" xfId="0" applyNumberFormat="1" applyFill="1" applyBorder="1"/>
    <xf numFmtId="165" fontId="0" fillId="19" borderId="13" xfId="0" applyNumberFormat="1" applyFill="1" applyBorder="1"/>
    <xf numFmtId="4" fontId="3" fillId="19" borderId="0" xfId="0" applyNumberFormat="1" applyFont="1" applyFill="1"/>
    <xf numFmtId="168" fontId="0" fillId="0" borderId="15" xfId="0" applyNumberFormat="1" applyBorder="1"/>
    <xf numFmtId="4" fontId="0" fillId="0" borderId="16" xfId="0" applyNumberFormat="1" applyBorder="1"/>
    <xf numFmtId="4" fontId="0" fillId="0" borderId="15" xfId="0" applyNumberFormat="1" applyBorder="1"/>
    <xf numFmtId="4" fontId="17" fillId="0" borderId="0" xfId="0" applyNumberFormat="1" applyFont="1" applyAlignment="1">
      <alignment horizontal="right"/>
    </xf>
    <xf numFmtId="4" fontId="3" fillId="0" borderId="15" xfId="0" applyNumberFormat="1" applyFont="1" applyBorder="1"/>
    <xf numFmtId="175" fontId="0" fillId="28" borderId="0" xfId="0" applyNumberFormat="1" applyFill="1"/>
    <xf numFmtId="178" fontId="3" fillId="28" borderId="0" xfId="0" applyNumberFormat="1" applyFont="1" applyFill="1"/>
    <xf numFmtId="178" fontId="25" fillId="0" borderId="0" xfId="0" applyNumberFormat="1" applyFont="1"/>
    <xf numFmtId="178" fontId="0" fillId="33" borderId="0" xfId="0" applyNumberFormat="1" applyFill="1"/>
    <xf numFmtId="0" fontId="0" fillId="34" borderId="0" xfId="0" applyFont="1" applyFill="1"/>
    <xf numFmtId="178" fontId="3" fillId="34" borderId="0" xfId="0" applyNumberFormat="1" applyFont="1" applyFill="1"/>
    <xf numFmtId="0" fontId="0" fillId="35" borderId="0" xfId="0" applyFont="1" applyFill="1"/>
    <xf numFmtId="4" fontId="0" fillId="35" borderId="0" xfId="0" applyNumberFormat="1" applyFill="1"/>
    <xf numFmtId="4" fontId="3" fillId="28" borderId="0" xfId="0" applyNumberFormat="1" applyFont="1" applyFill="1"/>
    <xf numFmtId="0" fontId="0" fillId="36" borderId="0" xfId="0" applyFont="1" applyFill="1"/>
    <xf numFmtId="4" fontId="3" fillId="36" borderId="0" xfId="0" applyNumberFormat="1" applyFont="1" applyFill="1"/>
    <xf numFmtId="4" fontId="25" fillId="0" borderId="0" xfId="0" applyNumberFormat="1" applyFont="1"/>
    <xf numFmtId="4" fontId="0" fillId="33" borderId="0" xfId="0" applyNumberFormat="1" applyFill="1"/>
    <xf numFmtId="0" fontId="0" fillId="37" borderId="0" xfId="0" applyFont="1" applyFill="1"/>
    <xf numFmtId="165" fontId="0" fillId="37" borderId="0" xfId="0" applyNumberFormat="1" applyFill="1"/>
    <xf numFmtId="4" fontId="0" fillId="37" borderId="0" xfId="0" applyNumberFormat="1" applyFill="1"/>
    <xf numFmtId="0" fontId="3" fillId="33" borderId="0" xfId="0" applyFont="1" applyFill="1"/>
    <xf numFmtId="175" fontId="0" fillId="37" borderId="0" xfId="0" applyNumberFormat="1" applyFill="1"/>
    <xf numFmtId="165" fontId="3" fillId="36" borderId="0" xfId="0" applyNumberFormat="1" applyFont="1" applyFill="1"/>
    <xf numFmtId="4" fontId="0" fillId="36" borderId="0" xfId="0" applyNumberFormat="1" applyFill="1"/>
    <xf numFmtId="165" fontId="0" fillId="36" borderId="0" xfId="0" applyNumberFormat="1" applyFill="1"/>
    <xf numFmtId="0" fontId="0" fillId="38" borderId="0" xfId="0" applyFill="1"/>
    <xf numFmtId="0" fontId="3" fillId="38" borderId="0" xfId="0" applyFont="1" applyFill="1"/>
    <xf numFmtId="165" fontId="0" fillId="38" borderId="0" xfId="0" applyNumberFormat="1" applyFill="1"/>
    <xf numFmtId="0" fontId="0" fillId="38" borderId="7" xfId="0" applyFont="1" applyFill="1" applyBorder="1"/>
    <xf numFmtId="165" fontId="0" fillId="38" borderId="7" xfId="0" applyNumberFormat="1" applyFill="1" applyBorder="1"/>
    <xf numFmtId="0" fontId="44" fillId="0" borderId="22" xfId="0" applyFont="1" applyBorder="1"/>
    <xf numFmtId="165" fontId="0" fillId="0" borderId="22" xfId="0" applyNumberFormat="1" applyBorder="1"/>
    <xf numFmtId="0" fontId="44" fillId="0" borderId="7" xfId="0" applyFont="1" applyBorder="1"/>
    <xf numFmtId="165" fontId="0" fillId="0" borderId="7" xfId="0" applyNumberFormat="1" applyBorder="1"/>
    <xf numFmtId="165" fontId="3" fillId="0" borderId="22" xfId="0" applyNumberFormat="1" applyFont="1" applyBorder="1"/>
    <xf numFmtId="4" fontId="3" fillId="38" borderId="0" xfId="0" applyNumberFormat="1" applyFont="1" applyFill="1"/>
    <xf numFmtId="0" fontId="0" fillId="39" borderId="0" xfId="0" applyFill="1"/>
    <xf numFmtId="175" fontId="0" fillId="38" borderId="0" xfId="0" applyNumberFormat="1" applyFill="1"/>
    <xf numFmtId="4" fontId="0" fillId="38" borderId="0" xfId="0" applyNumberFormat="1" applyFill="1"/>
    <xf numFmtId="165" fontId="3" fillId="0" borderId="7" xfId="0" applyNumberFormat="1" applyFont="1" applyBorder="1"/>
    <xf numFmtId="0" fontId="45" fillId="0" borderId="0" xfId="0" applyFont="1"/>
    <xf numFmtId="0" fontId="1" fillId="0" borderId="0" xfId="0" applyFont="1"/>
    <xf numFmtId="188" fontId="0" fillId="0" borderId="0" xfId="2" applyNumberFormat="1" applyFont="1"/>
    <xf numFmtId="172" fontId="3" fillId="40" borderId="0" xfId="0" applyNumberFormat="1" applyFont="1" applyFill="1"/>
    <xf numFmtId="0" fontId="0" fillId="41" borderId="0" xfId="0" applyFont="1" applyFill="1"/>
    <xf numFmtId="16" fontId="0" fillId="0" borderId="0" xfId="0" applyNumberFormat="1"/>
    <xf numFmtId="172" fontId="0" fillId="40" borderId="0" xfId="0" applyNumberFormat="1" applyFont="1" applyFill="1"/>
    <xf numFmtId="181" fontId="46" fillId="0" borderId="0" xfId="1"/>
    <xf numFmtId="174" fontId="0" fillId="40" borderId="0" xfId="0" applyNumberFormat="1" applyFont="1" applyFill="1"/>
    <xf numFmtId="175" fontId="25" fillId="40" borderId="0" xfId="0" applyNumberFormat="1" applyFont="1" applyFill="1"/>
    <xf numFmtId="0" fontId="0" fillId="40" borderId="0" xfId="0" applyFont="1" applyFill="1"/>
    <xf numFmtId="0" fontId="22" fillId="40" borderId="0" xfId="0" applyFont="1" applyFill="1"/>
    <xf numFmtId="175" fontId="25" fillId="41" borderId="0" xfId="0" applyNumberFormat="1" applyFont="1" applyFill="1"/>
    <xf numFmtId="172" fontId="0" fillId="41" borderId="0" xfId="0" applyNumberFormat="1" applyFont="1" applyFill="1"/>
    <xf numFmtId="175" fontId="0" fillId="43" borderId="0" xfId="0" applyNumberFormat="1" applyFill="1"/>
    <xf numFmtId="0" fontId="0" fillId="44" borderId="0" xfId="0" applyFill="1"/>
    <xf numFmtId="4" fontId="0" fillId="44" borderId="0" xfId="0" applyNumberFormat="1" applyFill="1"/>
    <xf numFmtId="179" fontId="0" fillId="44" borderId="0" xfId="0" applyNumberFormat="1" applyFill="1"/>
    <xf numFmtId="4" fontId="3" fillId="44" borderId="0" xfId="0" applyNumberFormat="1" applyFont="1" applyFill="1"/>
    <xf numFmtId="172" fontId="3" fillId="43" borderId="0" xfId="0" applyNumberFormat="1" applyFont="1" applyFill="1"/>
    <xf numFmtId="4" fontId="3" fillId="43" borderId="0" xfId="0" applyNumberFormat="1" applyFont="1" applyFill="1"/>
    <xf numFmtId="189" fontId="3" fillId="20" borderId="0" xfId="0" applyNumberFormat="1" applyFont="1" applyFill="1"/>
    <xf numFmtId="189" fontId="3" fillId="0" borderId="0" xfId="0" applyNumberFormat="1" applyFont="1"/>
    <xf numFmtId="172" fontId="3" fillId="0" borderId="0" xfId="0" applyNumberFormat="1" applyFont="1" applyFill="1"/>
    <xf numFmtId="175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4" fontId="3" fillId="0" borderId="0" xfId="0" applyNumberFormat="1" applyFont="1" applyFill="1"/>
    <xf numFmtId="0" fontId="25" fillId="40" borderId="0" xfId="0" applyFont="1" applyFill="1"/>
    <xf numFmtId="174" fontId="0" fillId="40" borderId="0" xfId="0" applyNumberFormat="1" applyFill="1"/>
    <xf numFmtId="176" fontId="0" fillId="40" borderId="0" xfId="0" applyNumberFormat="1" applyFill="1"/>
    <xf numFmtId="177" fontId="0" fillId="40" borderId="0" xfId="0" applyNumberFormat="1" applyFill="1"/>
    <xf numFmtId="172" fontId="0" fillId="40" borderId="0" xfId="0" applyNumberFormat="1" applyFill="1"/>
    <xf numFmtId="0" fontId="3" fillId="40" borderId="0" xfId="0" applyFont="1" applyFill="1"/>
    <xf numFmtId="0" fontId="3" fillId="45" borderId="0" xfId="0" applyFont="1" applyFill="1"/>
    <xf numFmtId="172" fontId="3" fillId="45" borderId="0" xfId="0" applyNumberFormat="1" applyFont="1" applyFill="1"/>
    <xf numFmtId="172" fontId="47" fillId="46" borderId="0" xfId="0" applyNumberFormat="1" applyFont="1" applyFill="1"/>
    <xf numFmtId="4" fontId="3" fillId="46" borderId="0" xfId="0" applyNumberFormat="1" applyFont="1" applyFill="1"/>
    <xf numFmtId="0" fontId="0" fillId="40" borderId="0" xfId="0" applyFill="1"/>
    <xf numFmtId="189" fontId="3" fillId="43" borderId="0" xfId="0" applyNumberFormat="1" applyFont="1" applyFill="1"/>
    <xf numFmtId="16" fontId="0" fillId="40" borderId="0" xfId="0" applyNumberFormat="1" applyFill="1"/>
    <xf numFmtId="172" fontId="0" fillId="0" borderId="0" xfId="0" applyNumberFormat="1" applyFont="1" applyFill="1"/>
    <xf numFmtId="171" fontId="46" fillId="0" borderId="0" xfId="2" applyNumberFormat="1"/>
    <xf numFmtId="177" fontId="0" fillId="40" borderId="0" xfId="0" applyNumberFormat="1" applyFont="1" applyFill="1"/>
    <xf numFmtId="175" fontId="25" fillId="43" borderId="0" xfId="0" applyNumberFormat="1" applyFont="1" applyFill="1"/>
    <xf numFmtId="172" fontId="0" fillId="43" borderId="0" xfId="0" applyNumberFormat="1" applyFill="1"/>
    <xf numFmtId="0" fontId="0" fillId="45" borderId="0" xfId="0" applyFill="1"/>
    <xf numFmtId="172" fontId="3" fillId="43" borderId="26" xfId="0" applyNumberFormat="1" applyFont="1" applyFill="1" applyBorder="1"/>
    <xf numFmtId="177" fontId="3" fillId="0" borderId="0" xfId="0" applyNumberFormat="1" applyFont="1"/>
    <xf numFmtId="177" fontId="0" fillId="21" borderId="0" xfId="0" applyNumberFormat="1" applyFill="1"/>
    <xf numFmtId="0" fontId="24" fillId="40" borderId="0" xfId="0" applyFont="1" applyFill="1"/>
    <xf numFmtId="0" fontId="25" fillId="45" borderId="0" xfId="0" applyFont="1" applyFill="1"/>
    <xf numFmtId="175" fontId="23" fillId="40" borderId="0" xfId="0" applyNumberFormat="1" applyFont="1" applyFill="1"/>
    <xf numFmtId="0" fontId="0" fillId="47" borderId="0" xfId="0" applyFont="1" applyFill="1"/>
    <xf numFmtId="172" fontId="0" fillId="47" borderId="0" xfId="0" applyNumberFormat="1" applyFont="1" applyFill="1"/>
    <xf numFmtId="189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172" fontId="3" fillId="0" borderId="0" xfId="0" applyNumberFormat="1" applyFont="1" applyBorder="1"/>
    <xf numFmtId="172" fontId="16" fillId="43" borderId="26" xfId="0" applyNumberFormat="1" applyFont="1" applyFill="1" applyBorder="1"/>
    <xf numFmtId="172" fontId="16" fillId="0" borderId="26" xfId="0" applyNumberFormat="1" applyFont="1" applyBorder="1"/>
    <xf numFmtId="190" fontId="46" fillId="0" borderId="0" xfId="2" applyNumberFormat="1"/>
    <xf numFmtId="191" fontId="0" fillId="0" borderId="0" xfId="0" applyNumberFormat="1"/>
    <xf numFmtId="175" fontId="0" fillId="45" borderId="0" xfId="0" applyNumberFormat="1" applyFill="1"/>
    <xf numFmtId="0" fontId="0" fillId="48" borderId="0" xfId="0" applyFill="1"/>
    <xf numFmtId="4" fontId="0" fillId="48" borderId="0" xfId="0" applyNumberFormat="1" applyFill="1"/>
    <xf numFmtId="179" fontId="0" fillId="48" borderId="0" xfId="0" applyNumberFormat="1" applyFill="1"/>
    <xf numFmtId="4" fontId="3" fillId="48" borderId="0" xfId="0" applyNumberFormat="1" applyFont="1" applyFill="1"/>
    <xf numFmtId="4" fontId="3" fillId="45" borderId="0" xfId="0" applyNumberFormat="1" applyFont="1" applyFill="1"/>
    <xf numFmtId="0" fontId="0" fillId="40" borderId="0" xfId="0" applyFont="1" applyFill="1" applyAlignment="1">
      <alignment horizontal="left"/>
    </xf>
    <xf numFmtId="177" fontId="0" fillId="49" borderId="0" xfId="0" applyNumberFormat="1" applyFont="1" applyFill="1"/>
    <xf numFmtId="0" fontId="0" fillId="49" borderId="0" xfId="0" applyFont="1" applyFill="1"/>
    <xf numFmtId="172" fontId="0" fillId="49" borderId="0" xfId="0" applyNumberFormat="1" applyFont="1" applyFill="1"/>
    <xf numFmtId="4" fontId="0" fillId="0" borderId="0" xfId="0" applyNumberFormat="1" applyFill="1"/>
    <xf numFmtId="179" fontId="0" fillId="0" borderId="0" xfId="0" applyNumberFormat="1" applyFill="1"/>
    <xf numFmtId="177" fontId="0" fillId="0" borderId="0" xfId="0" applyNumberFormat="1" applyFill="1"/>
    <xf numFmtId="172" fontId="3" fillId="0" borderId="9" xfId="0" applyNumberFormat="1" applyFont="1" applyBorder="1"/>
    <xf numFmtId="172" fontId="3" fillId="0" borderId="10" xfId="0" applyNumberFormat="1" applyFont="1" applyBorder="1"/>
    <xf numFmtId="172" fontId="3" fillId="0" borderId="31" xfId="0" applyNumberFormat="1" applyFont="1" applyBorder="1"/>
    <xf numFmtId="172" fontId="3" fillId="0" borderId="26" xfId="0" applyNumberFormat="1" applyFont="1" applyBorder="1"/>
    <xf numFmtId="0" fontId="3" fillId="0" borderId="24" xfId="0" applyFont="1" applyBorder="1"/>
    <xf numFmtId="0" fontId="3" fillId="0" borderId="25" xfId="0" applyFont="1" applyBorder="1"/>
    <xf numFmtId="172" fontId="3" fillId="0" borderId="9" xfId="0" applyNumberFormat="1" applyFont="1" applyFill="1" applyBorder="1"/>
    <xf numFmtId="172" fontId="3" fillId="0" borderId="10" xfId="0" applyNumberFormat="1" applyFont="1" applyFill="1" applyBorder="1"/>
    <xf numFmtId="0" fontId="0" fillId="0" borderId="0" xfId="0" applyFill="1" applyBorder="1"/>
    <xf numFmtId="0" fontId="28" fillId="0" borderId="0" xfId="0" applyFont="1" applyFill="1" applyBorder="1"/>
    <xf numFmtId="0" fontId="28" fillId="0" borderId="0" xfId="0" applyFont="1" applyFill="1"/>
    <xf numFmtId="172" fontId="29" fillId="0" borderId="10" xfId="0" applyNumberFormat="1" applyFont="1" applyFill="1" applyBorder="1"/>
    <xf numFmtId="172" fontId="48" fillId="0" borderId="10" xfId="0" applyNumberFormat="1" applyFont="1" applyFill="1" applyBorder="1"/>
    <xf numFmtId="0" fontId="49" fillId="0" borderId="0" xfId="0" applyFont="1" applyFill="1" applyBorder="1"/>
    <xf numFmtId="177" fontId="0" fillId="0" borderId="0" xfId="0" applyNumberFormat="1" applyFont="1"/>
    <xf numFmtId="189" fontId="3" fillId="45" borderId="0" xfId="0" applyNumberFormat="1" applyFont="1" applyFill="1"/>
    <xf numFmtId="177" fontId="3" fillId="45" borderId="0" xfId="0" applyNumberFormat="1" applyFont="1" applyFill="1"/>
    <xf numFmtId="190" fontId="3" fillId="0" borderId="0" xfId="2" applyNumberFormat="1" applyFont="1"/>
    <xf numFmtId="170" fontId="32" fillId="0" borderId="0" xfId="0" applyNumberFormat="1" applyFont="1"/>
    <xf numFmtId="170" fontId="15" fillId="0" borderId="0" xfId="0" applyNumberFormat="1" applyFont="1"/>
    <xf numFmtId="170" fontId="50" fillId="0" borderId="0" xfId="0" applyNumberFormat="1" applyFont="1"/>
    <xf numFmtId="172" fontId="3" fillId="45" borderId="22" xfId="0" applyNumberFormat="1" applyFont="1" applyFill="1" applyBorder="1"/>
    <xf numFmtId="172" fontId="3" fillId="45" borderId="34" xfId="0" applyNumberFormat="1" applyFont="1" applyFill="1" applyBorder="1"/>
    <xf numFmtId="189" fontId="3" fillId="20" borderId="25" xfId="0" applyNumberFormat="1" applyFont="1" applyFill="1" applyBorder="1"/>
    <xf numFmtId="4" fontId="3" fillId="12" borderId="23" xfId="0" applyNumberFormat="1" applyFont="1" applyFill="1" applyBorder="1"/>
    <xf numFmtId="192" fontId="46" fillId="0" borderId="0" xfId="1" applyNumberFormat="1"/>
    <xf numFmtId="175" fontId="0" fillId="0" borderId="0" xfId="0" applyNumberFormat="1" applyBorder="1"/>
    <xf numFmtId="40" fontId="3" fillId="50" borderId="0" xfId="0" applyNumberFormat="1" applyFont="1" applyFill="1"/>
    <xf numFmtId="4" fontId="3" fillId="51" borderId="0" xfId="0" applyNumberFormat="1" applyFont="1" applyFill="1"/>
    <xf numFmtId="0" fontId="3" fillId="20" borderId="0" xfId="0" applyFont="1" applyFill="1" applyBorder="1"/>
    <xf numFmtId="177" fontId="51" fillId="0" borderId="0" xfId="0" applyNumberFormat="1" applyFont="1"/>
    <xf numFmtId="0" fontId="52" fillId="0" borderId="0" xfId="0" applyFont="1" applyFill="1" applyBorder="1"/>
    <xf numFmtId="0" fontId="52" fillId="0" borderId="0" xfId="0" applyFont="1" applyFill="1"/>
    <xf numFmtId="172" fontId="53" fillId="0" borderId="10" xfId="0" applyNumberFormat="1" applyFont="1" applyFill="1" applyBorder="1"/>
    <xf numFmtId="0" fontId="0" fillId="52" borderId="0" xfId="0" applyFill="1"/>
    <xf numFmtId="164" fontId="0" fillId="0" borderId="2" xfId="0" applyNumberFormat="1" applyFill="1" applyBorder="1"/>
    <xf numFmtId="0" fontId="0" fillId="0" borderId="14" xfId="0" applyFill="1" applyBorder="1"/>
    <xf numFmtId="0" fontId="0" fillId="0" borderId="14" xfId="0" applyFont="1" applyFill="1" applyBorder="1"/>
    <xf numFmtId="4" fontId="0" fillId="0" borderId="3" xfId="0" applyNumberFormat="1" applyBorder="1"/>
    <xf numFmtId="164" fontId="0" fillId="40" borderId="11" xfId="0" applyNumberFormat="1" applyFill="1" applyBorder="1"/>
    <xf numFmtId="0" fontId="0" fillId="40" borderId="0" xfId="0" applyFill="1" applyBorder="1"/>
    <xf numFmtId="0" fontId="0" fillId="40" borderId="0" xfId="0" applyFont="1" applyFill="1" applyBorder="1"/>
    <xf numFmtId="4" fontId="0" fillId="40" borderId="0" xfId="0" applyNumberFormat="1" applyFill="1" applyBorder="1"/>
    <xf numFmtId="4" fontId="17" fillId="40" borderId="0" xfId="0" applyNumberFormat="1" applyFont="1" applyFill="1" applyBorder="1"/>
    <xf numFmtId="164" fontId="3" fillId="40" borderId="4" xfId="0" applyNumberFormat="1" applyFont="1" applyFill="1" applyBorder="1"/>
    <xf numFmtId="0" fontId="3" fillId="40" borderId="27" xfId="0" applyFont="1" applyFill="1" applyBorder="1"/>
    <xf numFmtId="164" fontId="0" fillId="0" borderId="2" xfId="0" applyNumberFormat="1" applyBorder="1"/>
    <xf numFmtId="164" fontId="0" fillId="40" borderId="4" xfId="0" applyNumberFormat="1" applyFill="1" applyBorder="1"/>
    <xf numFmtId="0" fontId="0" fillId="40" borderId="27" xfId="0" applyFont="1" applyFill="1" applyBorder="1"/>
    <xf numFmtId="0" fontId="3" fillId="0" borderId="2" xfId="0" applyFont="1" applyBorder="1"/>
    <xf numFmtId="0" fontId="3" fillId="0" borderId="11" xfId="0" applyFont="1" applyBorder="1"/>
    <xf numFmtId="0" fontId="0" fillId="0" borderId="0" xfId="0" applyBorder="1"/>
    <xf numFmtId="4" fontId="0" fillId="0" borderId="0" xfId="0" applyNumberFormat="1" applyBorder="1"/>
    <xf numFmtId="0" fontId="0" fillId="0" borderId="3" xfId="0" applyFont="1" applyBorder="1"/>
    <xf numFmtId="0" fontId="0" fillId="0" borderId="12" xfId="0" applyBorder="1"/>
    <xf numFmtId="0" fontId="0" fillId="0" borderId="4" xfId="0" applyFont="1" applyBorder="1"/>
    <xf numFmtId="0" fontId="0" fillId="0" borderId="5" xfId="0" applyBorder="1"/>
    <xf numFmtId="0" fontId="0" fillId="0" borderId="11" xfId="0" applyBorder="1"/>
    <xf numFmtId="164" fontId="17" fillId="44" borderId="0" xfId="0" applyNumberFormat="1" applyFont="1" applyFill="1"/>
    <xf numFmtId="0" fontId="54" fillId="44" borderId="0" xfId="0" applyFont="1" applyFill="1"/>
    <xf numFmtId="2" fontId="17" fillId="44" borderId="0" xfId="0" applyNumberFormat="1" applyFont="1" applyFill="1"/>
    <xf numFmtId="4" fontId="17" fillId="44" borderId="0" xfId="0" applyNumberFormat="1" applyFont="1" applyFill="1"/>
    <xf numFmtId="0" fontId="3" fillId="43" borderId="24" xfId="0" applyFont="1" applyFill="1" applyBorder="1"/>
    <xf numFmtId="2" fontId="0" fillId="43" borderId="25" xfId="0" applyNumberFormat="1" applyFill="1" applyBorder="1"/>
    <xf numFmtId="4" fontId="0" fillId="43" borderId="25" xfId="0" applyNumberFormat="1" applyFill="1" applyBorder="1"/>
    <xf numFmtId="4" fontId="0" fillId="43" borderId="26" xfId="0" applyNumberFormat="1" applyFill="1" applyBorder="1"/>
    <xf numFmtId="0" fontId="23" fillId="40" borderId="0" xfId="0" applyFont="1" applyFill="1"/>
    <xf numFmtId="175" fontId="3" fillId="52" borderId="0" xfId="0" applyNumberFormat="1" applyFont="1" applyFill="1"/>
    <xf numFmtId="9" fontId="0" fillId="0" borderId="0" xfId="0" applyNumberFormat="1" applyAlignment="1">
      <alignment horizontal="left"/>
    </xf>
    <xf numFmtId="4" fontId="3" fillId="0" borderId="31" xfId="0" applyNumberFormat="1" applyFont="1" applyBorder="1"/>
    <xf numFmtId="175" fontId="3" fillId="52" borderId="24" xfId="0" applyNumberFormat="1" applyFont="1" applyFill="1" applyBorder="1"/>
    <xf numFmtId="0" fontId="0" fillId="20" borderId="25" xfId="0" applyFill="1" applyBorder="1"/>
    <xf numFmtId="3" fontId="0" fillId="20" borderId="25" xfId="0" applyNumberFormat="1" applyFill="1" applyBorder="1"/>
    <xf numFmtId="172" fontId="3" fillId="0" borderId="25" xfId="0" applyNumberFormat="1" applyFont="1" applyBorder="1"/>
    <xf numFmtId="4" fontId="3" fillId="0" borderId="25" xfId="0" applyNumberFormat="1" applyFont="1" applyBorder="1"/>
    <xf numFmtId="173" fontId="0" fillId="40" borderId="0" xfId="0" applyNumberFormat="1" applyFont="1" applyFill="1"/>
    <xf numFmtId="16" fontId="0" fillId="40" borderId="0" xfId="0" applyNumberFormat="1" applyFont="1" applyFill="1"/>
    <xf numFmtId="175" fontId="3" fillId="0" borderId="0" xfId="0" applyNumberFormat="1" applyFont="1" applyFill="1" applyBorder="1"/>
    <xf numFmtId="3" fontId="0" fillId="0" borderId="0" xfId="0" applyNumberFormat="1" applyFill="1" applyBorder="1"/>
    <xf numFmtId="172" fontId="3" fillId="0" borderId="0" xfId="0" applyNumberFormat="1" applyFont="1" applyFill="1" applyBorder="1"/>
    <xf numFmtId="4" fontId="3" fillId="0" borderId="0" xfId="0" applyNumberFormat="1" applyFont="1" applyFill="1" applyBorder="1"/>
    <xf numFmtId="175" fontId="3" fillId="0" borderId="0" xfId="0" applyNumberFormat="1" applyFont="1" applyFill="1"/>
    <xf numFmtId="4" fontId="0" fillId="40" borderId="0" xfId="0" applyNumberFormat="1" applyFill="1"/>
    <xf numFmtId="164" fontId="17" fillId="44" borderId="35" xfId="0" applyNumberFormat="1" applyFont="1" applyFill="1" applyBorder="1"/>
    <xf numFmtId="0" fontId="54" fillId="44" borderId="35" xfId="0" applyFont="1" applyFill="1" applyBorder="1"/>
    <xf numFmtId="2" fontId="17" fillId="44" borderId="35" xfId="0" applyNumberFormat="1" applyFont="1" applyFill="1" applyBorder="1"/>
    <xf numFmtId="4" fontId="17" fillId="44" borderId="35" xfId="0" applyNumberFormat="1" applyFont="1" applyFill="1" applyBorder="1"/>
    <xf numFmtId="164" fontId="17" fillId="44" borderId="22" xfId="0" applyNumberFormat="1" applyFont="1" applyFill="1" applyBorder="1"/>
    <xf numFmtId="0" fontId="54" fillId="44" borderId="22" xfId="0" applyFont="1" applyFill="1" applyBorder="1"/>
    <xf numFmtId="2" fontId="17" fillId="44" borderId="22" xfId="0" applyNumberFormat="1" applyFont="1" applyFill="1" applyBorder="1"/>
    <xf numFmtId="4" fontId="17" fillId="44" borderId="22" xfId="0" applyNumberFormat="1" applyFont="1" applyFill="1" applyBorder="1"/>
    <xf numFmtId="174" fontId="3" fillId="40" borderId="0" xfId="0" applyNumberFormat="1" applyFont="1" applyFill="1"/>
    <xf numFmtId="181" fontId="46" fillId="40" borderId="0" xfId="1" applyFill="1"/>
    <xf numFmtId="3" fontId="0" fillId="53" borderId="0" xfId="0" applyNumberFormat="1" applyFill="1"/>
    <xf numFmtId="4" fontId="3" fillId="40" borderId="0" xfId="0" applyNumberFormat="1" applyFont="1" applyFill="1"/>
    <xf numFmtId="4" fontId="3" fillId="40" borderId="23" xfId="0" applyNumberFormat="1" applyFont="1" applyFill="1" applyBorder="1"/>
    <xf numFmtId="166" fontId="46" fillId="0" borderId="0" xfId="2"/>
    <xf numFmtId="172" fontId="3" fillId="53" borderId="0" xfId="0" applyNumberFormat="1" applyFont="1" applyFill="1"/>
    <xf numFmtId="0" fontId="3" fillId="0" borderId="0" xfId="0" applyFont="1" applyFill="1" applyBorder="1"/>
    <xf numFmtId="173" fontId="0" fillId="0" borderId="0" xfId="0" applyNumberFormat="1" applyFont="1" applyFill="1"/>
    <xf numFmtId="0" fontId="22" fillId="0" borderId="0" xfId="0" applyFont="1" applyFill="1"/>
    <xf numFmtId="177" fontId="0" fillId="0" borderId="2" xfId="0" applyNumberFormat="1" applyBorder="1"/>
    <xf numFmtId="177" fontId="0" fillId="0" borderId="11" xfId="0" applyNumberFormat="1" applyBorder="1"/>
    <xf numFmtId="177" fontId="0" fillId="0" borderId="11" xfId="0" applyNumberFormat="1" applyFill="1" applyBorder="1"/>
    <xf numFmtId="177" fontId="0" fillId="0" borderId="4" xfId="0" applyNumberFormat="1" applyBorder="1"/>
    <xf numFmtId="0" fontId="0" fillId="0" borderId="11" xfId="0" applyFill="1" applyBorder="1"/>
    <xf numFmtId="0" fontId="28" fillId="0" borderId="11" xfId="0" applyFont="1" applyFill="1" applyBorder="1"/>
    <xf numFmtId="0" fontId="0" fillId="0" borderId="4" xfId="0" applyBorder="1"/>
    <xf numFmtId="177" fontId="0" fillId="20" borderId="0" xfId="0" applyNumberFormat="1" applyFont="1" applyFill="1"/>
    <xf numFmtId="177" fontId="3" fillId="21" borderId="0" xfId="0" applyNumberFormat="1" applyFont="1" applyFill="1"/>
    <xf numFmtId="177" fontId="3" fillId="52" borderId="0" xfId="0" applyNumberFormat="1" applyFont="1" applyFill="1"/>
    <xf numFmtId="177" fontId="0" fillId="45" borderId="0" xfId="0" applyNumberFormat="1" applyFill="1"/>
    <xf numFmtId="177" fontId="0" fillId="52" borderId="0" xfId="0" applyNumberFormat="1" applyFill="1" applyBorder="1"/>
    <xf numFmtId="177" fontId="0" fillId="52" borderId="0" xfId="0" applyNumberFormat="1" applyFill="1"/>
    <xf numFmtId="177" fontId="3" fillId="0" borderId="0" xfId="0" applyNumberFormat="1" applyFont="1" applyFill="1" applyBorder="1"/>
    <xf numFmtId="177" fontId="3" fillId="0" borderId="0" xfId="0" applyNumberFormat="1" applyFont="1" applyFill="1"/>
    <xf numFmtId="4" fontId="0" fillId="51" borderId="0" xfId="0" applyNumberFormat="1" applyFill="1"/>
    <xf numFmtId="172" fontId="3" fillId="47" borderId="0" xfId="0" applyNumberFormat="1" applyFont="1" applyFill="1"/>
    <xf numFmtId="0" fontId="3" fillId="54" borderId="0" xfId="0" applyFont="1" applyFill="1" applyAlignment="1">
      <alignment horizontal="right"/>
    </xf>
    <xf numFmtId="3" fontId="0" fillId="48" borderId="0" xfId="0" applyNumberFormat="1" applyFill="1"/>
    <xf numFmtId="189" fontId="3" fillId="48" borderId="0" xfId="0" applyNumberFormat="1" applyFont="1" applyFill="1"/>
    <xf numFmtId="16" fontId="23" fillId="0" borderId="0" xfId="0" applyNumberFormat="1" applyFont="1"/>
    <xf numFmtId="172" fontId="3" fillId="55" borderId="23" xfId="0" applyNumberFormat="1" applyFont="1" applyFill="1" applyBorder="1"/>
    <xf numFmtId="172" fontId="3" fillId="55" borderId="26" xfId="0" applyNumberFormat="1" applyFont="1" applyFill="1" applyBorder="1"/>
    <xf numFmtId="4" fontId="0" fillId="52" borderId="0" xfId="0" applyNumberFormat="1" applyFill="1"/>
    <xf numFmtId="4" fontId="3" fillId="52" borderId="0" xfId="0" applyNumberFormat="1" applyFont="1" applyFill="1" applyBorder="1"/>
    <xf numFmtId="0" fontId="54" fillId="44" borderId="0" xfId="0" applyFont="1" applyFill="1" applyBorder="1"/>
    <xf numFmtId="2" fontId="17" fillId="44" borderId="0" xfId="0" applyNumberFormat="1" applyFont="1" applyFill="1" applyBorder="1"/>
    <xf numFmtId="4" fontId="17" fillId="44" borderId="0" xfId="0" applyNumberFormat="1" applyFont="1" applyFill="1" applyBorder="1"/>
    <xf numFmtId="4" fontId="3" fillId="40" borderId="0" xfId="0" applyNumberFormat="1" applyFont="1" applyFill="1" applyBorder="1"/>
    <xf numFmtId="0" fontId="25" fillId="0" borderId="14" xfId="0" applyFont="1" applyBorder="1"/>
    <xf numFmtId="0" fontId="25" fillId="0" borderId="0" xfId="0" applyFont="1" applyBorder="1"/>
    <xf numFmtId="4" fontId="0" fillId="0" borderId="0" xfId="0" applyNumberFormat="1" applyFill="1" applyBorder="1"/>
    <xf numFmtId="4" fontId="15" fillId="40" borderId="0" xfId="0" applyNumberFormat="1" applyFont="1" applyFill="1" applyBorder="1"/>
    <xf numFmtId="172" fontId="29" fillId="0" borderId="0" xfId="0" applyNumberFormat="1" applyFont="1" applyFill="1" applyBorder="1"/>
    <xf numFmtId="172" fontId="48" fillId="0" borderId="0" xfId="0" applyNumberFormat="1" applyFont="1" applyFill="1" applyBorder="1"/>
    <xf numFmtId="172" fontId="53" fillId="0" borderId="0" xfId="0" applyNumberFormat="1" applyFont="1" applyFill="1" applyBorder="1"/>
    <xf numFmtId="4" fontId="55" fillId="0" borderId="0" xfId="0" applyNumberFormat="1" applyFont="1"/>
    <xf numFmtId="4" fontId="29" fillId="0" borderId="23" xfId="0" applyNumberFormat="1" applyFont="1" applyBorder="1"/>
    <xf numFmtId="0" fontId="3" fillId="0" borderId="0" xfId="0" applyFont="1" applyBorder="1"/>
    <xf numFmtId="4" fontId="3" fillId="0" borderId="0" xfId="0" applyNumberFormat="1" applyFont="1" applyBorder="1"/>
    <xf numFmtId="4" fontId="3" fillId="0" borderId="12" xfId="0" applyNumberFormat="1" applyFont="1" applyBorder="1"/>
    <xf numFmtId="0" fontId="14" fillId="0" borderId="11" xfId="0" applyFont="1" applyBorder="1"/>
    <xf numFmtId="0" fontId="14" fillId="0" borderId="0" xfId="0" applyFont="1" applyBorder="1"/>
    <xf numFmtId="4" fontId="14" fillId="0" borderId="0" xfId="0" applyNumberFormat="1" applyFont="1" applyBorder="1"/>
    <xf numFmtId="4" fontId="14" fillId="0" borderId="0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56" fillId="0" borderId="12" xfId="0" applyNumberFormat="1" applyFont="1" applyBorder="1"/>
    <xf numFmtId="0" fontId="0" fillId="0" borderId="0" xfId="0" applyFont="1" applyBorder="1"/>
    <xf numFmtId="0" fontId="0" fillId="0" borderId="27" xfId="0" applyBorder="1"/>
    <xf numFmtId="4" fontId="0" fillId="0" borderId="27" xfId="0" applyNumberFormat="1" applyBorder="1"/>
    <xf numFmtId="4" fontId="56" fillId="0" borderId="27" xfId="0" applyNumberFormat="1" applyFont="1" applyBorder="1"/>
    <xf numFmtId="4" fontId="0" fillId="0" borderId="5" xfId="0" applyNumberFormat="1" applyBorder="1"/>
    <xf numFmtId="0" fontId="3" fillId="0" borderId="27" xfId="0" applyFont="1" applyBorder="1" applyAlignment="1">
      <alignment horizontal="right"/>
    </xf>
    <xf numFmtId="164" fontId="57" fillId="0" borderId="2" xfId="0" applyNumberFormat="1" applyFont="1" applyBorder="1"/>
    <xf numFmtId="0" fontId="57" fillId="0" borderId="14" xfId="0" applyFont="1" applyBorder="1"/>
    <xf numFmtId="4" fontId="58" fillId="0" borderId="14" xfId="0" applyNumberFormat="1" applyFont="1" applyBorder="1"/>
    <xf numFmtId="4" fontId="58" fillId="0" borderId="3" xfId="0" applyNumberFormat="1" applyFont="1" applyBorder="1"/>
    <xf numFmtId="164" fontId="0" fillId="0" borderId="11" xfId="0" applyNumberFormat="1" applyBorder="1"/>
    <xf numFmtId="4" fontId="15" fillId="0" borderId="0" xfId="0" applyNumberFormat="1" applyFont="1" applyBorder="1"/>
    <xf numFmtId="4" fontId="15" fillId="0" borderId="12" xfId="0" applyNumberFormat="1" applyFont="1" applyBorder="1"/>
    <xf numFmtId="4" fontId="17" fillId="0" borderId="0" xfId="0" applyNumberFormat="1" applyFont="1" applyBorder="1"/>
    <xf numFmtId="4" fontId="56" fillId="0" borderId="0" xfId="0" applyNumberFormat="1" applyFont="1" applyBorder="1"/>
    <xf numFmtId="164" fontId="0" fillId="43" borderId="11" xfId="0" applyNumberFormat="1" applyFill="1" applyBorder="1"/>
    <xf numFmtId="164" fontId="3" fillId="0" borderId="11" xfId="0" applyNumberFormat="1" applyFont="1" applyBorder="1"/>
    <xf numFmtId="164" fontId="17" fillId="20" borderId="11" xfId="0" applyNumberFormat="1" applyFont="1" applyFill="1" applyBorder="1"/>
    <xf numFmtId="0" fontId="17" fillId="20" borderId="0" xfId="0" applyFont="1" applyFill="1" applyBorder="1"/>
    <xf numFmtId="4" fontId="17" fillId="20" borderId="0" xfId="0" applyNumberFormat="1" applyFont="1" applyFill="1" applyBorder="1"/>
    <xf numFmtId="4" fontId="17" fillId="20" borderId="12" xfId="0" applyNumberFormat="1" applyFont="1" applyFill="1" applyBorder="1"/>
    <xf numFmtId="164" fontId="15" fillId="20" borderId="11" xfId="0" applyNumberFormat="1" applyFont="1" applyFill="1" applyBorder="1"/>
    <xf numFmtId="0" fontId="15" fillId="0" borderId="0" xfId="0" applyFont="1" applyBorder="1"/>
    <xf numFmtId="164" fontId="0" fillId="20" borderId="11" xfId="0" applyNumberFormat="1" applyFont="1" applyFill="1" applyBorder="1"/>
    <xf numFmtId="0" fontId="17" fillId="0" borderId="0" xfId="0" applyFont="1" applyBorder="1"/>
    <xf numFmtId="4" fontId="0" fillId="0" borderId="0" xfId="0" applyNumberFormat="1" applyFont="1" applyBorder="1"/>
    <xf numFmtId="4" fontId="0" fillId="0" borderId="12" xfId="0" applyNumberFormat="1" applyFont="1" applyBorder="1"/>
    <xf numFmtId="164" fontId="3" fillId="20" borderId="11" xfId="0" applyNumberFormat="1" applyFont="1" applyFill="1" applyBorder="1"/>
    <xf numFmtId="164" fontId="0" fillId="20" borderId="4" xfId="0" applyNumberFormat="1" applyFill="1" applyBorder="1"/>
    <xf numFmtId="0" fontId="0" fillId="20" borderId="27" xfId="0" applyFill="1" applyBorder="1"/>
    <xf numFmtId="4" fontId="0" fillId="20" borderId="27" xfId="0" applyNumberFormat="1" applyFill="1" applyBorder="1"/>
    <xf numFmtId="4" fontId="0" fillId="42" borderId="5" xfId="0" applyNumberFormat="1" applyFill="1" applyBorder="1"/>
    <xf numFmtId="0" fontId="9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4" fontId="3" fillId="0" borderId="14" xfId="0" applyNumberFormat="1" applyFont="1" applyBorder="1" applyAlignment="1">
      <alignment horizontal="right"/>
    </xf>
    <xf numFmtId="4" fontId="15" fillId="0" borderId="14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0" fontId="0" fillId="52" borderId="12" xfId="0" applyFill="1" applyBorder="1"/>
    <xf numFmtId="4" fontId="3" fillId="12" borderId="12" xfId="0" applyNumberFormat="1" applyFont="1" applyFill="1" applyBorder="1"/>
    <xf numFmtId="4" fontId="3" fillId="40" borderId="12" xfId="0" applyNumberFormat="1" applyFont="1" applyFill="1" applyBorder="1"/>
    <xf numFmtId="164" fontId="17" fillId="44" borderId="11" xfId="0" applyNumberFormat="1" applyFont="1" applyFill="1" applyBorder="1"/>
    <xf numFmtId="0" fontId="52" fillId="0" borderId="27" xfId="0" applyFont="1" applyFill="1" applyBorder="1"/>
    <xf numFmtId="172" fontId="53" fillId="0" borderId="27" xfId="0" applyNumberFormat="1" applyFont="1" applyFill="1" applyBorder="1"/>
    <xf numFmtId="4" fontId="29" fillId="0" borderId="5" xfId="0" applyNumberFormat="1" applyFont="1" applyBorder="1"/>
    <xf numFmtId="4" fontId="0" fillId="0" borderId="23" xfId="0" applyNumberFormat="1" applyBorder="1"/>
    <xf numFmtId="0" fontId="53" fillId="0" borderId="0" xfId="0" applyFont="1" applyFill="1" applyBorder="1"/>
    <xf numFmtId="172" fontId="3" fillId="52" borderId="0" xfId="0" applyNumberFormat="1" applyFont="1" applyFill="1"/>
    <xf numFmtId="3" fontId="28" fillId="20" borderId="0" xfId="0" applyNumberFormat="1" applyFont="1" applyFill="1"/>
    <xf numFmtId="4" fontId="3" fillId="49" borderId="23" xfId="0" applyNumberFormat="1" applyFont="1" applyFill="1" applyBorder="1"/>
    <xf numFmtId="3" fontId="28" fillId="53" borderId="0" xfId="0" applyNumberFormat="1" applyFont="1" applyFill="1"/>
    <xf numFmtId="181" fontId="28" fillId="40" borderId="0" xfId="1" applyFont="1" applyFill="1"/>
    <xf numFmtId="181" fontId="28" fillId="0" borderId="0" xfId="1" applyFont="1"/>
    <xf numFmtId="181" fontId="46" fillId="0" borderId="0" xfId="1" applyFill="1"/>
    <xf numFmtId="172" fontId="3" fillId="0" borderId="24" xfId="0" applyNumberFormat="1" applyFont="1" applyFill="1" applyBorder="1"/>
    <xf numFmtId="40" fontId="3" fillId="0" borderId="0" xfId="0" applyNumberFormat="1" applyFont="1" applyFill="1"/>
    <xf numFmtId="189" fontId="3" fillId="0" borderId="0" xfId="0" applyNumberFormat="1" applyFont="1" applyFill="1" applyBorder="1"/>
    <xf numFmtId="189" fontId="3" fillId="48" borderId="25" xfId="0" applyNumberFormat="1" applyFont="1" applyFill="1" applyBorder="1"/>
    <xf numFmtId="4" fontId="0" fillId="45" borderId="0" xfId="0" applyNumberFormat="1" applyFill="1"/>
    <xf numFmtId="4" fontId="3" fillId="49" borderId="0" xfId="0" applyNumberFormat="1" applyFont="1" applyFill="1"/>
    <xf numFmtId="4" fontId="3" fillId="12" borderId="0" xfId="0" applyNumberFormat="1" applyFont="1" applyFill="1" applyBorder="1"/>
    <xf numFmtId="189" fontId="3" fillId="48" borderId="0" xfId="0" applyNumberFormat="1" applyFont="1" applyFill="1" applyBorder="1"/>
    <xf numFmtId="177" fontId="0" fillId="0" borderId="0" xfId="0" applyNumberFormat="1" applyFill="1" applyBorder="1"/>
    <xf numFmtId="181" fontId="46" fillId="0" borderId="0" xfId="1" applyFill="1" applyBorder="1"/>
    <xf numFmtId="166" fontId="46" fillId="0" borderId="0" xfId="2" applyFill="1" applyBorder="1"/>
    <xf numFmtId="4" fontId="3" fillId="45" borderId="23" xfId="0" applyNumberFormat="1" applyFont="1" applyFill="1" applyBorder="1"/>
    <xf numFmtId="181" fontId="28" fillId="0" borderId="0" xfId="1" applyFont="1" applyFill="1"/>
    <xf numFmtId="4" fontId="29" fillId="0" borderId="0" xfId="0" applyNumberFormat="1" applyFont="1" applyFill="1" applyBorder="1"/>
    <xf numFmtId="4" fontId="3" fillId="45" borderId="31" xfId="0" applyNumberFormat="1" applyFont="1" applyFill="1" applyBorder="1"/>
    <xf numFmtId="177" fontId="0" fillId="52" borderId="27" xfId="0" applyNumberFormat="1" applyFill="1" applyBorder="1"/>
    <xf numFmtId="0" fontId="3" fillId="0" borderId="27" xfId="0" applyFont="1" applyFill="1" applyBorder="1"/>
    <xf numFmtId="181" fontId="28" fillId="0" borderId="27" xfId="1" applyFont="1" applyBorder="1"/>
    <xf numFmtId="172" fontId="3" fillId="0" borderId="27" xfId="0" applyNumberFormat="1" applyFont="1" applyBorder="1"/>
    <xf numFmtId="189" fontId="3" fillId="0" borderId="27" xfId="0" applyNumberFormat="1" applyFont="1" applyFill="1" applyBorder="1"/>
    <xf numFmtId="4" fontId="29" fillId="0" borderId="27" xfId="0" applyNumberFormat="1" applyFont="1" applyFill="1" applyBorder="1"/>
    <xf numFmtId="4" fontId="0" fillId="0" borderId="27" xfId="0" applyNumberFormat="1" applyFill="1" applyBorder="1"/>
    <xf numFmtId="181" fontId="28" fillId="0" borderId="0" xfId="1" applyFont="1" applyBorder="1"/>
    <xf numFmtId="181" fontId="28" fillId="0" borderId="0" xfId="1" applyFont="1" applyFill="1" applyBorder="1"/>
    <xf numFmtId="0" fontId="29" fillId="0" borderId="0" xfId="0" applyFont="1" applyFill="1"/>
    <xf numFmtId="189" fontId="29" fillId="0" borderId="0" xfId="0" applyNumberFormat="1" applyFont="1" applyFill="1" applyBorder="1"/>
    <xf numFmtId="193" fontId="3" fillId="0" borderId="0" xfId="1" applyNumberFormat="1" applyFont="1" applyBorder="1" applyAlignment="1">
      <alignment horizontal="left"/>
    </xf>
    <xf numFmtId="166" fontId="18" fillId="16" borderId="9" xfId="0" applyNumberFormat="1" applyFont="1" applyFill="1" applyBorder="1" applyAlignment="1">
      <alignment horizontal="center" vertical="center"/>
    </xf>
    <xf numFmtId="4" fontId="0" fillId="16" borderId="9" xfId="0" applyNumberFormat="1" applyFill="1" applyBorder="1"/>
    <xf numFmtId="181" fontId="3" fillId="0" borderId="0" xfId="1" applyFont="1"/>
    <xf numFmtId="191" fontId="60" fillId="56" borderId="0" xfId="0" applyNumberFormat="1" applyFont="1" applyFill="1"/>
    <xf numFmtId="185" fontId="60" fillId="57" borderId="0" xfId="0" applyNumberFormat="1" applyFont="1" applyFill="1"/>
    <xf numFmtId="172" fontId="3" fillId="0" borderId="0" xfId="0" applyNumberFormat="1" applyFont="1" applyAlignment="1">
      <alignment horizontal="right"/>
    </xf>
    <xf numFmtId="0" fontId="0" fillId="45" borderId="0" xfId="0" applyFill="1" applyAlignment="1">
      <alignment horizontal="right"/>
    </xf>
    <xf numFmtId="172" fontId="3" fillId="58" borderId="0" xfId="0" applyNumberFormat="1" applyFont="1" applyFill="1"/>
    <xf numFmtId="177" fontId="51" fillId="21" borderId="0" xfId="0" applyNumberFormat="1" applyFont="1" applyFill="1"/>
    <xf numFmtId="0" fontId="61" fillId="21" borderId="0" xfId="0" applyFont="1" applyFill="1"/>
    <xf numFmtId="0" fontId="51" fillId="21" borderId="0" xfId="0" applyFont="1" applyFill="1"/>
    <xf numFmtId="181" fontId="51" fillId="58" borderId="0" xfId="1" applyFont="1" applyFill="1"/>
    <xf numFmtId="172" fontId="3" fillId="45" borderId="9" xfId="0" applyNumberFormat="1" applyFont="1" applyFill="1" applyBorder="1"/>
    <xf numFmtId="172" fontId="3" fillId="0" borderId="2" xfId="0" applyNumberFormat="1" applyFont="1" applyBorder="1"/>
    <xf numFmtId="172" fontId="3" fillId="40" borderId="4" xfId="0" applyNumberFormat="1" applyFont="1" applyFill="1" applyBorder="1"/>
    <xf numFmtId="172" fontId="3" fillId="40" borderId="5" xfId="0" applyNumberFormat="1" applyFont="1" applyFill="1" applyBorder="1" applyAlignment="1">
      <alignment horizontal="right"/>
    </xf>
    <xf numFmtId="172" fontId="16" fillId="40" borderId="3" xfId="0" applyNumberFormat="1" applyFont="1" applyFill="1" applyBorder="1"/>
    <xf numFmtId="191" fontId="60" fillId="40" borderId="0" xfId="0" applyNumberFormat="1" applyFont="1" applyFill="1"/>
    <xf numFmtId="185" fontId="60" fillId="53" borderId="0" xfId="0" applyNumberFormat="1" applyFont="1" applyFill="1"/>
    <xf numFmtId="4" fontId="3" fillId="0" borderId="0" xfId="0" applyNumberFormat="1" applyFont="1" applyFill="1" applyBorder="1" applyAlignment="1">
      <alignment horizontal="right"/>
    </xf>
    <xf numFmtId="0" fontId="23" fillId="58" borderId="0" xfId="0" applyFont="1" applyFill="1"/>
    <xf numFmtId="0" fontId="25" fillId="58" borderId="0" xfId="0" applyFont="1" applyFill="1"/>
    <xf numFmtId="172" fontId="3" fillId="58" borderId="0" xfId="0" applyNumberFormat="1" applyFont="1" applyFill="1" applyAlignment="1">
      <alignment horizontal="right"/>
    </xf>
    <xf numFmtId="172" fontId="62" fillId="45" borderId="0" xfId="0" applyNumberFormat="1" applyFont="1" applyFill="1"/>
    <xf numFmtId="198" fontId="0" fillId="0" borderId="0" xfId="0" applyNumberFormat="1" applyBorder="1"/>
  </cellXfs>
  <cellStyles count="24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Excel Built-in 60% - Accent6" xfId="22" xr:uid="{00000000-0005-0000-0000-000019000000}"/>
    <cellStyle name="Excel Built-in Accent1" xfId="23" xr:uid="{00000000-0005-0000-0000-00001A000000}"/>
    <cellStyle name="Excel Built-in Bad" xfId="21" xr:uid="{00000000-0005-0000-0000-000018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137"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5" formatCode="0.000000;[Red]0.0000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4" formatCode="0.00;[Red]0.00"/>
      <fill>
        <patternFill>
          <bgColor theme="5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2A1"/>
      <rgbColor rgb="FF0000EE"/>
      <rgbColor rgb="FFFFFF00"/>
      <rgbColor rgb="FFFBE5D6"/>
      <rgbColor rgb="FFDDDDDD"/>
      <rgbColor rgb="FF9C0006"/>
      <rgbColor rgb="FF006600"/>
      <rgbColor rgb="FF000080"/>
      <rgbColor rgb="FF996600"/>
      <rgbColor rgb="FFFFFFD7"/>
      <rgbColor rgb="FF1E6A39"/>
      <rgbColor rgb="FFE0C2CD"/>
      <rgbColor rgb="FF808080"/>
      <rgbColor rgb="FF729FCF"/>
      <rgbColor rgb="FFFFD7D7"/>
      <rgbColor rgb="FFFFFFCC"/>
      <rgbColor rgb="FFDDEBF7"/>
      <rgbColor rgb="FF660066"/>
      <rgbColor rgb="FFF7D1D5"/>
      <rgbColor rgb="FFE2EFDA"/>
      <rgbColor rgb="FFD9E1F2"/>
      <rgbColor rgb="FF000080"/>
      <rgbColor rgb="FFF6F9D4"/>
      <rgbColor rgb="FFD4EA6B"/>
      <rgbColor rgb="FFE2F0D9"/>
      <rgbColor rgb="FF800080"/>
      <rgbColor rgb="FFCC0000"/>
      <rgbColor rgb="FF069A2E"/>
      <rgbColor rgb="FF0000FF"/>
      <rgbColor rgb="FFC6E0B4"/>
      <rgbColor rgb="FFDEEBF7"/>
      <rgbColor rgb="FFCCFFCC"/>
      <rgbColor rgb="FFFFFFA6"/>
      <rgbColor rgb="FF9BC2E6"/>
      <rgbColor rgb="FFFFA6A6"/>
      <rgbColor rgb="FFFFC7CE"/>
      <rgbColor rgb="FFFFCCCC"/>
      <rgbColor rgb="FF4472C4"/>
      <rgbColor rgb="FFAFD095"/>
      <rgbColor rgb="FF81D41A"/>
      <rgbColor rgb="FFFFBF00"/>
      <rgbColor rgb="FFBBE33D"/>
      <rgbColor rgb="FFFFD8CE"/>
      <rgbColor rgb="FFC5E0B4"/>
      <rgbColor rgb="FFA9D08E"/>
      <rgbColor rgb="FF003366"/>
      <rgbColor rgb="FF468A1A"/>
      <rgbColor rgb="FF375623"/>
      <rgbColor rgb="FF395511"/>
      <rgbColor rgb="FFC9211E"/>
      <rgbColor rgb="FFFCE4D6"/>
      <rgbColor rgb="FFFFF2C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14" displayName="Tablo14" ref="B22:I37" totalsRowShown="0">
  <autoFilter ref="B22:I37" xr:uid="{00000000-0009-0000-0100-000002000000}"/>
  <tableColumns count="8">
    <tableColumn id="1" xr3:uid="{00000000-0010-0000-0000-000001000000}" name="Tarih"/>
    <tableColumn id="2" xr3:uid="{00000000-0010-0000-0000-000002000000}" name="Açıklama"/>
    <tableColumn id="3" xr3:uid="{00000000-0010-0000-0000-000003000000}" name="snyA-H"/>
    <tableColumn id="4" xr3:uid="{00000000-0010-0000-0000-000004000000}" name="Oran %"/>
    <tableColumn id="5" xr3:uid="{00000000-0010-0000-0000-000005000000}" name="Oran TL Tutar"/>
    <tableColumn id="6" xr3:uid="{00000000-0010-0000-0000-000006000000}" name="Ödendi"/>
    <tableColumn id="7" xr3:uid="{00000000-0010-0000-0000-000007000000}" name="Oran TL"/>
    <tableColumn id="8" xr3:uid="{00000000-0010-0000-00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B6:I26" totalsRowShown="0">
  <autoFilter ref="B6:I26" xr:uid="{00000000-0009-0000-0100-000001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C:/Users/C:/Users/m/AppData/Roaming/Microsoft/Excel/2022%20cepesas/2022%20susayac%20hesab&#305;.ods" TargetMode="External"/><Relationship Id="rId2" Type="http://schemas.openxmlformats.org/officeDocument/2006/relationships/hyperlink" Target="../../../../../C:/Users/C:/Users/m/AppData/Roaming/Microsoft/Excel/2022%20cepesas/2022%20&#231;eda&#351;%20hesab&#305;.ods" TargetMode="External"/><Relationship Id="rId1" Type="http://schemas.openxmlformats.org/officeDocument/2006/relationships/hyperlink" Target="../../../../../C:/Users/C:/Users/m/AppData/Roaming/kira/sozlesmeler/2_sanayi/Sanayi_G_300m2_mermer/Sanayi_2_275m2_kaportac&#305;/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A669-25BE-4D7B-9903-BE7AB6FDA9B9}">
  <sheetPr>
    <tabColor rgb="FF9BC2E6"/>
  </sheetPr>
  <dimension ref="A1:M86"/>
  <sheetViews>
    <sheetView topLeftCell="A75" zoomScale="145" zoomScaleNormal="145" workbookViewId="0">
      <selection activeCell="I89" sqref="I89"/>
    </sheetView>
  </sheetViews>
  <sheetFormatPr defaultColWidth="12.28515625" defaultRowHeight="12.75"/>
  <cols>
    <col min="1" max="1" width="12.28515625" style="11"/>
    <col min="2" max="2" width="35.85546875" style="11" customWidth="1"/>
    <col min="3" max="3" width="9.42578125" style="11" customWidth="1"/>
    <col min="4" max="4" width="11.5703125" style="87" customWidth="1"/>
    <col min="5" max="8" width="12.28515625" style="87"/>
    <col min="9" max="9" width="12.28515625" style="11"/>
    <col min="10" max="10" width="11.140625" style="11" bestFit="1" customWidth="1"/>
    <col min="11" max="11" width="14.5703125" style="75" customWidth="1"/>
    <col min="12" max="13" width="12.28515625" style="75"/>
    <col min="14" max="1022" width="12.28515625" style="11"/>
    <col min="1023" max="1023" width="9.140625" style="11" customWidth="1"/>
    <col min="1024" max="16384" width="12.28515625" style="11"/>
  </cols>
  <sheetData>
    <row r="1" spans="1:12">
      <c r="F1" s="87" t="s">
        <v>20</v>
      </c>
      <c r="G1" s="87" t="s">
        <v>21</v>
      </c>
      <c r="H1" s="87" t="s">
        <v>3</v>
      </c>
    </row>
    <row r="2" spans="1:12">
      <c r="A2" s="89" t="s">
        <v>2076</v>
      </c>
      <c r="C2" s="76" t="s">
        <v>59</v>
      </c>
      <c r="D2" s="87">
        <f>SUM(D4:D21)</f>
        <v>17494.509999999998</v>
      </c>
      <c r="E2" s="87">
        <f>SUM(E4:E21)</f>
        <v>-59229.719999999994</v>
      </c>
      <c r="F2" s="87">
        <f>SUM(F4:F21)</f>
        <v>0</v>
      </c>
      <c r="G2" s="87">
        <f>SUM(G4:G21)</f>
        <v>-41629.719999999994</v>
      </c>
      <c r="H2" s="87">
        <f>F2+G2</f>
        <v>-41629.719999999994</v>
      </c>
    </row>
    <row r="3" spans="1:12">
      <c r="B3" s="15"/>
    </row>
    <row r="4" spans="1:12">
      <c r="B4" s="38"/>
      <c r="H4" s="87">
        <f t="shared" ref="H4:H20" si="0">H3+F4+G4</f>
        <v>0</v>
      </c>
    </row>
    <row r="5" spans="1:12" s="75" customFormat="1">
      <c r="A5" s="77"/>
      <c r="B5" s="78"/>
      <c r="C5" s="79"/>
      <c r="D5" s="80"/>
      <c r="E5" s="80"/>
      <c r="F5" s="87"/>
      <c r="G5" s="87"/>
      <c r="H5" s="87">
        <f t="shared" si="0"/>
        <v>0</v>
      </c>
      <c r="I5" s="11"/>
      <c r="J5" s="11"/>
    </row>
    <row r="6" spans="1:12" s="75" customFormat="1">
      <c r="A6" s="81"/>
      <c r="B6" s="78" t="s">
        <v>60</v>
      </c>
      <c r="C6" s="82"/>
      <c r="D6" s="83"/>
      <c r="E6" s="83">
        <f>E24</f>
        <v>-41629.719999999994</v>
      </c>
      <c r="F6" s="84"/>
      <c r="G6" s="84">
        <f>E6</f>
        <v>-41629.719999999994</v>
      </c>
      <c r="H6" s="87">
        <f t="shared" si="0"/>
        <v>-41629.719999999994</v>
      </c>
      <c r="I6" s="11"/>
      <c r="J6" s="11"/>
    </row>
    <row r="7" spans="1:12" s="75" customFormat="1">
      <c r="A7" s="77"/>
      <c r="B7" s="78" t="s">
        <v>61</v>
      </c>
      <c r="C7" s="82"/>
      <c r="D7" s="83"/>
      <c r="E7" s="83">
        <f>E77</f>
        <v>0</v>
      </c>
      <c r="F7" s="84"/>
      <c r="G7" s="84">
        <f>E7</f>
        <v>0</v>
      </c>
      <c r="H7" s="87">
        <f t="shared" si="0"/>
        <v>-41629.719999999994</v>
      </c>
      <c r="I7" s="11"/>
      <c r="J7" s="11"/>
    </row>
    <row r="8" spans="1:12" s="75" customFormat="1">
      <c r="A8" s="11"/>
      <c r="B8" s="167" t="s">
        <v>64</v>
      </c>
      <c r="C8" s="89"/>
      <c r="D8" s="87"/>
      <c r="E8" s="87">
        <v>0</v>
      </c>
      <c r="F8" s="87"/>
      <c r="G8" s="87"/>
      <c r="H8" s="87">
        <f t="shared" si="0"/>
        <v>-41629.719999999994</v>
      </c>
      <c r="I8" s="11"/>
      <c r="J8" s="11"/>
    </row>
    <row r="9" spans="1:12" s="75" customFormat="1">
      <c r="A9" s="85"/>
      <c r="B9" s="512" t="s">
        <v>65</v>
      </c>
      <c r="C9" s="512"/>
      <c r="D9" s="373"/>
      <c r="E9" s="373">
        <v>-1000</v>
      </c>
      <c r="F9" s="87"/>
      <c r="G9" s="87"/>
      <c r="H9" s="87">
        <f t="shared" si="0"/>
        <v>-41629.719999999994</v>
      </c>
    </row>
    <row r="10" spans="1:12" s="75" customFormat="1">
      <c r="A10" s="85"/>
      <c r="B10" s="512" t="s">
        <v>66</v>
      </c>
      <c r="C10" s="512"/>
      <c r="D10" s="373"/>
      <c r="E10" s="373">
        <v>-200</v>
      </c>
      <c r="F10" s="87"/>
      <c r="G10" s="87"/>
      <c r="H10" s="87">
        <f t="shared" si="0"/>
        <v>-41629.719999999994</v>
      </c>
    </row>
    <row r="11" spans="1:12" s="75" customFormat="1">
      <c r="A11" s="85"/>
      <c r="B11" s="89" t="s">
        <v>68</v>
      </c>
      <c r="C11" s="89"/>
      <c r="D11" s="373">
        <v>17494.509999999998</v>
      </c>
      <c r="E11" s="87"/>
      <c r="F11" s="87"/>
      <c r="G11" s="87"/>
      <c r="H11" s="87">
        <f t="shared" si="0"/>
        <v>-41629.719999999994</v>
      </c>
      <c r="J11" s="90"/>
      <c r="K11" s="91"/>
      <c r="L11" s="92"/>
    </row>
    <row r="12" spans="1:12" s="75" customFormat="1">
      <c r="B12" s="89" t="s">
        <v>70</v>
      </c>
      <c r="C12" s="89"/>
      <c r="D12" s="87"/>
      <c r="E12" s="87">
        <v>-7500</v>
      </c>
      <c r="F12" s="87"/>
      <c r="G12" s="87"/>
      <c r="H12" s="87">
        <f t="shared" si="0"/>
        <v>-41629.719999999994</v>
      </c>
      <c r="J12" s="90"/>
      <c r="K12" s="91"/>
      <c r="L12" s="92"/>
    </row>
    <row r="13" spans="1:12" s="75" customFormat="1">
      <c r="B13" s="89" t="s">
        <v>71</v>
      </c>
      <c r="C13" s="89"/>
      <c r="D13" s="87"/>
      <c r="E13" s="87">
        <v>-7500</v>
      </c>
      <c r="F13" s="87"/>
      <c r="G13" s="87"/>
      <c r="H13" s="87">
        <f t="shared" si="0"/>
        <v>-41629.719999999994</v>
      </c>
      <c r="J13" s="90"/>
      <c r="K13" s="91"/>
      <c r="L13" s="92"/>
    </row>
    <row r="14" spans="1:12" s="75" customFormat="1">
      <c r="B14" s="95" t="s">
        <v>72</v>
      </c>
      <c r="C14" s="95"/>
      <c r="D14" s="87"/>
      <c r="E14" s="87">
        <v>-600</v>
      </c>
      <c r="F14" s="87"/>
      <c r="G14" s="87"/>
      <c r="H14" s="87">
        <f t="shared" si="0"/>
        <v>-41629.719999999994</v>
      </c>
      <c r="J14" s="90"/>
      <c r="K14" s="91"/>
      <c r="L14" s="92"/>
    </row>
    <row r="15" spans="1:12" s="75" customFormat="1">
      <c r="B15" s="95" t="s">
        <v>73</v>
      </c>
      <c r="C15" s="95"/>
      <c r="D15" s="87"/>
      <c r="E15" s="87">
        <v>-800</v>
      </c>
      <c r="F15" s="87"/>
      <c r="G15" s="87"/>
      <c r="H15" s="87">
        <f t="shared" si="0"/>
        <v>-41629.719999999994</v>
      </c>
      <c r="J15" s="90"/>
      <c r="K15" s="91"/>
      <c r="L15" s="92"/>
    </row>
    <row r="16" spans="1:12" s="75" customFormat="1">
      <c r="A16" s="96"/>
      <c r="B16" s="89"/>
      <c r="C16" s="89"/>
      <c r="D16" s="87"/>
      <c r="E16" s="87"/>
      <c r="F16" s="87"/>
      <c r="G16" s="87"/>
      <c r="H16" s="87">
        <f t="shared" si="0"/>
        <v>-41629.719999999994</v>
      </c>
    </row>
    <row r="17" spans="1:13" s="75" customFormat="1">
      <c r="D17" s="87"/>
      <c r="E17" s="87"/>
      <c r="F17" s="87"/>
      <c r="G17" s="87"/>
      <c r="H17" s="87">
        <f t="shared" si="0"/>
        <v>-41629.719999999994</v>
      </c>
    </row>
    <row r="18" spans="1:13">
      <c r="A18" s="96"/>
      <c r="B18" s="97"/>
      <c r="C18" s="97"/>
      <c r="H18" s="87">
        <f t="shared" si="0"/>
        <v>-41629.719999999994</v>
      </c>
      <c r="I18" s="75"/>
      <c r="J18" s="75"/>
    </row>
    <row r="19" spans="1:13">
      <c r="A19" s="96"/>
      <c r="H19" s="87">
        <f t="shared" si="0"/>
        <v>-41629.719999999994</v>
      </c>
    </row>
    <row r="20" spans="1:13">
      <c r="H20" s="87">
        <f t="shared" si="0"/>
        <v>-41629.719999999994</v>
      </c>
    </row>
    <row r="22" spans="1:13" s="87" customFormat="1">
      <c r="A22" s="85"/>
      <c r="B22" s="75"/>
      <c r="C22" s="75"/>
      <c r="I22" s="75"/>
      <c r="J22" s="75"/>
      <c r="K22" s="75"/>
      <c r="L22" s="75"/>
      <c r="M22" s="75"/>
    </row>
    <row r="23" spans="1:13" s="87" customFormat="1">
      <c r="B23" s="98"/>
      <c r="K23" s="75"/>
      <c r="L23" s="75"/>
      <c r="M23" s="75"/>
    </row>
    <row r="24" spans="1:13">
      <c r="A24" s="99"/>
      <c r="B24" s="100" t="s">
        <v>75</v>
      </c>
      <c r="C24" s="99"/>
      <c r="E24" s="87">
        <f>SUM(E25:E44)</f>
        <v>-41629.719999999994</v>
      </c>
      <c r="I24" s="87"/>
      <c r="J24" s="87"/>
    </row>
    <row r="25" spans="1:13" s="87" customFormat="1">
      <c r="A25" s="11"/>
      <c r="B25" s="11"/>
      <c r="C25" s="11"/>
      <c r="I25" s="11"/>
      <c r="J25" s="11"/>
      <c r="K25" s="75"/>
      <c r="L25" s="75"/>
      <c r="M25" s="75"/>
    </row>
    <row r="26" spans="1:13" s="87" customFormat="1" ht="15">
      <c r="A26" s="11"/>
      <c r="B26" s="11"/>
      <c r="C26" s="11"/>
      <c r="E26" s="101" t="s">
        <v>76</v>
      </c>
      <c r="I26" s="11"/>
      <c r="J26" s="11"/>
      <c r="K26" s="75"/>
      <c r="L26" s="75"/>
      <c r="M26" s="75"/>
    </row>
    <row r="27" spans="1:13" s="87" customFormat="1">
      <c r="A27" s="96"/>
      <c r="B27" s="103" t="s">
        <v>2095</v>
      </c>
      <c r="C27" s="102"/>
      <c r="K27" s="75"/>
      <c r="L27" s="75"/>
      <c r="M27" s="75"/>
    </row>
    <row r="28" spans="1:13" s="87" customFormat="1">
      <c r="A28" s="96">
        <v>45880</v>
      </c>
      <c r="B28" s="103" t="s">
        <v>1927</v>
      </c>
      <c r="C28" s="102">
        <v>5126</v>
      </c>
      <c r="D28" s="87" t="s">
        <v>1892</v>
      </c>
      <c r="E28" s="87">
        <v>-854.33</v>
      </c>
      <c r="K28" s="75"/>
      <c r="L28" s="75"/>
      <c r="M28" s="75"/>
    </row>
    <row r="29" spans="1:13" s="87" customFormat="1">
      <c r="A29" s="96">
        <v>45880</v>
      </c>
      <c r="B29" s="103" t="s">
        <v>1928</v>
      </c>
      <c r="C29" s="102">
        <v>16598.900000000001</v>
      </c>
      <c r="D29" s="87" t="s">
        <v>1949</v>
      </c>
      <c r="E29" s="87">
        <v>-1844.32</v>
      </c>
      <c r="K29" s="75"/>
      <c r="L29" s="75"/>
      <c r="M29" s="75"/>
    </row>
    <row r="30" spans="1:13" s="87" customFormat="1">
      <c r="A30" s="96">
        <v>45901</v>
      </c>
      <c r="B30" s="103" t="s">
        <v>1992</v>
      </c>
      <c r="C30" s="102">
        <v>2307</v>
      </c>
      <c r="D30" s="87" t="s">
        <v>1891</v>
      </c>
      <c r="E30" s="87">
        <v>-384.5</v>
      </c>
      <c r="K30" s="75"/>
      <c r="L30" s="75"/>
      <c r="M30" s="75"/>
    </row>
    <row r="31" spans="1:13" s="87" customFormat="1">
      <c r="A31" s="96"/>
      <c r="B31" s="103" t="s">
        <v>2066</v>
      </c>
      <c r="C31" s="102">
        <v>2400</v>
      </c>
      <c r="D31" s="87" t="s">
        <v>1886</v>
      </c>
      <c r="E31" s="87">
        <v>-800</v>
      </c>
      <c r="K31" s="75"/>
      <c r="L31" s="75"/>
      <c r="M31" s="75"/>
    </row>
    <row r="32" spans="1:13" s="87" customFormat="1">
      <c r="A32" s="96"/>
      <c r="B32" s="103" t="s">
        <v>2066</v>
      </c>
      <c r="C32" s="102">
        <v>2118.9699999999998</v>
      </c>
      <c r="D32" s="87" t="s">
        <v>1886</v>
      </c>
      <c r="E32" s="87">
        <v>-706.32</v>
      </c>
      <c r="K32" s="75"/>
      <c r="L32" s="75"/>
      <c r="M32" s="75"/>
    </row>
    <row r="33" spans="1:13" s="87" customFormat="1">
      <c r="A33" s="96"/>
      <c r="B33" s="103" t="s">
        <v>2065</v>
      </c>
      <c r="C33" s="102">
        <v>25999</v>
      </c>
      <c r="D33" s="87" t="s">
        <v>1945</v>
      </c>
      <c r="E33" s="87">
        <v>-2888.78</v>
      </c>
      <c r="K33" s="75"/>
      <c r="L33" s="75"/>
      <c r="M33" s="75"/>
    </row>
    <row r="34" spans="1:13" s="87" customFormat="1">
      <c r="A34" s="96"/>
      <c r="B34" s="103" t="s">
        <v>2067</v>
      </c>
      <c r="C34" s="102">
        <v>2160</v>
      </c>
      <c r="D34" s="87" t="s">
        <v>1886</v>
      </c>
      <c r="E34" s="87">
        <v>-720</v>
      </c>
      <c r="K34" s="75"/>
      <c r="L34" s="75"/>
      <c r="M34" s="75"/>
    </row>
    <row r="35" spans="1:13" s="87" customFormat="1">
      <c r="A35" s="96"/>
      <c r="B35" s="103" t="s">
        <v>2067</v>
      </c>
      <c r="C35" s="102">
        <v>425.46</v>
      </c>
      <c r="D35" s="87" t="s">
        <v>1886</v>
      </c>
      <c r="E35" s="87">
        <v>-141.82</v>
      </c>
      <c r="K35" s="75"/>
      <c r="L35" s="75"/>
      <c r="M35" s="75"/>
    </row>
    <row r="36" spans="1:13" s="87" customFormat="1">
      <c r="A36" s="96"/>
      <c r="B36" s="103" t="s">
        <v>2070</v>
      </c>
      <c r="C36" s="102">
        <v>7680</v>
      </c>
      <c r="D36" s="87" t="s">
        <v>1887</v>
      </c>
      <c r="E36" s="87">
        <v>-1280</v>
      </c>
      <c r="K36" s="75"/>
      <c r="L36" s="75"/>
      <c r="M36" s="75"/>
    </row>
    <row r="37" spans="1:13" s="87" customFormat="1">
      <c r="A37" s="96"/>
      <c r="B37" s="103" t="s">
        <v>2071</v>
      </c>
      <c r="C37" s="102">
        <v>4992.2</v>
      </c>
      <c r="D37" s="87" t="s">
        <v>1887</v>
      </c>
      <c r="E37" s="87">
        <v>-832.03</v>
      </c>
      <c r="K37" s="75"/>
      <c r="L37" s="75"/>
      <c r="M37" s="75"/>
    </row>
    <row r="38" spans="1:13" s="87" customFormat="1">
      <c r="A38" s="96"/>
      <c r="B38" s="103"/>
      <c r="C38" s="102"/>
      <c r="K38" s="75"/>
      <c r="L38" s="75"/>
      <c r="M38" s="75"/>
    </row>
    <row r="39" spans="1:13" s="87" customFormat="1">
      <c r="A39" s="96"/>
      <c r="B39" s="103"/>
      <c r="C39" s="102"/>
      <c r="K39" s="75"/>
      <c r="L39" s="75"/>
      <c r="M39" s="75"/>
    </row>
    <row r="40" spans="1:13" s="87" customFormat="1">
      <c r="A40" s="96"/>
      <c r="B40" s="103"/>
      <c r="C40" s="102"/>
      <c r="K40" s="75"/>
      <c r="L40" s="75"/>
      <c r="M40" s="75"/>
    </row>
    <row r="41" spans="1:13" s="87" customFormat="1">
      <c r="A41" s="96"/>
      <c r="B41" s="103"/>
      <c r="C41" s="102"/>
      <c r="K41" s="75"/>
      <c r="L41" s="75"/>
      <c r="M41" s="75"/>
    </row>
    <row r="42" spans="1:13" s="87" customFormat="1">
      <c r="A42" s="96"/>
      <c r="B42" s="103"/>
      <c r="C42" s="102"/>
      <c r="K42" s="75"/>
      <c r="L42" s="75"/>
      <c r="M42" s="75"/>
    </row>
    <row r="43" spans="1:13" s="87" customFormat="1">
      <c r="A43" s="96"/>
      <c r="B43" s="103"/>
      <c r="C43" s="102"/>
      <c r="K43" s="75"/>
      <c r="L43" s="75"/>
      <c r="M43" s="75"/>
    </row>
    <row r="44" spans="1:13" s="87" customFormat="1">
      <c r="A44" s="96"/>
      <c r="B44" s="103"/>
      <c r="C44" s="102"/>
      <c r="D44" s="679" t="s">
        <v>2125</v>
      </c>
      <c r="E44" s="87">
        <f>SUM(E46:E74)</f>
        <v>-31177.619999999995</v>
      </c>
      <c r="K44" s="75"/>
      <c r="L44" s="75"/>
      <c r="M44" s="75"/>
    </row>
    <row r="45" spans="1:13" s="87" customFormat="1">
      <c r="A45" s="96"/>
      <c r="B45" s="103" t="s">
        <v>2096</v>
      </c>
      <c r="C45" s="102"/>
      <c r="K45" s="75"/>
      <c r="L45" s="75"/>
      <c r="M45" s="75"/>
    </row>
    <row r="46" spans="1:13" s="87" customFormat="1">
      <c r="A46" s="96">
        <v>45880</v>
      </c>
      <c r="B46" s="103" t="s">
        <v>1928</v>
      </c>
      <c r="C46" s="102">
        <v>16598.900000000001</v>
      </c>
      <c r="D46" s="87" t="s">
        <v>1950</v>
      </c>
      <c r="E46" s="87">
        <v>-1844.32</v>
      </c>
      <c r="K46" s="75"/>
      <c r="L46" s="75"/>
      <c r="M46" s="75"/>
    </row>
    <row r="47" spans="1:13" s="87" customFormat="1">
      <c r="A47" s="96">
        <v>45901</v>
      </c>
      <c r="B47" s="103" t="s">
        <v>1992</v>
      </c>
      <c r="C47" s="102">
        <v>2307</v>
      </c>
      <c r="D47" s="87" t="s">
        <v>1892</v>
      </c>
      <c r="E47" s="87">
        <v>-384.5</v>
      </c>
      <c r="K47" s="75"/>
      <c r="L47" s="75"/>
      <c r="M47" s="75"/>
    </row>
    <row r="48" spans="1:13" s="87" customFormat="1">
      <c r="A48" s="96"/>
      <c r="B48" s="103" t="s">
        <v>2066</v>
      </c>
      <c r="C48" s="102">
        <v>2400</v>
      </c>
      <c r="D48" s="87" t="s">
        <v>1888</v>
      </c>
      <c r="E48" s="87">
        <v>-800</v>
      </c>
      <c r="K48" s="75"/>
      <c r="L48" s="75"/>
      <c r="M48" s="75"/>
    </row>
    <row r="49" spans="1:13" s="87" customFormat="1">
      <c r="A49" s="96"/>
      <c r="B49" s="103" t="s">
        <v>2066</v>
      </c>
      <c r="C49" s="102">
        <v>2118.9699999999998</v>
      </c>
      <c r="D49" s="87" t="s">
        <v>1888</v>
      </c>
      <c r="E49" s="87">
        <v>-706.32</v>
      </c>
      <c r="K49" s="75"/>
      <c r="L49" s="75"/>
      <c r="M49" s="75"/>
    </row>
    <row r="50" spans="1:13" s="87" customFormat="1">
      <c r="A50" s="96"/>
      <c r="B50" s="103" t="s">
        <v>2065</v>
      </c>
      <c r="C50" s="102">
        <v>25999</v>
      </c>
      <c r="D50" s="87" t="s">
        <v>1946</v>
      </c>
      <c r="E50" s="87">
        <v>-2888.78</v>
      </c>
      <c r="K50" s="75"/>
      <c r="L50" s="75"/>
      <c r="M50" s="75"/>
    </row>
    <row r="51" spans="1:13" s="87" customFormat="1">
      <c r="A51" s="96"/>
      <c r="B51" s="103" t="s">
        <v>2067</v>
      </c>
      <c r="C51" s="102">
        <v>2160</v>
      </c>
      <c r="D51" s="87" t="s">
        <v>1888</v>
      </c>
      <c r="E51" s="87">
        <v>-720</v>
      </c>
      <c r="K51" s="75"/>
      <c r="L51" s="75"/>
      <c r="M51" s="75"/>
    </row>
    <row r="52" spans="1:13" s="87" customFormat="1">
      <c r="A52" s="96"/>
      <c r="B52" s="103" t="s">
        <v>2067</v>
      </c>
      <c r="C52" s="102">
        <v>425.46</v>
      </c>
      <c r="D52" s="87" t="s">
        <v>1888</v>
      </c>
      <c r="E52" s="87">
        <v>-141.82</v>
      </c>
      <c r="K52" s="75"/>
      <c r="L52" s="75"/>
      <c r="M52" s="75"/>
    </row>
    <row r="53" spans="1:13" s="87" customFormat="1">
      <c r="A53" s="96"/>
      <c r="B53" s="103" t="s">
        <v>2070</v>
      </c>
      <c r="C53" s="102">
        <v>7680</v>
      </c>
      <c r="D53" s="87" t="s">
        <v>1889</v>
      </c>
      <c r="E53" s="87">
        <v>-1280</v>
      </c>
      <c r="K53" s="75"/>
      <c r="L53" s="75"/>
      <c r="M53" s="75"/>
    </row>
    <row r="54" spans="1:13" s="87" customFormat="1">
      <c r="A54" s="96"/>
      <c r="B54" s="103" t="s">
        <v>2071</v>
      </c>
      <c r="C54" s="102">
        <v>4992.2</v>
      </c>
      <c r="D54" s="87" t="s">
        <v>1889</v>
      </c>
      <c r="E54" s="87">
        <v>-832.03</v>
      </c>
      <c r="K54" s="75"/>
      <c r="L54" s="75"/>
      <c r="M54" s="75"/>
    </row>
    <row r="55" spans="1:13" s="87" customFormat="1">
      <c r="A55" s="96"/>
      <c r="B55" s="103"/>
      <c r="C55" s="102"/>
      <c r="K55" s="75"/>
      <c r="L55" s="75"/>
      <c r="M55" s="75"/>
    </row>
    <row r="56" spans="1:13" s="87" customFormat="1">
      <c r="A56" s="96"/>
      <c r="B56" s="103" t="s">
        <v>2097</v>
      </c>
      <c r="C56" s="102"/>
      <c r="K56" s="75"/>
      <c r="L56" s="75"/>
      <c r="M56" s="75"/>
    </row>
    <row r="57" spans="1:13" s="87" customFormat="1">
      <c r="A57" s="96">
        <v>45880</v>
      </c>
      <c r="B57" s="103" t="s">
        <v>1928</v>
      </c>
      <c r="C57" s="102">
        <v>16598.900000000001</v>
      </c>
      <c r="D57" s="87" t="s">
        <v>1951</v>
      </c>
      <c r="E57" s="87">
        <v>-1844.32</v>
      </c>
      <c r="K57" s="75"/>
      <c r="L57" s="75"/>
      <c r="M57" s="75"/>
    </row>
    <row r="58" spans="1:13" s="87" customFormat="1">
      <c r="A58" s="96"/>
      <c r="B58" s="103" t="s">
        <v>2065</v>
      </c>
      <c r="C58" s="102">
        <v>25999</v>
      </c>
      <c r="D58" s="87" t="s">
        <v>1947</v>
      </c>
      <c r="E58" s="87">
        <v>-2888.78</v>
      </c>
      <c r="K58" s="75"/>
      <c r="L58" s="75"/>
      <c r="M58" s="75"/>
    </row>
    <row r="59" spans="1:13" s="87" customFormat="1">
      <c r="A59" s="96"/>
      <c r="B59" s="103" t="s">
        <v>2070</v>
      </c>
      <c r="C59" s="102">
        <v>7680</v>
      </c>
      <c r="D59" s="87" t="s">
        <v>1890</v>
      </c>
      <c r="E59" s="87">
        <v>-1280</v>
      </c>
      <c r="K59" s="75"/>
      <c r="L59" s="75"/>
      <c r="M59" s="75"/>
    </row>
    <row r="60" spans="1:13" s="87" customFormat="1">
      <c r="A60" s="96"/>
      <c r="B60" s="103" t="s">
        <v>2071</v>
      </c>
      <c r="C60" s="102">
        <v>4992.2</v>
      </c>
      <c r="D60" s="87" t="s">
        <v>1890</v>
      </c>
      <c r="E60" s="87">
        <v>-832.03</v>
      </c>
      <c r="K60" s="75"/>
      <c r="L60" s="75"/>
      <c r="M60" s="75"/>
    </row>
    <row r="61" spans="1:13" s="87" customFormat="1">
      <c r="A61" s="96"/>
      <c r="B61" s="103"/>
      <c r="C61" s="102"/>
      <c r="K61" s="75"/>
      <c r="L61" s="75"/>
      <c r="M61" s="75"/>
    </row>
    <row r="62" spans="1:13" s="87" customFormat="1">
      <c r="A62" s="96"/>
      <c r="B62" s="103" t="s">
        <v>2098</v>
      </c>
      <c r="C62" s="102"/>
      <c r="K62" s="75"/>
      <c r="L62" s="75"/>
      <c r="M62" s="75"/>
    </row>
    <row r="63" spans="1:13" s="87" customFormat="1">
      <c r="A63" s="96">
        <v>45880</v>
      </c>
      <c r="B63" s="103" t="s">
        <v>1928</v>
      </c>
      <c r="C63" s="102">
        <v>16598.900000000001</v>
      </c>
      <c r="D63" s="87" t="s">
        <v>1952</v>
      </c>
      <c r="E63" s="87">
        <v>-1844.32</v>
      </c>
      <c r="K63" s="75"/>
      <c r="L63" s="75"/>
      <c r="M63" s="75"/>
    </row>
    <row r="64" spans="1:13" s="87" customFormat="1">
      <c r="A64" s="96"/>
      <c r="B64" s="103" t="s">
        <v>2065</v>
      </c>
      <c r="C64" s="102">
        <v>25999</v>
      </c>
      <c r="D64" s="87" t="s">
        <v>1948</v>
      </c>
      <c r="E64" s="87">
        <v>-2888.78</v>
      </c>
      <c r="K64" s="75"/>
      <c r="L64" s="75"/>
      <c r="M64" s="75"/>
    </row>
    <row r="65" spans="1:13" s="87" customFormat="1">
      <c r="A65" s="96"/>
      <c r="B65" s="103" t="s">
        <v>2070</v>
      </c>
      <c r="C65" s="102">
        <v>7680</v>
      </c>
      <c r="D65" s="87" t="s">
        <v>1891</v>
      </c>
      <c r="E65" s="87">
        <v>-1280</v>
      </c>
      <c r="K65" s="75"/>
      <c r="L65" s="75"/>
      <c r="M65" s="75"/>
    </row>
    <row r="66" spans="1:13" s="87" customFormat="1">
      <c r="A66" s="96"/>
      <c r="B66" s="103" t="s">
        <v>2071</v>
      </c>
      <c r="C66" s="102">
        <v>4992.2</v>
      </c>
      <c r="D66" s="87" t="s">
        <v>1891</v>
      </c>
      <c r="E66" s="87">
        <v>-832.03</v>
      </c>
      <c r="K66" s="75"/>
      <c r="L66" s="75"/>
      <c r="M66" s="75"/>
    </row>
    <row r="67" spans="1:13" s="87" customFormat="1">
      <c r="K67" s="75"/>
      <c r="L67" s="75"/>
      <c r="M67" s="75"/>
    </row>
    <row r="68" spans="1:13" s="87" customFormat="1">
      <c r="B68" s="87" t="s">
        <v>2099</v>
      </c>
      <c r="K68" s="75"/>
      <c r="L68" s="75"/>
      <c r="M68" s="75"/>
    </row>
    <row r="69" spans="1:13" s="87" customFormat="1">
      <c r="B69" s="103" t="s">
        <v>2065</v>
      </c>
      <c r="C69" s="102">
        <v>25999</v>
      </c>
      <c r="D69" s="87" t="s">
        <v>1949</v>
      </c>
      <c r="E69" s="87">
        <v>-2888.78</v>
      </c>
      <c r="K69" s="75"/>
      <c r="L69" s="75"/>
      <c r="M69" s="75"/>
    </row>
    <row r="70" spans="1:13" s="87" customFormat="1">
      <c r="B70" s="103" t="s">
        <v>2070</v>
      </c>
      <c r="C70" s="102">
        <v>7680</v>
      </c>
      <c r="D70" s="87" t="s">
        <v>1892</v>
      </c>
      <c r="E70" s="87">
        <v>-1280</v>
      </c>
      <c r="K70" s="75"/>
      <c r="L70" s="75"/>
      <c r="M70" s="75"/>
    </row>
    <row r="71" spans="1:13" s="87" customFormat="1">
      <c r="B71" s="103" t="s">
        <v>2071</v>
      </c>
      <c r="C71" s="102">
        <v>4992.2</v>
      </c>
      <c r="D71" s="87" t="s">
        <v>1892</v>
      </c>
      <c r="E71" s="87">
        <v>-832.03</v>
      </c>
      <c r="K71" s="75"/>
      <c r="L71" s="75"/>
      <c r="M71" s="75"/>
    </row>
    <row r="72" spans="1:13" s="87" customFormat="1">
      <c r="K72" s="75"/>
      <c r="L72" s="75"/>
      <c r="M72" s="75"/>
    </row>
    <row r="73" spans="1:13" s="87" customFormat="1">
      <c r="B73" s="87" t="s">
        <v>2100</v>
      </c>
      <c r="K73" s="75"/>
      <c r="L73" s="75"/>
      <c r="M73" s="75"/>
    </row>
    <row r="74" spans="1:13" s="87" customFormat="1">
      <c r="B74" s="103" t="s">
        <v>2065</v>
      </c>
      <c r="C74" s="102">
        <v>25999</v>
      </c>
      <c r="D74" s="87" t="s">
        <v>1950</v>
      </c>
      <c r="E74" s="87">
        <v>-2888.78</v>
      </c>
      <c r="K74" s="75"/>
      <c r="L74" s="75"/>
      <c r="M74" s="75"/>
    </row>
    <row r="75" spans="1:13" s="87" customFormat="1">
      <c r="K75" s="75"/>
      <c r="L75" s="75"/>
      <c r="M75" s="75"/>
    </row>
    <row r="76" spans="1:13" s="87" customFormat="1">
      <c r="A76" s="96"/>
      <c r="B76" s="102"/>
      <c r="C76" s="102"/>
      <c r="K76" s="75"/>
      <c r="L76" s="75"/>
      <c r="M76" s="75"/>
    </row>
    <row r="77" spans="1:13" s="87" customFormat="1">
      <c r="A77" s="99"/>
      <c r="B77" s="100" t="s">
        <v>77</v>
      </c>
      <c r="C77" s="99"/>
      <c r="E77" s="87">
        <f>SUM(E78:E86)</f>
        <v>0</v>
      </c>
      <c r="K77" s="75"/>
      <c r="L77" s="75"/>
      <c r="M77" s="75"/>
    </row>
    <row r="78" spans="1:13" s="87" customFormat="1">
      <c r="A78" s="96"/>
      <c r="B78" s="102"/>
      <c r="C78" s="102"/>
      <c r="K78" s="75"/>
      <c r="L78" s="75"/>
      <c r="M78" s="75"/>
    </row>
    <row r="79" spans="1:13" s="87" customFormat="1">
      <c r="A79" s="96"/>
      <c r="B79" s="102"/>
      <c r="C79" s="102"/>
      <c r="K79" s="75"/>
      <c r="L79" s="75"/>
      <c r="M79" s="75"/>
    </row>
    <row r="80" spans="1:13" s="87" customFormat="1">
      <c r="A80" s="96"/>
      <c r="B80" s="89"/>
      <c r="C80" s="102"/>
      <c r="K80" s="75"/>
      <c r="L80" s="75"/>
      <c r="M80" s="75"/>
    </row>
    <row r="81" spans="1:13" s="87" customFormat="1">
      <c r="A81" s="96"/>
      <c r="B81" s="89"/>
      <c r="C81" s="102"/>
      <c r="K81" s="75"/>
      <c r="L81" s="75"/>
      <c r="M81" s="75"/>
    </row>
    <row r="82" spans="1:13" s="87" customFormat="1">
      <c r="A82" s="96"/>
      <c r="B82" s="89"/>
      <c r="C82" s="102"/>
      <c r="K82" s="75"/>
      <c r="L82" s="75"/>
      <c r="M82" s="75"/>
    </row>
    <row r="83" spans="1:13" s="87" customFormat="1">
      <c r="A83" s="96"/>
      <c r="B83" s="89"/>
      <c r="C83" s="102"/>
      <c r="K83" s="75"/>
      <c r="L83" s="75"/>
      <c r="M83" s="75"/>
    </row>
    <row r="84" spans="1:13" s="87" customFormat="1" ht="15">
      <c r="A84" s="96"/>
      <c r="B84" s="89"/>
      <c r="C84" s="102"/>
      <c r="E84" s="101" t="s">
        <v>76</v>
      </c>
      <c r="K84" s="75"/>
      <c r="L84" s="75"/>
      <c r="M84" s="75"/>
    </row>
    <row r="85" spans="1:13" s="87" customFormat="1">
      <c r="A85" s="96"/>
      <c r="B85" s="89"/>
      <c r="C85" s="102"/>
      <c r="K85" s="75"/>
      <c r="L85" s="75"/>
      <c r="M85" s="75"/>
    </row>
    <row r="86" spans="1:13" s="87" customFormat="1">
      <c r="A86" s="96"/>
      <c r="B86" s="89"/>
      <c r="C86" s="102"/>
      <c r="K86" s="75"/>
      <c r="L86" s="75"/>
      <c r="M86" s="7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92BA-348B-4DF9-AD38-8246CFB0B0FD}">
  <sheetPr>
    <tabColor rgb="FF9BC2E6"/>
  </sheetPr>
  <dimension ref="A1:M190"/>
  <sheetViews>
    <sheetView topLeftCell="A166" zoomScale="145" zoomScaleNormal="145" workbookViewId="0">
      <selection activeCell="L184" sqref="L184"/>
    </sheetView>
  </sheetViews>
  <sheetFormatPr defaultColWidth="12.28515625" defaultRowHeight="12.75"/>
  <cols>
    <col min="1" max="1" width="12.28515625" style="11"/>
    <col min="2" max="2" width="35.85546875" style="11" customWidth="1"/>
    <col min="3" max="3" width="9.42578125" style="11" customWidth="1"/>
    <col min="4" max="4" width="11.5703125" style="87" customWidth="1"/>
    <col min="5" max="6" width="12.28515625" style="87"/>
    <col min="7" max="7" width="17.140625" style="87" bestFit="1" customWidth="1"/>
    <col min="8" max="8" width="1.28515625" style="87" customWidth="1"/>
    <col min="9" max="9" width="12.28515625" style="11"/>
    <col min="10" max="10" width="11.140625" style="11" bestFit="1" customWidth="1"/>
    <col min="11" max="11" width="14.5703125" style="75" customWidth="1"/>
    <col min="12" max="13" width="12.28515625" style="75"/>
    <col min="14" max="1022" width="12.28515625" style="11"/>
    <col min="1023" max="1023" width="9.140625" style="11" customWidth="1"/>
    <col min="1024" max="16384" width="12.28515625" style="11"/>
  </cols>
  <sheetData>
    <row r="1" spans="1:12">
      <c r="F1" s="87" t="s">
        <v>20</v>
      </c>
      <c r="G1" s="87" t="s">
        <v>21</v>
      </c>
      <c r="H1" s="87" t="s">
        <v>3</v>
      </c>
    </row>
    <row r="2" spans="1:12">
      <c r="A2" s="89" t="s">
        <v>2076</v>
      </c>
      <c r="C2" s="76" t="s">
        <v>59</v>
      </c>
      <c r="D2" s="87">
        <f>SUM(D4:D21)</f>
        <v>17494.509999999998</v>
      </c>
      <c r="E2" s="87">
        <f>SUM(E4:E21)</f>
        <v>-62635.780000000006</v>
      </c>
      <c r="F2" s="87">
        <f>SUM(F4:F21)</f>
        <v>0</v>
      </c>
      <c r="G2" s="87">
        <f>SUM(G4:G21)</f>
        <v>-45035.780000000006</v>
      </c>
      <c r="H2" s="87">
        <f>F2+G2</f>
        <v>-45035.780000000006</v>
      </c>
    </row>
    <row r="3" spans="1:12">
      <c r="B3" s="15"/>
    </row>
    <row r="4" spans="1:12">
      <c r="B4" s="38"/>
      <c r="H4" s="87">
        <f t="shared" ref="H4:H20" si="0">H3+F4+G4</f>
        <v>0</v>
      </c>
    </row>
    <row r="5" spans="1:12" s="75" customFormat="1">
      <c r="A5" s="77"/>
      <c r="B5" s="78"/>
      <c r="C5" s="79"/>
      <c r="D5" s="80"/>
      <c r="E5" s="80"/>
      <c r="F5" s="87"/>
      <c r="G5" s="87"/>
      <c r="H5" s="87">
        <f t="shared" si="0"/>
        <v>0</v>
      </c>
      <c r="I5" s="11"/>
      <c r="J5" s="11"/>
    </row>
    <row r="6" spans="1:12" s="75" customFormat="1">
      <c r="A6" s="81"/>
      <c r="B6" s="78" t="s">
        <v>60</v>
      </c>
      <c r="C6" s="82"/>
      <c r="D6" s="83"/>
      <c r="E6" s="83">
        <f>E24</f>
        <v>-45035.780000000006</v>
      </c>
      <c r="F6" s="84"/>
      <c r="G6" s="84">
        <f>E6</f>
        <v>-45035.780000000006</v>
      </c>
      <c r="H6" s="87">
        <f t="shared" si="0"/>
        <v>-45035.780000000006</v>
      </c>
      <c r="I6" s="11"/>
      <c r="J6" s="11"/>
    </row>
    <row r="7" spans="1:12" s="75" customFormat="1">
      <c r="A7" s="77"/>
      <c r="B7" s="78" t="s">
        <v>61</v>
      </c>
      <c r="C7" s="82"/>
      <c r="D7" s="83"/>
      <c r="E7" s="83">
        <f>E120</f>
        <v>0</v>
      </c>
      <c r="F7" s="84"/>
      <c r="G7" s="84">
        <f>E7</f>
        <v>0</v>
      </c>
      <c r="H7" s="87">
        <f t="shared" si="0"/>
        <v>-45035.780000000006</v>
      </c>
      <c r="I7" s="11"/>
      <c r="J7" s="11"/>
    </row>
    <row r="8" spans="1:12" s="75" customFormat="1">
      <c r="A8" s="11"/>
      <c r="B8" s="167" t="s">
        <v>64</v>
      </c>
      <c r="C8" s="89"/>
      <c r="D8" s="87"/>
      <c r="E8" s="87">
        <v>0</v>
      </c>
      <c r="F8" s="87"/>
      <c r="G8" s="87"/>
      <c r="H8" s="87">
        <f t="shared" si="0"/>
        <v>-45035.780000000006</v>
      </c>
      <c r="I8" s="11"/>
      <c r="J8" s="11"/>
    </row>
    <row r="9" spans="1:12" s="75" customFormat="1">
      <c r="A9" s="85"/>
      <c r="B9" s="512" t="s">
        <v>65</v>
      </c>
      <c r="C9" s="512"/>
      <c r="D9" s="373"/>
      <c r="E9" s="373">
        <v>-1000</v>
      </c>
      <c r="F9" s="87"/>
      <c r="G9" s="87"/>
      <c r="H9" s="87">
        <f t="shared" si="0"/>
        <v>-45035.780000000006</v>
      </c>
    </row>
    <row r="10" spans="1:12" s="75" customFormat="1">
      <c r="A10" s="85"/>
      <c r="B10" s="512" t="s">
        <v>66</v>
      </c>
      <c r="C10" s="512"/>
      <c r="D10" s="373"/>
      <c r="E10" s="373">
        <v>-200</v>
      </c>
      <c r="F10" s="87"/>
      <c r="G10" s="87"/>
      <c r="H10" s="87">
        <f t="shared" si="0"/>
        <v>-45035.780000000006</v>
      </c>
    </row>
    <row r="11" spans="1:12" s="75" customFormat="1">
      <c r="A11" s="85"/>
      <c r="B11" s="89" t="s">
        <v>68</v>
      </c>
      <c r="C11" s="89"/>
      <c r="D11" s="373">
        <v>17494.509999999998</v>
      </c>
      <c r="E11" s="87"/>
      <c r="F11" s="87"/>
      <c r="G11" s="87"/>
      <c r="H11" s="87">
        <f t="shared" si="0"/>
        <v>-45035.780000000006</v>
      </c>
      <c r="J11" s="90"/>
      <c r="K11" s="91"/>
      <c r="L11" s="92"/>
    </row>
    <row r="12" spans="1:12" s="75" customFormat="1">
      <c r="B12" s="89" t="s">
        <v>70</v>
      </c>
      <c r="C12" s="89"/>
      <c r="D12" s="87"/>
      <c r="E12" s="87">
        <v>-7500</v>
      </c>
      <c r="F12" s="87"/>
      <c r="G12" s="87"/>
      <c r="H12" s="87">
        <f t="shared" si="0"/>
        <v>-45035.780000000006</v>
      </c>
      <c r="J12" s="90"/>
      <c r="K12" s="91"/>
      <c r="L12" s="92"/>
    </row>
    <row r="13" spans="1:12" s="75" customFormat="1">
      <c r="B13" s="89" t="s">
        <v>71</v>
      </c>
      <c r="C13" s="89"/>
      <c r="D13" s="87"/>
      <c r="E13" s="87">
        <v>-7500</v>
      </c>
      <c r="F13" s="87"/>
      <c r="G13" s="87"/>
      <c r="H13" s="87">
        <f t="shared" si="0"/>
        <v>-45035.780000000006</v>
      </c>
      <c r="J13" s="90"/>
      <c r="K13" s="91"/>
      <c r="L13" s="92"/>
    </row>
    <row r="14" spans="1:12" s="75" customFormat="1">
      <c r="B14" s="95" t="s">
        <v>72</v>
      </c>
      <c r="C14" s="95"/>
      <c r="D14" s="87"/>
      <c r="E14" s="87">
        <v>-600</v>
      </c>
      <c r="F14" s="87"/>
      <c r="G14" s="87"/>
      <c r="H14" s="87">
        <f t="shared" si="0"/>
        <v>-45035.780000000006</v>
      </c>
      <c r="J14" s="90"/>
      <c r="K14" s="91"/>
      <c r="L14" s="92"/>
    </row>
    <row r="15" spans="1:12" s="75" customFormat="1">
      <c r="B15" s="95" t="s">
        <v>73</v>
      </c>
      <c r="C15" s="95"/>
      <c r="D15" s="87"/>
      <c r="E15" s="87">
        <v>-800</v>
      </c>
      <c r="F15" s="87"/>
      <c r="G15" s="87"/>
      <c r="H15" s="87">
        <f t="shared" si="0"/>
        <v>-45035.780000000006</v>
      </c>
      <c r="J15" s="90"/>
      <c r="K15" s="91"/>
      <c r="L15" s="92"/>
    </row>
    <row r="16" spans="1:12" s="75" customFormat="1">
      <c r="A16" s="96"/>
      <c r="B16" s="89"/>
      <c r="C16" s="89"/>
      <c r="D16" s="87"/>
      <c r="E16" s="87"/>
      <c r="F16" s="87"/>
      <c r="G16" s="87"/>
      <c r="H16" s="87">
        <f t="shared" si="0"/>
        <v>-45035.780000000006</v>
      </c>
    </row>
    <row r="17" spans="1:13" s="75" customFormat="1">
      <c r="D17" s="87"/>
      <c r="E17" s="87"/>
      <c r="F17" s="87"/>
      <c r="G17" s="87"/>
      <c r="H17" s="87">
        <f t="shared" si="0"/>
        <v>-45035.780000000006</v>
      </c>
    </row>
    <row r="18" spans="1:13">
      <c r="A18" s="96"/>
      <c r="B18" s="97"/>
      <c r="C18" s="97"/>
      <c r="H18" s="87">
        <f t="shared" si="0"/>
        <v>-45035.780000000006</v>
      </c>
      <c r="I18" s="75"/>
      <c r="J18" s="75"/>
    </row>
    <row r="19" spans="1:13">
      <c r="A19" s="96"/>
      <c r="H19" s="87">
        <f t="shared" si="0"/>
        <v>-45035.780000000006</v>
      </c>
    </row>
    <row r="20" spans="1:13">
      <c r="H20" s="87">
        <f t="shared" si="0"/>
        <v>-45035.780000000006</v>
      </c>
    </row>
    <row r="22" spans="1:13" s="87" customFormat="1">
      <c r="A22" s="85"/>
      <c r="B22" s="75"/>
      <c r="C22" s="75"/>
      <c r="I22" s="75"/>
      <c r="J22" s="75"/>
      <c r="K22" s="75"/>
      <c r="L22" s="75"/>
      <c r="M22" s="75"/>
    </row>
    <row r="23" spans="1:13" s="87" customFormat="1">
      <c r="B23" s="98"/>
      <c r="K23" s="75"/>
      <c r="L23" s="75"/>
      <c r="M23" s="75"/>
    </row>
    <row r="24" spans="1:13">
      <c r="A24" s="99"/>
      <c r="B24" s="100" t="s">
        <v>75</v>
      </c>
      <c r="C24" s="99"/>
      <c r="E24" s="87">
        <f>SUM(E25:E69)</f>
        <v>-45035.780000000006</v>
      </c>
      <c r="I24" s="87"/>
      <c r="J24" s="87"/>
    </row>
    <row r="25" spans="1:13" s="87" customFormat="1">
      <c r="A25" s="11"/>
      <c r="B25" s="11"/>
      <c r="C25" s="11"/>
      <c r="I25" s="11"/>
      <c r="J25" s="11"/>
      <c r="K25" s="75"/>
      <c r="L25" s="75"/>
      <c r="M25" s="75"/>
    </row>
    <row r="26" spans="1:13" s="87" customFormat="1">
      <c r="A26" s="85"/>
      <c r="K26" s="75"/>
      <c r="L26" s="75"/>
      <c r="M26" s="75"/>
    </row>
    <row r="27" spans="1:13" s="87" customFormat="1">
      <c r="A27" s="96">
        <v>45880</v>
      </c>
      <c r="B27" s="103" t="s">
        <v>1927</v>
      </c>
      <c r="C27" s="102">
        <v>5126</v>
      </c>
      <c r="D27" s="87" t="s">
        <v>1891</v>
      </c>
      <c r="E27" s="87">
        <v>-854.33</v>
      </c>
      <c r="K27" s="75"/>
      <c r="L27" s="75"/>
      <c r="M27" s="75"/>
    </row>
    <row r="28" spans="1:13" s="87" customFormat="1">
      <c r="A28" s="96">
        <v>45880</v>
      </c>
      <c r="B28" s="103" t="s">
        <v>1928</v>
      </c>
      <c r="C28" s="102">
        <v>16598.900000000001</v>
      </c>
      <c r="D28" s="87" t="s">
        <v>1948</v>
      </c>
      <c r="E28" s="87">
        <v>-1844.32</v>
      </c>
      <c r="K28" s="75"/>
      <c r="L28" s="75"/>
      <c r="M28" s="75"/>
    </row>
    <row r="29" spans="1:13" s="87" customFormat="1">
      <c r="A29" s="96"/>
      <c r="B29" s="103" t="s">
        <v>1927</v>
      </c>
      <c r="C29" s="102">
        <v>2307</v>
      </c>
      <c r="D29" s="87" t="s">
        <v>1890</v>
      </c>
      <c r="E29" s="87">
        <v>-384.5</v>
      </c>
      <c r="K29" s="75"/>
      <c r="L29" s="75"/>
      <c r="M29" s="75"/>
    </row>
    <row r="30" spans="1:13" s="87" customFormat="1">
      <c r="A30" s="96"/>
      <c r="B30" s="103" t="s">
        <v>2066</v>
      </c>
      <c r="C30" s="102">
        <v>2400</v>
      </c>
      <c r="D30" s="87" t="s">
        <v>1839</v>
      </c>
      <c r="E30" s="87">
        <v>-800</v>
      </c>
      <c r="K30" s="75"/>
      <c r="L30" s="75"/>
      <c r="M30" s="75"/>
    </row>
    <row r="31" spans="1:13" s="87" customFormat="1">
      <c r="A31" s="96"/>
      <c r="B31" s="103" t="s">
        <v>2066</v>
      </c>
      <c r="C31" s="102">
        <v>2118.9699999999998</v>
      </c>
      <c r="D31" s="87" t="s">
        <v>1839</v>
      </c>
      <c r="E31" s="87">
        <v>-706.32</v>
      </c>
      <c r="K31" s="75"/>
      <c r="L31" s="75"/>
      <c r="M31" s="75"/>
    </row>
    <row r="32" spans="1:13" s="87" customFormat="1">
      <c r="A32" s="96"/>
      <c r="B32" s="103" t="s">
        <v>2065</v>
      </c>
      <c r="C32" s="102">
        <v>25999</v>
      </c>
      <c r="D32" s="87" t="s">
        <v>1929</v>
      </c>
      <c r="E32" s="87">
        <v>-2888.78</v>
      </c>
      <c r="K32" s="75"/>
      <c r="L32" s="75"/>
      <c r="M32" s="75"/>
    </row>
    <row r="33" spans="1:13" s="87" customFormat="1">
      <c r="A33" s="96"/>
      <c r="B33" s="103" t="s">
        <v>2067</v>
      </c>
      <c r="C33" s="102">
        <v>2160</v>
      </c>
      <c r="D33" s="87" t="s">
        <v>1839</v>
      </c>
      <c r="E33" s="87">
        <v>-720</v>
      </c>
      <c r="K33" s="75"/>
      <c r="L33" s="75"/>
      <c r="M33" s="75"/>
    </row>
    <row r="34" spans="1:13" s="87" customFormat="1">
      <c r="A34" s="96"/>
      <c r="B34" s="103" t="s">
        <v>2067</v>
      </c>
      <c r="C34" s="102">
        <v>425.46</v>
      </c>
      <c r="D34" s="87" t="s">
        <v>1839</v>
      </c>
      <c r="E34" s="87">
        <v>-141.82</v>
      </c>
      <c r="K34" s="75"/>
      <c r="L34" s="75"/>
      <c r="M34" s="75"/>
    </row>
    <row r="35" spans="1:13" s="87" customFormat="1">
      <c r="A35" s="96"/>
      <c r="B35" s="103" t="s">
        <v>2070</v>
      </c>
      <c r="C35" s="102">
        <v>7680</v>
      </c>
      <c r="D35" s="87" t="s">
        <v>1851</v>
      </c>
      <c r="E35" s="87">
        <v>-1280</v>
      </c>
      <c r="K35" s="75"/>
      <c r="L35" s="75"/>
      <c r="M35" s="75"/>
    </row>
    <row r="36" spans="1:13" s="87" customFormat="1">
      <c r="A36" s="96"/>
      <c r="B36" s="103" t="s">
        <v>2071</v>
      </c>
      <c r="C36" s="102">
        <v>4992.2</v>
      </c>
      <c r="D36" s="87" t="s">
        <v>1851</v>
      </c>
      <c r="E36" s="87">
        <v>-832.03</v>
      </c>
      <c r="K36" s="75"/>
      <c r="L36" s="75"/>
      <c r="M36" s="75"/>
    </row>
    <row r="37" spans="1:13" s="87" customFormat="1">
      <c r="A37" s="96"/>
      <c r="B37" s="103"/>
      <c r="C37" s="102"/>
      <c r="K37" s="75"/>
      <c r="L37" s="75"/>
      <c r="M37" s="75"/>
    </row>
    <row r="38" spans="1:13" s="87" customFormat="1">
      <c r="A38" s="96">
        <v>45988</v>
      </c>
      <c r="B38" s="103" t="s">
        <v>2104</v>
      </c>
      <c r="C38" s="102"/>
      <c r="E38" s="87">
        <v>-530</v>
      </c>
      <c r="K38" s="75"/>
      <c r="L38" s="75"/>
      <c r="M38" s="75"/>
    </row>
    <row r="39" spans="1:13" s="87" customFormat="1">
      <c r="A39" s="96"/>
      <c r="B39" s="103" t="s">
        <v>2101</v>
      </c>
      <c r="C39" s="102"/>
      <c r="E39" s="87">
        <v>-120</v>
      </c>
      <c r="K39" s="75"/>
      <c r="L39" s="75"/>
      <c r="M39" s="75"/>
    </row>
    <row r="40" spans="1:13" s="87" customFormat="1">
      <c r="A40" s="96"/>
      <c r="B40" s="103" t="s">
        <v>1842</v>
      </c>
      <c r="C40" s="102"/>
      <c r="E40" s="87">
        <v>-150</v>
      </c>
      <c r="K40" s="75"/>
      <c r="L40" s="75"/>
      <c r="M40" s="75"/>
    </row>
    <row r="41" spans="1:13" s="87" customFormat="1">
      <c r="A41" s="96">
        <v>45990</v>
      </c>
      <c r="B41" s="103" t="s">
        <v>119</v>
      </c>
      <c r="C41" s="102"/>
      <c r="E41" s="87">
        <v>-679.85</v>
      </c>
      <c r="K41" s="75"/>
      <c r="L41" s="75"/>
      <c r="M41" s="75"/>
    </row>
    <row r="42" spans="1:13" s="87" customFormat="1">
      <c r="A42" s="96"/>
      <c r="B42" s="103" t="s">
        <v>2063</v>
      </c>
      <c r="C42" s="102"/>
      <c r="E42" s="87">
        <v>-240</v>
      </c>
      <c r="K42" s="75"/>
      <c r="L42" s="75"/>
      <c r="M42" s="75"/>
    </row>
    <row r="43" spans="1:13" s="87" customFormat="1">
      <c r="A43" s="96"/>
      <c r="B43" s="103" t="s">
        <v>2103</v>
      </c>
      <c r="C43" s="102"/>
      <c r="E43" s="87">
        <v>-780</v>
      </c>
      <c r="K43" s="75"/>
      <c r="L43" s="75"/>
      <c r="M43" s="75"/>
    </row>
    <row r="44" spans="1:13" s="87" customFormat="1">
      <c r="A44" s="96">
        <v>45991</v>
      </c>
      <c r="B44" s="103" t="s">
        <v>2064</v>
      </c>
      <c r="C44" s="102"/>
      <c r="E44" s="87">
        <v>-1190</v>
      </c>
      <c r="K44" s="75"/>
      <c r="L44" s="75"/>
      <c r="M44" s="75"/>
    </row>
    <row r="45" spans="1:13" s="87" customFormat="1">
      <c r="A45" s="96"/>
      <c r="B45" s="87" t="s">
        <v>2102</v>
      </c>
      <c r="C45" s="102"/>
      <c r="E45" s="87">
        <v>-3830.09</v>
      </c>
      <c r="K45" s="75"/>
      <c r="L45" s="75"/>
      <c r="M45" s="75"/>
    </row>
    <row r="46" spans="1:13" s="87" customFormat="1">
      <c r="A46" s="96"/>
      <c r="B46" s="103" t="s">
        <v>2104</v>
      </c>
      <c r="C46" s="102"/>
      <c r="E46" s="87">
        <v>-750</v>
      </c>
      <c r="K46" s="75"/>
      <c r="L46" s="75"/>
      <c r="M46" s="75"/>
    </row>
    <row r="47" spans="1:13" s="87" customFormat="1">
      <c r="A47" s="96"/>
      <c r="B47" s="103" t="s">
        <v>119</v>
      </c>
      <c r="C47" s="102"/>
      <c r="E47" s="87">
        <v>-466.35</v>
      </c>
      <c r="K47" s="75"/>
      <c r="L47" s="75"/>
      <c r="M47" s="75"/>
    </row>
    <row r="48" spans="1:13" s="87" customFormat="1">
      <c r="A48" s="96"/>
      <c r="B48" s="103" t="s">
        <v>2104</v>
      </c>
      <c r="C48" s="102"/>
      <c r="E48" s="87">
        <v>-500</v>
      </c>
      <c r="K48" s="75"/>
      <c r="L48" s="75"/>
      <c r="M48" s="75"/>
    </row>
    <row r="49" spans="1:13" s="87" customFormat="1">
      <c r="A49" s="96"/>
      <c r="B49" s="103" t="s">
        <v>2105</v>
      </c>
      <c r="C49" s="102"/>
      <c r="E49" s="87">
        <v>-3848.9</v>
      </c>
      <c r="K49" s="75"/>
      <c r="L49" s="75"/>
      <c r="M49" s="75"/>
    </row>
    <row r="50" spans="1:13" s="87" customFormat="1">
      <c r="A50" s="96"/>
      <c r="B50" s="103" t="s">
        <v>2104</v>
      </c>
      <c r="C50" s="102"/>
      <c r="E50" s="87">
        <v>-250</v>
      </c>
      <c r="K50" s="75"/>
      <c r="L50" s="75"/>
      <c r="M50" s="75"/>
    </row>
    <row r="51" spans="1:13" s="87" customFormat="1">
      <c r="A51" s="96"/>
      <c r="B51" s="103" t="s">
        <v>2104</v>
      </c>
      <c r="C51" s="102"/>
      <c r="E51" s="87">
        <v>-500</v>
      </c>
      <c r="K51" s="75"/>
      <c r="L51" s="75"/>
      <c r="M51" s="75"/>
    </row>
    <row r="52" spans="1:13" s="87" customFormat="1">
      <c r="A52" s="96"/>
      <c r="B52" s="103" t="s">
        <v>2106</v>
      </c>
      <c r="C52" s="102"/>
      <c r="E52" s="87">
        <v>-195</v>
      </c>
      <c r="K52" s="75"/>
      <c r="L52" s="75"/>
      <c r="M52" s="75"/>
    </row>
    <row r="53" spans="1:13" s="87" customFormat="1">
      <c r="A53" s="96"/>
      <c r="B53" s="103" t="s">
        <v>2068</v>
      </c>
      <c r="C53" s="102"/>
      <c r="E53" s="87">
        <v>-12716</v>
      </c>
      <c r="K53" s="75"/>
      <c r="L53" s="75"/>
      <c r="M53" s="75"/>
    </row>
    <row r="54" spans="1:13" s="87" customFormat="1">
      <c r="A54" s="96"/>
      <c r="B54" s="103"/>
      <c r="C54" s="102"/>
      <c r="D54" s="87" t="s">
        <v>2069</v>
      </c>
      <c r="K54" s="75"/>
      <c r="L54" s="75"/>
      <c r="M54" s="75"/>
    </row>
    <row r="55" spans="1:13">
      <c r="A55" s="85">
        <v>45997</v>
      </c>
      <c r="B55" s="87" t="s">
        <v>2072</v>
      </c>
      <c r="C55" s="87"/>
      <c r="E55" s="87">
        <v>-226</v>
      </c>
      <c r="I55" s="87"/>
      <c r="J55" s="87"/>
    </row>
    <row r="56" spans="1:13" s="87" customFormat="1">
      <c r="A56" s="11"/>
      <c r="B56" s="103" t="s">
        <v>2073</v>
      </c>
      <c r="C56" s="11"/>
      <c r="E56" s="87">
        <v>-360</v>
      </c>
      <c r="I56" s="11"/>
      <c r="J56" s="11"/>
      <c r="K56" s="75"/>
      <c r="L56" s="75"/>
      <c r="M56" s="75"/>
    </row>
    <row r="57" spans="1:13" s="87" customFormat="1">
      <c r="A57" s="11"/>
      <c r="B57" s="103" t="s">
        <v>1603</v>
      </c>
      <c r="C57" s="11"/>
      <c r="E57" s="87">
        <v>-250</v>
      </c>
      <c r="I57" s="11"/>
      <c r="J57" s="11"/>
      <c r="K57" s="75"/>
      <c r="L57" s="75"/>
      <c r="M57" s="75"/>
    </row>
    <row r="58" spans="1:13" s="87" customFormat="1">
      <c r="A58" s="11"/>
      <c r="B58" s="103" t="s">
        <v>2074</v>
      </c>
      <c r="C58" s="11"/>
      <c r="E58" s="87">
        <v>-500</v>
      </c>
      <c r="I58" s="11"/>
      <c r="J58" s="11"/>
      <c r="K58" s="75"/>
      <c r="L58" s="75"/>
      <c r="M58" s="75"/>
    </row>
    <row r="59" spans="1:13" s="87" customFormat="1">
      <c r="A59" s="11"/>
      <c r="B59" s="103" t="s">
        <v>2075</v>
      </c>
      <c r="C59" s="11"/>
      <c r="E59" s="87">
        <v>-1000</v>
      </c>
      <c r="I59" s="11"/>
      <c r="J59" s="11"/>
      <c r="K59" s="75"/>
      <c r="L59" s="75"/>
      <c r="M59" s="75"/>
    </row>
    <row r="60" spans="1:13" s="87" customFormat="1">
      <c r="A60" s="11"/>
      <c r="B60" s="103" t="s">
        <v>367</v>
      </c>
      <c r="C60" s="11"/>
      <c r="E60" s="87">
        <v>-480</v>
      </c>
      <c r="I60" s="11"/>
      <c r="J60" s="11"/>
      <c r="K60" s="75"/>
      <c r="L60" s="75"/>
      <c r="M60" s="75"/>
    </row>
    <row r="61" spans="1:13" s="87" customFormat="1">
      <c r="A61" s="11"/>
      <c r="B61" s="103" t="s">
        <v>2107</v>
      </c>
      <c r="C61" s="11"/>
      <c r="E61" s="87">
        <v>-160</v>
      </c>
      <c r="I61" s="11"/>
      <c r="J61" s="11"/>
      <c r="K61" s="75"/>
      <c r="L61" s="75"/>
      <c r="M61" s="75"/>
    </row>
    <row r="62" spans="1:13" s="87" customFormat="1">
      <c r="A62" s="11"/>
      <c r="B62" s="103" t="s">
        <v>119</v>
      </c>
      <c r="C62" s="11"/>
      <c r="E62" s="87">
        <v>-32.5</v>
      </c>
      <c r="I62" s="11"/>
      <c r="J62" s="11"/>
      <c r="K62" s="75"/>
      <c r="L62" s="75"/>
      <c r="M62" s="75"/>
    </row>
    <row r="63" spans="1:13" s="87" customFormat="1">
      <c r="A63" s="11"/>
      <c r="B63" s="103" t="s">
        <v>119</v>
      </c>
      <c r="C63" s="11"/>
      <c r="E63" s="87">
        <v>-374.55</v>
      </c>
      <c r="I63" s="11"/>
      <c r="J63" s="11"/>
      <c r="K63" s="75"/>
      <c r="L63" s="75"/>
      <c r="M63" s="75"/>
    </row>
    <row r="64" spans="1:13" s="87" customFormat="1">
      <c r="A64" s="375">
        <v>46007</v>
      </c>
      <c r="B64" s="103" t="s">
        <v>2110</v>
      </c>
      <c r="C64" s="11"/>
      <c r="E64" s="87">
        <v>-1722.44</v>
      </c>
      <c r="I64" s="11"/>
      <c r="J64" s="11"/>
      <c r="K64" s="75"/>
      <c r="L64" s="75"/>
      <c r="M64" s="75"/>
    </row>
    <row r="65" spans="1:13" s="87" customFormat="1">
      <c r="A65" s="11"/>
      <c r="B65" s="103" t="s">
        <v>2108</v>
      </c>
      <c r="C65" s="11"/>
      <c r="E65" s="87">
        <v>-1265.56</v>
      </c>
      <c r="I65" s="11"/>
      <c r="J65" s="11"/>
      <c r="K65" s="75"/>
      <c r="L65" s="75"/>
      <c r="M65" s="75"/>
    </row>
    <row r="66" spans="1:13" s="87" customFormat="1">
      <c r="A66" s="375">
        <v>46007</v>
      </c>
      <c r="B66" s="103" t="s">
        <v>2109</v>
      </c>
      <c r="C66" s="11"/>
      <c r="E66" s="87">
        <v>-948.69</v>
      </c>
      <c r="I66" s="11"/>
      <c r="J66" s="11"/>
      <c r="K66" s="75"/>
      <c r="L66" s="75"/>
      <c r="M66" s="75"/>
    </row>
    <row r="67" spans="1:13" s="87" customFormat="1">
      <c r="A67" s="11"/>
      <c r="B67" s="103" t="s">
        <v>119</v>
      </c>
      <c r="C67" s="11"/>
      <c r="E67" s="87">
        <v>-117.75</v>
      </c>
      <c r="I67" s="11"/>
      <c r="J67" s="11"/>
      <c r="K67" s="75"/>
      <c r="L67" s="75"/>
      <c r="M67" s="75"/>
    </row>
    <row r="68" spans="1:13" s="87" customFormat="1">
      <c r="A68" s="375">
        <v>46009</v>
      </c>
      <c r="B68" s="103" t="s">
        <v>119</v>
      </c>
      <c r="C68" s="11"/>
      <c r="E68" s="87">
        <v>-307.5</v>
      </c>
      <c r="I68" s="11"/>
      <c r="J68" s="11"/>
      <c r="K68" s="75"/>
      <c r="L68" s="75"/>
      <c r="M68" s="75"/>
    </row>
    <row r="69" spans="1:13" s="87" customFormat="1">
      <c r="A69" s="375">
        <v>46010</v>
      </c>
      <c r="B69" s="103" t="s">
        <v>119</v>
      </c>
      <c r="C69" s="11"/>
      <c r="E69" s="87">
        <v>-92.5</v>
      </c>
      <c r="I69" s="11"/>
      <c r="J69" s="11"/>
      <c r="K69" s="75"/>
      <c r="L69" s="75"/>
      <c r="M69" s="75"/>
    </row>
    <row r="70" spans="1:13" s="87" customFormat="1" ht="15">
      <c r="A70" s="11"/>
      <c r="B70" s="11"/>
      <c r="C70" s="11"/>
      <c r="E70" s="101" t="s">
        <v>76</v>
      </c>
      <c r="I70" s="11"/>
      <c r="J70" s="11"/>
      <c r="K70" s="75"/>
      <c r="L70" s="75"/>
      <c r="M70" s="75"/>
    </row>
    <row r="71" spans="1:13" s="87" customFormat="1">
      <c r="A71" s="11"/>
      <c r="B71" s="11"/>
      <c r="C71" s="11"/>
      <c r="I71" s="11"/>
      <c r="J71" s="11"/>
      <c r="K71" s="75"/>
      <c r="L71" s="75"/>
      <c r="M71" s="75"/>
    </row>
    <row r="72" spans="1:13" s="87" customFormat="1">
      <c r="A72" s="11"/>
      <c r="B72" s="11"/>
      <c r="C72" s="11"/>
      <c r="I72" s="11"/>
      <c r="J72" s="11"/>
      <c r="K72" s="75"/>
      <c r="L72" s="75"/>
      <c r="M72" s="75"/>
    </row>
    <row r="73" spans="1:13" s="87" customFormat="1">
      <c r="A73" s="11"/>
      <c r="B73" s="11"/>
      <c r="C73" s="11"/>
      <c r="I73" s="11"/>
      <c r="J73" s="11"/>
      <c r="K73" s="75"/>
      <c r="L73" s="75"/>
      <c r="M73" s="75"/>
    </row>
    <row r="74" spans="1:13" s="87" customFormat="1">
      <c r="A74" s="96"/>
      <c r="B74" s="103"/>
      <c r="C74" s="102"/>
      <c r="K74" s="75"/>
      <c r="L74" s="75"/>
      <c r="M74" s="75"/>
    </row>
    <row r="75" spans="1:13" s="87" customFormat="1">
      <c r="A75" s="96"/>
      <c r="B75" s="694"/>
      <c r="C75" s="695"/>
      <c r="D75" s="696" t="s">
        <v>2125</v>
      </c>
      <c r="E75" s="697">
        <f>SUM(E76:E117)</f>
        <v>-41629.719999999987</v>
      </c>
      <c r="K75" s="75"/>
      <c r="L75" s="75"/>
      <c r="M75" s="75"/>
    </row>
    <row r="76" spans="1:13" s="87" customFormat="1">
      <c r="A76" s="96"/>
      <c r="B76" s="103" t="s">
        <v>2095</v>
      </c>
      <c r="C76" s="102"/>
      <c r="K76" s="75"/>
      <c r="L76" s="75"/>
      <c r="M76" s="75"/>
    </row>
    <row r="77" spans="1:13" s="87" customFormat="1">
      <c r="A77" s="96">
        <v>45880</v>
      </c>
      <c r="B77" s="103" t="s">
        <v>1927</v>
      </c>
      <c r="C77" s="102">
        <v>5126</v>
      </c>
      <c r="D77" s="87" t="s">
        <v>1892</v>
      </c>
      <c r="E77" s="87">
        <v>-854.33</v>
      </c>
      <c r="K77" s="75"/>
      <c r="L77" s="75"/>
      <c r="M77" s="75"/>
    </row>
    <row r="78" spans="1:13" s="87" customFormat="1">
      <c r="A78" s="96">
        <v>45880</v>
      </c>
      <c r="B78" s="103" t="s">
        <v>1928</v>
      </c>
      <c r="C78" s="102">
        <v>16598.900000000001</v>
      </c>
      <c r="D78" s="87" t="s">
        <v>1949</v>
      </c>
      <c r="E78" s="87">
        <v>-1844.32</v>
      </c>
      <c r="K78" s="75"/>
      <c r="L78" s="75"/>
      <c r="M78" s="75"/>
    </row>
    <row r="79" spans="1:13" s="87" customFormat="1">
      <c r="A79" s="96">
        <v>45901</v>
      </c>
      <c r="B79" s="103" t="s">
        <v>1992</v>
      </c>
      <c r="C79" s="102">
        <v>2307</v>
      </c>
      <c r="D79" s="87" t="s">
        <v>1891</v>
      </c>
      <c r="E79" s="87">
        <v>-384.5</v>
      </c>
      <c r="K79" s="75"/>
      <c r="L79" s="75"/>
      <c r="M79" s="75"/>
    </row>
    <row r="80" spans="1:13" s="87" customFormat="1">
      <c r="A80" s="96"/>
      <c r="B80" s="103" t="s">
        <v>2066</v>
      </c>
      <c r="C80" s="102">
        <v>2400</v>
      </c>
      <c r="D80" s="87" t="s">
        <v>1886</v>
      </c>
      <c r="E80" s="87">
        <v>-800</v>
      </c>
      <c r="K80" s="75"/>
      <c r="L80" s="75"/>
      <c r="M80" s="75"/>
    </row>
    <row r="81" spans="1:13" s="87" customFormat="1">
      <c r="A81" s="96"/>
      <c r="B81" s="103" t="s">
        <v>2066</v>
      </c>
      <c r="C81" s="102">
        <v>2118.9699999999998</v>
      </c>
      <c r="D81" s="87" t="s">
        <v>1886</v>
      </c>
      <c r="E81" s="87">
        <v>-706.32</v>
      </c>
      <c r="K81" s="75"/>
      <c r="L81" s="75"/>
      <c r="M81" s="75"/>
    </row>
    <row r="82" spans="1:13" s="87" customFormat="1">
      <c r="A82" s="96"/>
      <c r="B82" s="103" t="s">
        <v>2065</v>
      </c>
      <c r="C82" s="102">
        <v>25999</v>
      </c>
      <c r="D82" s="87" t="s">
        <v>1945</v>
      </c>
      <c r="E82" s="87">
        <v>-2888.78</v>
      </c>
      <c r="K82" s="75"/>
      <c r="L82" s="75"/>
      <c r="M82" s="75"/>
    </row>
    <row r="83" spans="1:13" s="87" customFormat="1">
      <c r="A83" s="96"/>
      <c r="B83" s="103" t="s">
        <v>2067</v>
      </c>
      <c r="C83" s="102">
        <v>2160</v>
      </c>
      <c r="D83" s="87" t="s">
        <v>1886</v>
      </c>
      <c r="E83" s="87">
        <v>-720</v>
      </c>
      <c r="K83" s="75"/>
      <c r="L83" s="75"/>
      <c r="M83" s="75"/>
    </row>
    <row r="84" spans="1:13" s="87" customFormat="1">
      <c r="A84" s="96"/>
      <c r="B84" s="103" t="s">
        <v>2067</v>
      </c>
      <c r="C84" s="102">
        <v>425.46</v>
      </c>
      <c r="D84" s="87" t="s">
        <v>1886</v>
      </c>
      <c r="E84" s="87">
        <v>-141.82</v>
      </c>
      <c r="K84" s="75"/>
      <c r="L84" s="75"/>
      <c r="M84" s="75"/>
    </row>
    <row r="85" spans="1:13" s="87" customFormat="1">
      <c r="A85" s="96"/>
      <c r="B85" s="103" t="s">
        <v>2070</v>
      </c>
      <c r="C85" s="102">
        <v>7680</v>
      </c>
      <c r="D85" s="87" t="s">
        <v>1887</v>
      </c>
      <c r="E85" s="87">
        <v>-1280</v>
      </c>
      <c r="K85" s="75"/>
      <c r="L85" s="75"/>
      <c r="M85" s="75"/>
    </row>
    <row r="86" spans="1:13" s="87" customFormat="1">
      <c r="A86" s="96"/>
      <c r="B86" s="103" t="s">
        <v>2071</v>
      </c>
      <c r="C86" s="102">
        <v>4992.2</v>
      </c>
      <c r="D86" s="87" t="s">
        <v>1887</v>
      </c>
      <c r="E86" s="87">
        <v>-832.03</v>
      </c>
      <c r="K86" s="75"/>
      <c r="L86" s="75"/>
      <c r="M86" s="75"/>
    </row>
    <row r="87" spans="1:13" s="87" customFormat="1">
      <c r="A87" s="96"/>
      <c r="B87" s="103"/>
      <c r="C87" s="102"/>
      <c r="K87" s="75"/>
      <c r="L87" s="75"/>
      <c r="M87" s="75"/>
    </row>
    <row r="88" spans="1:13" s="87" customFormat="1">
      <c r="A88" s="96"/>
      <c r="B88" s="103" t="s">
        <v>2096</v>
      </c>
      <c r="C88" s="102"/>
      <c r="K88" s="75"/>
      <c r="L88" s="75"/>
      <c r="M88" s="75"/>
    </row>
    <row r="89" spans="1:13" s="87" customFormat="1">
      <c r="A89" s="96">
        <v>45880</v>
      </c>
      <c r="B89" s="103" t="s">
        <v>1928</v>
      </c>
      <c r="C89" s="102">
        <v>16598.900000000001</v>
      </c>
      <c r="D89" s="87" t="s">
        <v>1950</v>
      </c>
      <c r="E89" s="87">
        <v>-1844.32</v>
      </c>
      <c r="K89" s="75"/>
      <c r="L89" s="75"/>
      <c r="M89" s="75"/>
    </row>
    <row r="90" spans="1:13" s="87" customFormat="1">
      <c r="A90" s="96">
        <v>45901</v>
      </c>
      <c r="B90" s="103" t="s">
        <v>1992</v>
      </c>
      <c r="C90" s="102">
        <v>2307</v>
      </c>
      <c r="D90" s="87" t="s">
        <v>1892</v>
      </c>
      <c r="E90" s="87">
        <v>-384.5</v>
      </c>
      <c r="K90" s="75"/>
      <c r="L90" s="75"/>
      <c r="M90" s="75"/>
    </row>
    <row r="91" spans="1:13" s="87" customFormat="1">
      <c r="A91" s="96"/>
      <c r="B91" s="103" t="s">
        <v>2066</v>
      </c>
      <c r="C91" s="102">
        <v>2400</v>
      </c>
      <c r="D91" s="87" t="s">
        <v>1888</v>
      </c>
      <c r="E91" s="87">
        <v>-800</v>
      </c>
      <c r="K91" s="75"/>
      <c r="L91" s="75"/>
      <c r="M91" s="75"/>
    </row>
    <row r="92" spans="1:13" s="87" customFormat="1">
      <c r="A92" s="96"/>
      <c r="B92" s="103" t="s">
        <v>2066</v>
      </c>
      <c r="C92" s="102">
        <v>2118.9699999999998</v>
      </c>
      <c r="D92" s="87" t="s">
        <v>1888</v>
      </c>
      <c r="E92" s="87">
        <v>-706.32</v>
      </c>
      <c r="K92" s="75"/>
      <c r="L92" s="75"/>
      <c r="M92" s="75"/>
    </row>
    <row r="93" spans="1:13" s="87" customFormat="1">
      <c r="A93" s="96"/>
      <c r="B93" s="103" t="s">
        <v>2065</v>
      </c>
      <c r="C93" s="102">
        <v>25999</v>
      </c>
      <c r="D93" s="87" t="s">
        <v>1946</v>
      </c>
      <c r="E93" s="87">
        <v>-2888.78</v>
      </c>
      <c r="K93" s="75"/>
      <c r="L93" s="75"/>
      <c r="M93" s="75"/>
    </row>
    <row r="94" spans="1:13" s="87" customFormat="1">
      <c r="A94" s="96"/>
      <c r="B94" s="103" t="s">
        <v>2067</v>
      </c>
      <c r="C94" s="102">
        <v>2160</v>
      </c>
      <c r="D94" s="87" t="s">
        <v>1888</v>
      </c>
      <c r="E94" s="87">
        <v>-720</v>
      </c>
      <c r="K94" s="75"/>
      <c r="L94" s="75"/>
      <c r="M94" s="75"/>
    </row>
    <row r="95" spans="1:13" s="87" customFormat="1">
      <c r="A95" s="96"/>
      <c r="B95" s="103" t="s">
        <v>2067</v>
      </c>
      <c r="C95" s="102">
        <v>425.46</v>
      </c>
      <c r="D95" s="87" t="s">
        <v>1888</v>
      </c>
      <c r="E95" s="87">
        <v>-141.82</v>
      </c>
      <c r="K95" s="75"/>
      <c r="L95" s="75"/>
      <c r="M95" s="75"/>
    </row>
    <row r="96" spans="1:13" s="87" customFormat="1">
      <c r="A96" s="96"/>
      <c r="B96" s="103" t="s">
        <v>2070</v>
      </c>
      <c r="C96" s="102">
        <v>7680</v>
      </c>
      <c r="D96" s="87" t="s">
        <v>1889</v>
      </c>
      <c r="E96" s="87">
        <v>-1280</v>
      </c>
      <c r="K96" s="75"/>
      <c r="L96" s="75"/>
      <c r="M96" s="75"/>
    </row>
    <row r="97" spans="1:13" s="87" customFormat="1">
      <c r="A97" s="96"/>
      <c r="B97" s="103" t="s">
        <v>2071</v>
      </c>
      <c r="C97" s="102">
        <v>4992.2</v>
      </c>
      <c r="D97" s="87" t="s">
        <v>1889</v>
      </c>
      <c r="E97" s="87">
        <v>-832.03</v>
      </c>
      <c r="K97" s="75"/>
      <c r="L97" s="75"/>
      <c r="M97" s="75"/>
    </row>
    <row r="98" spans="1:13" s="87" customFormat="1">
      <c r="A98" s="96"/>
      <c r="B98" s="103"/>
      <c r="C98" s="102"/>
      <c r="K98" s="75"/>
      <c r="L98" s="75"/>
      <c r="M98" s="75"/>
    </row>
    <row r="99" spans="1:13" s="87" customFormat="1">
      <c r="A99" s="96"/>
      <c r="B99" s="103" t="s">
        <v>2097</v>
      </c>
      <c r="C99" s="102"/>
      <c r="K99" s="75"/>
      <c r="L99" s="75"/>
      <c r="M99" s="75"/>
    </row>
    <row r="100" spans="1:13" s="87" customFormat="1">
      <c r="A100" s="96">
        <v>45880</v>
      </c>
      <c r="B100" s="103" t="s">
        <v>1928</v>
      </c>
      <c r="C100" s="102">
        <v>16598.900000000001</v>
      </c>
      <c r="D100" s="87" t="s">
        <v>1951</v>
      </c>
      <c r="E100" s="87">
        <v>-1844.32</v>
      </c>
      <c r="K100" s="75"/>
      <c r="L100" s="75"/>
      <c r="M100" s="75"/>
    </row>
    <row r="101" spans="1:13" s="87" customFormat="1">
      <c r="A101" s="96"/>
      <c r="B101" s="103" t="s">
        <v>2065</v>
      </c>
      <c r="C101" s="102">
        <v>25999</v>
      </c>
      <c r="D101" s="87" t="s">
        <v>1947</v>
      </c>
      <c r="E101" s="87">
        <v>-2888.78</v>
      </c>
      <c r="K101" s="75"/>
      <c r="L101" s="75"/>
      <c r="M101" s="75"/>
    </row>
    <row r="102" spans="1:13" s="87" customFormat="1">
      <c r="A102" s="96"/>
      <c r="B102" s="103" t="s">
        <v>2070</v>
      </c>
      <c r="C102" s="102">
        <v>7680</v>
      </c>
      <c r="D102" s="87" t="s">
        <v>1890</v>
      </c>
      <c r="E102" s="87">
        <v>-1280</v>
      </c>
      <c r="K102" s="75"/>
      <c r="L102" s="75"/>
      <c r="M102" s="75"/>
    </row>
    <row r="103" spans="1:13" s="87" customFormat="1">
      <c r="A103" s="96"/>
      <c r="B103" s="103" t="s">
        <v>2071</v>
      </c>
      <c r="C103" s="102">
        <v>4992.2</v>
      </c>
      <c r="D103" s="87" t="s">
        <v>1890</v>
      </c>
      <c r="E103" s="87">
        <v>-832.03</v>
      </c>
      <c r="K103" s="75"/>
      <c r="L103" s="75"/>
      <c r="M103" s="75"/>
    </row>
    <row r="104" spans="1:13" s="87" customFormat="1">
      <c r="A104" s="96"/>
      <c r="B104" s="103"/>
      <c r="C104" s="102"/>
      <c r="K104" s="75"/>
      <c r="L104" s="75"/>
      <c r="M104" s="75"/>
    </row>
    <row r="105" spans="1:13" s="87" customFormat="1">
      <c r="A105" s="96"/>
      <c r="B105" s="103" t="s">
        <v>2098</v>
      </c>
      <c r="C105" s="102"/>
      <c r="K105" s="75"/>
      <c r="L105" s="75"/>
      <c r="M105" s="75"/>
    </row>
    <row r="106" spans="1:13" s="87" customFormat="1">
      <c r="A106" s="96">
        <v>45880</v>
      </c>
      <c r="B106" s="103" t="s">
        <v>1928</v>
      </c>
      <c r="C106" s="102">
        <v>16598.900000000001</v>
      </c>
      <c r="D106" s="87" t="s">
        <v>1952</v>
      </c>
      <c r="E106" s="87">
        <v>-1844.32</v>
      </c>
      <c r="K106" s="75"/>
      <c r="L106" s="75"/>
      <c r="M106" s="75"/>
    </row>
    <row r="107" spans="1:13" s="87" customFormat="1">
      <c r="A107" s="96"/>
      <c r="B107" s="103" t="s">
        <v>2065</v>
      </c>
      <c r="C107" s="102">
        <v>25999</v>
      </c>
      <c r="D107" s="87" t="s">
        <v>1948</v>
      </c>
      <c r="E107" s="87">
        <v>-2888.78</v>
      </c>
      <c r="K107" s="75"/>
      <c r="L107" s="75"/>
      <c r="M107" s="75"/>
    </row>
    <row r="108" spans="1:13" s="87" customFormat="1">
      <c r="A108" s="96"/>
      <c r="B108" s="103" t="s">
        <v>2070</v>
      </c>
      <c r="C108" s="102">
        <v>7680</v>
      </c>
      <c r="D108" s="87" t="s">
        <v>1891</v>
      </c>
      <c r="E108" s="87">
        <v>-1280</v>
      </c>
      <c r="K108" s="75"/>
      <c r="L108" s="75"/>
      <c r="M108" s="75"/>
    </row>
    <row r="109" spans="1:13" s="87" customFormat="1">
      <c r="A109" s="96"/>
      <c r="B109" s="103" t="s">
        <v>2071</v>
      </c>
      <c r="C109" s="102">
        <v>4992.2</v>
      </c>
      <c r="D109" s="87" t="s">
        <v>1891</v>
      </c>
      <c r="E109" s="87">
        <v>-832.03</v>
      </c>
      <c r="K109" s="75"/>
      <c r="L109" s="75"/>
      <c r="M109" s="75"/>
    </row>
    <row r="110" spans="1:13" s="87" customFormat="1">
      <c r="K110" s="75"/>
      <c r="L110" s="75"/>
      <c r="M110" s="75"/>
    </row>
    <row r="111" spans="1:13" s="87" customFormat="1">
      <c r="B111" s="87" t="s">
        <v>2099</v>
      </c>
      <c r="K111" s="75"/>
      <c r="L111" s="75"/>
      <c r="M111" s="75"/>
    </row>
    <row r="112" spans="1:13" s="87" customFormat="1">
      <c r="B112" s="103" t="s">
        <v>2065</v>
      </c>
      <c r="C112" s="102">
        <v>25999</v>
      </c>
      <c r="D112" s="87" t="s">
        <v>1949</v>
      </c>
      <c r="E112" s="87">
        <v>-2888.78</v>
      </c>
      <c r="K112" s="75"/>
      <c r="L112" s="75"/>
      <c r="M112" s="75"/>
    </row>
    <row r="113" spans="1:13" s="87" customFormat="1">
      <c r="B113" s="103" t="s">
        <v>2070</v>
      </c>
      <c r="C113" s="102">
        <v>7680</v>
      </c>
      <c r="D113" s="87" t="s">
        <v>1892</v>
      </c>
      <c r="E113" s="87">
        <v>-1280</v>
      </c>
      <c r="K113" s="75"/>
      <c r="L113" s="75"/>
      <c r="M113" s="75"/>
    </row>
    <row r="114" spans="1:13" s="87" customFormat="1">
      <c r="B114" s="103" t="s">
        <v>2071</v>
      </c>
      <c r="C114" s="102">
        <v>4992.2</v>
      </c>
      <c r="D114" s="87" t="s">
        <v>1892</v>
      </c>
      <c r="E114" s="87">
        <v>-832.03</v>
      </c>
      <c r="K114" s="75"/>
      <c r="L114" s="75"/>
      <c r="M114" s="75"/>
    </row>
    <row r="115" spans="1:13" s="87" customFormat="1">
      <c r="K115" s="75"/>
      <c r="L115" s="75"/>
      <c r="M115" s="75"/>
    </row>
    <row r="116" spans="1:13" s="87" customFormat="1">
      <c r="B116" s="87" t="s">
        <v>2100</v>
      </c>
      <c r="K116" s="75"/>
      <c r="L116" s="75"/>
      <c r="M116" s="75"/>
    </row>
    <row r="117" spans="1:13" s="87" customFormat="1">
      <c r="B117" s="103" t="s">
        <v>2065</v>
      </c>
      <c r="C117" s="102">
        <v>25999</v>
      </c>
      <c r="D117" s="87" t="s">
        <v>1950</v>
      </c>
      <c r="E117" s="87">
        <v>-2888.78</v>
      </c>
      <c r="K117" s="75"/>
      <c r="L117" s="75"/>
      <c r="M117" s="75"/>
    </row>
    <row r="118" spans="1:13" s="87" customFormat="1">
      <c r="K118" s="75"/>
      <c r="L118" s="75"/>
      <c r="M118" s="75"/>
    </row>
    <row r="119" spans="1:13" s="87" customFormat="1">
      <c r="A119" s="96"/>
      <c r="B119" s="102"/>
      <c r="C119" s="102"/>
      <c r="K119" s="75"/>
      <c r="L119" s="75"/>
      <c r="M119" s="75"/>
    </row>
    <row r="120" spans="1:13" s="87" customFormat="1">
      <c r="A120" s="99"/>
      <c r="B120" s="100" t="s">
        <v>77</v>
      </c>
      <c r="C120" s="99"/>
      <c r="E120" s="87">
        <f>SUM(E121:E138)</f>
        <v>0</v>
      </c>
      <c r="K120" s="75"/>
      <c r="L120" s="75"/>
      <c r="M120" s="75"/>
    </row>
    <row r="121" spans="1:13" s="87" customFormat="1">
      <c r="A121" s="96"/>
      <c r="B121" s="102"/>
      <c r="C121" s="102"/>
      <c r="K121" s="75"/>
      <c r="L121" s="75"/>
      <c r="M121" s="75"/>
    </row>
    <row r="122" spans="1:13" s="87" customFormat="1">
      <c r="A122" s="96"/>
      <c r="B122" s="102"/>
      <c r="C122" s="102"/>
      <c r="K122" s="75"/>
      <c r="L122" s="75"/>
      <c r="M122" s="75"/>
    </row>
    <row r="123" spans="1:13" s="87" customFormat="1">
      <c r="A123" s="96"/>
      <c r="B123" s="89"/>
      <c r="C123" s="102"/>
      <c r="K123" s="75"/>
      <c r="L123" s="75"/>
      <c r="M123" s="75"/>
    </row>
    <row r="124" spans="1:13" s="87" customFormat="1">
      <c r="A124" s="96"/>
      <c r="B124" s="89"/>
      <c r="C124" s="102"/>
      <c r="K124" s="75"/>
      <c r="L124" s="75"/>
      <c r="M124" s="75"/>
    </row>
    <row r="125" spans="1:13" s="87" customFormat="1">
      <c r="A125" s="96"/>
      <c r="B125" s="89"/>
      <c r="C125" s="102"/>
      <c r="K125" s="75"/>
      <c r="L125" s="75"/>
      <c r="M125" s="75"/>
    </row>
    <row r="126" spans="1:13" s="87" customFormat="1">
      <c r="A126" s="96"/>
      <c r="B126" s="89"/>
      <c r="C126" s="102"/>
      <c r="K126" s="75"/>
      <c r="L126" s="75"/>
      <c r="M126" s="75"/>
    </row>
    <row r="127" spans="1:13" s="87" customFormat="1">
      <c r="A127" s="96"/>
      <c r="B127" s="89"/>
      <c r="C127" s="102"/>
      <c r="K127" s="75"/>
      <c r="L127" s="75"/>
      <c r="M127" s="75"/>
    </row>
    <row r="128" spans="1:13" s="87" customFormat="1">
      <c r="A128" s="96"/>
      <c r="B128" s="89"/>
      <c r="C128" s="102"/>
      <c r="K128" s="75"/>
      <c r="L128" s="75"/>
      <c r="M128" s="75"/>
    </row>
    <row r="129" spans="1:13" s="87" customFormat="1">
      <c r="A129" s="96"/>
      <c r="B129" s="89"/>
      <c r="C129" s="102"/>
      <c r="K129" s="75"/>
      <c r="L129" s="75"/>
      <c r="M129" s="75"/>
    </row>
    <row r="130" spans="1:13" s="87" customFormat="1">
      <c r="A130" s="96"/>
      <c r="B130" s="89"/>
      <c r="C130" s="102"/>
      <c r="K130" s="75"/>
      <c r="L130" s="75"/>
      <c r="M130" s="75"/>
    </row>
    <row r="131" spans="1:13" s="87" customFormat="1">
      <c r="A131" s="96"/>
      <c r="B131" s="89"/>
      <c r="C131" s="102"/>
      <c r="K131" s="75"/>
      <c r="L131" s="75"/>
      <c r="M131" s="75"/>
    </row>
    <row r="132" spans="1:13" s="87" customFormat="1">
      <c r="A132" s="96"/>
      <c r="B132" s="89"/>
      <c r="C132" s="102"/>
      <c r="K132" s="75"/>
      <c r="L132" s="75"/>
      <c r="M132" s="75"/>
    </row>
    <row r="133" spans="1:13" s="87" customFormat="1">
      <c r="A133" s="96"/>
      <c r="B133" s="89"/>
      <c r="C133" s="102"/>
      <c r="K133" s="75"/>
      <c r="L133" s="75"/>
      <c r="M133" s="75"/>
    </row>
    <row r="134" spans="1:13" s="87" customFormat="1" ht="15">
      <c r="A134" s="96"/>
      <c r="B134" s="89"/>
      <c r="C134" s="102"/>
      <c r="E134" s="101" t="s">
        <v>76</v>
      </c>
      <c r="K134" s="75"/>
      <c r="L134" s="75"/>
      <c r="M134" s="75"/>
    </row>
    <row r="135" spans="1:13" s="87" customFormat="1">
      <c r="A135" s="96"/>
      <c r="B135" s="89"/>
      <c r="C135" s="102"/>
      <c r="K135" s="75"/>
      <c r="L135" s="75"/>
      <c r="M135" s="75"/>
    </row>
    <row r="136" spans="1:13" s="87" customFormat="1">
      <c r="A136" s="96"/>
      <c r="B136" s="89"/>
      <c r="C136" s="102"/>
      <c r="K136" s="75"/>
      <c r="L136" s="75"/>
      <c r="M136" s="75"/>
    </row>
    <row r="137" spans="1:13" s="87" customFormat="1">
      <c r="A137" s="96"/>
      <c r="B137" s="89"/>
      <c r="C137" s="102"/>
      <c r="K137" s="75"/>
      <c r="L137" s="75"/>
      <c r="M137" s="75"/>
    </row>
    <row r="138" spans="1:13" s="87" customFormat="1" ht="18">
      <c r="A138" s="682" t="s">
        <v>2124</v>
      </c>
      <c r="B138" s="681"/>
      <c r="C138" s="683" t="s">
        <v>128</v>
      </c>
      <c r="D138" s="684"/>
      <c r="E138" s="681"/>
      <c r="F138" s="681"/>
      <c r="G138" s="685">
        <f>SUM(G140:G156)</f>
        <v>713920.92999999993</v>
      </c>
      <c r="K138" s="75"/>
      <c r="L138" s="75"/>
      <c r="M138" s="75"/>
    </row>
    <row r="139" spans="1:13" s="87" customFormat="1">
      <c r="A139" s="94"/>
      <c r="F139" s="393"/>
      <c r="K139" s="75"/>
      <c r="L139" s="75"/>
      <c r="M139" s="75"/>
    </row>
    <row r="140" spans="1:13" s="87" customFormat="1">
      <c r="A140" s="556">
        <v>46022</v>
      </c>
      <c r="B140" s="87" t="s">
        <v>131</v>
      </c>
      <c r="C140" s="12"/>
      <c r="D140" s="12"/>
      <c r="F140" s="393"/>
      <c r="G140" s="14">
        <v>479070.93</v>
      </c>
      <c r="H140" s="14"/>
      <c r="K140" s="75"/>
      <c r="L140" s="75"/>
      <c r="M140" s="75"/>
    </row>
    <row r="141" spans="1:13">
      <c r="A141" s="556"/>
      <c r="B141" s="87" t="s">
        <v>2122</v>
      </c>
      <c r="C141" s="12"/>
      <c r="D141" s="12"/>
      <c r="F141" s="393"/>
      <c r="G141" s="14">
        <v>0</v>
      </c>
      <c r="H141" s="14"/>
      <c r="I141" s="87"/>
      <c r="J141" s="87"/>
    </row>
    <row r="142" spans="1:13">
      <c r="A142" s="94"/>
      <c r="B142" s="87"/>
      <c r="C142" s="12"/>
      <c r="D142" s="12"/>
      <c r="E142" s="87" t="s">
        <v>129</v>
      </c>
      <c r="F142" s="393"/>
      <c r="G142" s="14"/>
      <c r="H142" s="14"/>
      <c r="I142" s="87"/>
    </row>
    <row r="143" spans="1:13" ht="13.5" thickBot="1">
      <c r="A143" s="94">
        <v>45659</v>
      </c>
      <c r="B143" s="79" t="s">
        <v>1594</v>
      </c>
      <c r="C143" s="110">
        <v>0</v>
      </c>
      <c r="D143" s="111">
        <v>30.86</v>
      </c>
      <c r="E143" s="112">
        <f t="shared" ref="E143" si="1">D143*C143</f>
        <v>0</v>
      </c>
      <c r="F143" s="393"/>
      <c r="G143" s="14">
        <f t="shared" ref="G143" si="2">F143*C143</f>
        <v>0</v>
      </c>
      <c r="H143" s="14"/>
      <c r="I143" s="87"/>
      <c r="J143" s="407">
        <f>SUM(G143:G143)</f>
        <v>0</v>
      </c>
    </row>
    <row r="144" spans="1:13" ht="13.5" thickBot="1">
      <c r="A144" s="94"/>
      <c r="B144" s="87"/>
      <c r="C144" s="12"/>
      <c r="D144" s="12"/>
      <c r="E144" s="87">
        <f>SUM(E143:E143)</f>
        <v>0</v>
      </c>
      <c r="F144" s="393"/>
      <c r="I144" s="113">
        <f>SUM(I143:I143)</f>
        <v>0</v>
      </c>
      <c r="J144" s="568">
        <f>(SUM(G143:G143))-(SUM(E143:E143))</f>
        <v>0</v>
      </c>
    </row>
    <row r="145" spans="1:10">
      <c r="A145" s="94"/>
      <c r="B145" s="87"/>
      <c r="C145" s="12"/>
      <c r="D145" s="12"/>
      <c r="F145" s="393"/>
      <c r="I145" s="87"/>
      <c r="J145" s="87"/>
    </row>
    <row r="146" spans="1:10">
      <c r="A146" s="94">
        <v>45345</v>
      </c>
      <c r="B146" s="79" t="s">
        <v>135</v>
      </c>
      <c r="C146" s="114">
        <v>0</v>
      </c>
      <c r="D146" s="391">
        <v>1.064435</v>
      </c>
      <c r="E146" s="112">
        <f>D146*C146</f>
        <v>0</v>
      </c>
      <c r="F146" s="425"/>
      <c r="G146" s="14">
        <f>F146*C146</f>
        <v>0</v>
      </c>
      <c r="H146" s="14"/>
      <c r="I146" s="87">
        <f>G146-E146</f>
        <v>0</v>
      </c>
      <c r="J146" s="87"/>
    </row>
    <row r="147" spans="1:10">
      <c r="A147" s="557"/>
      <c r="B147" s="434"/>
      <c r="C147" s="565"/>
      <c r="D147" s="566"/>
      <c r="E147" s="437"/>
      <c r="F147" s="425"/>
      <c r="G147" s="14"/>
      <c r="H147" s="14"/>
      <c r="I147" s="87"/>
      <c r="J147" s="87"/>
    </row>
    <row r="148" spans="1:10">
      <c r="A148" s="94"/>
      <c r="B148" s="87"/>
      <c r="C148" s="87"/>
      <c r="E148" s="14"/>
      <c r="F148" s="393"/>
      <c r="I148" s="87"/>
      <c r="J148" s="87"/>
    </row>
    <row r="149" spans="1:10">
      <c r="A149" s="94">
        <v>45509</v>
      </c>
      <c r="B149" s="79" t="s">
        <v>1722</v>
      </c>
      <c r="C149" s="110">
        <v>1</v>
      </c>
      <c r="D149" s="80">
        <v>2500</v>
      </c>
      <c r="E149" s="112">
        <f>D149*C149</f>
        <v>2500</v>
      </c>
      <c r="F149" s="393">
        <v>6000</v>
      </c>
      <c r="G149" s="14">
        <f>C149*F149</f>
        <v>6000</v>
      </c>
      <c r="H149" s="14"/>
      <c r="I149" s="87">
        <f>G149-E149</f>
        <v>3500</v>
      </c>
      <c r="J149" s="87"/>
    </row>
    <row r="150" spans="1:10">
      <c r="A150" s="94">
        <v>45509</v>
      </c>
      <c r="B150" s="79" t="s">
        <v>140</v>
      </c>
      <c r="C150" s="110">
        <v>16</v>
      </c>
      <c r="D150" s="80">
        <v>4100</v>
      </c>
      <c r="E150" s="112">
        <f>D150*C150</f>
        <v>65600</v>
      </c>
      <c r="F150" s="393">
        <f>F149*1.73</f>
        <v>10380</v>
      </c>
      <c r="G150" s="14">
        <f>C150*F150</f>
        <v>166080</v>
      </c>
      <c r="H150" s="14"/>
      <c r="I150" s="87">
        <f>G150-E150</f>
        <v>100480</v>
      </c>
      <c r="J150" s="87"/>
    </row>
    <row r="151" spans="1:10" ht="13.5" thickBot="1">
      <c r="A151" s="94">
        <v>45509</v>
      </c>
      <c r="B151" s="79" t="s">
        <v>141</v>
      </c>
      <c r="C151" s="110">
        <v>1</v>
      </c>
      <c r="D151" s="80">
        <v>16200</v>
      </c>
      <c r="E151" s="112">
        <f>D151*C151</f>
        <v>16200</v>
      </c>
      <c r="F151" s="393">
        <f>F150*4</f>
        <v>41520</v>
      </c>
      <c r="G151" s="14">
        <f>C151*F151</f>
        <v>41520</v>
      </c>
      <c r="H151" s="14"/>
      <c r="I151" s="87">
        <f>G151-E151</f>
        <v>25320</v>
      </c>
      <c r="J151" s="407">
        <f>SUM(G149:G151)</f>
        <v>213600</v>
      </c>
    </row>
    <row r="152" spans="1:10" ht="13.5" thickBot="1">
      <c r="A152" s="94"/>
      <c r="B152" s="87"/>
      <c r="C152" s="12"/>
      <c r="D152" s="12"/>
      <c r="E152" s="87">
        <f>SUM(E149:E151)</f>
        <v>84300</v>
      </c>
      <c r="F152" s="393"/>
      <c r="I152" s="87"/>
      <c r="J152" s="568">
        <f>(SUM(G149:G151))-(SUM(E149:E151))</f>
        <v>129300</v>
      </c>
    </row>
    <row r="153" spans="1:10">
      <c r="A153" s="94"/>
      <c r="B153" s="87" t="s">
        <v>2132</v>
      </c>
      <c r="C153" s="116">
        <v>33.250599999999999</v>
      </c>
      <c r="D153" s="12"/>
      <c r="F153" s="393"/>
      <c r="G153" s="14"/>
      <c r="H153" s="14"/>
      <c r="I153" s="87"/>
      <c r="J153" s="87"/>
    </row>
    <row r="154" spans="1:10">
      <c r="A154" s="94"/>
      <c r="B154" s="87" t="s">
        <v>2131</v>
      </c>
      <c r="C154" s="116">
        <v>225</v>
      </c>
      <c r="D154" s="12">
        <v>50</v>
      </c>
      <c r="E154" s="112">
        <f>D154*C154</f>
        <v>11250</v>
      </c>
      <c r="F154" s="393">
        <v>50</v>
      </c>
      <c r="G154" s="14">
        <f>C154*F154</f>
        <v>11250</v>
      </c>
      <c r="H154" s="14"/>
      <c r="I154" s="87">
        <f>G154-E154</f>
        <v>0</v>
      </c>
      <c r="J154" s="407">
        <f>SUM(G152:G154)</f>
        <v>11250</v>
      </c>
    </row>
    <row r="155" spans="1:10">
      <c r="A155" s="94"/>
      <c r="B155" s="87" t="s">
        <v>144</v>
      </c>
      <c r="C155" s="12"/>
      <c r="D155" s="12"/>
      <c r="F155" s="393"/>
      <c r="G155" s="14">
        <v>0</v>
      </c>
      <c r="H155" s="14"/>
      <c r="I155" s="87"/>
      <c r="J155" s="87"/>
    </row>
    <row r="156" spans="1:10" ht="13.5" thickBot="1">
      <c r="A156" s="94"/>
      <c r="B156" s="87" t="s">
        <v>145</v>
      </c>
      <c r="C156" s="12"/>
      <c r="D156" s="12"/>
      <c r="F156" s="393"/>
      <c r="G156" s="14">
        <v>10000</v>
      </c>
      <c r="H156" s="14"/>
      <c r="I156" s="87"/>
      <c r="J156" s="87"/>
    </row>
    <row r="157" spans="1:10" ht="13.5" thickBot="1">
      <c r="A157" s="94"/>
      <c r="B157" s="87"/>
      <c r="C157" s="87"/>
      <c r="E157" s="117"/>
      <c r="F157" s="647"/>
      <c r="G157" s="119" t="s">
        <v>146</v>
      </c>
      <c r="H157" s="119"/>
      <c r="I157" s="569">
        <f>J152+J144</f>
        <v>129300</v>
      </c>
      <c r="J157" s="87"/>
    </row>
    <row r="158" spans="1:10" ht="13.5" thickBot="1">
      <c r="A158" s="94"/>
      <c r="B158" s="87"/>
      <c r="C158" s="120"/>
      <c r="D158" s="89"/>
      <c r="F158" s="393"/>
      <c r="G158" s="120"/>
      <c r="H158" s="120"/>
      <c r="I158" s="87"/>
      <c r="J158" s="87"/>
    </row>
    <row r="159" spans="1:10" ht="13.5" thickBot="1">
      <c r="A159" s="94"/>
      <c r="B159" s="87"/>
      <c r="C159" s="120"/>
      <c r="D159" s="15" t="s">
        <v>147</v>
      </c>
      <c r="F159" s="393"/>
      <c r="G159" s="470">
        <f>SUM(G140:G156)</f>
        <v>713920.92999999993</v>
      </c>
      <c r="H159" s="653"/>
      <c r="I159" s="87"/>
      <c r="J159" s="87"/>
    </row>
    <row r="160" spans="1:10">
      <c r="A160" s="94"/>
      <c r="B160" s="563"/>
      <c r="C160" s="564" t="str">
        <f>A138</f>
        <v>ŞUBAT  2026 ya</v>
      </c>
      <c r="D160" s="564" t="s">
        <v>148</v>
      </c>
      <c r="F160" s="393"/>
      <c r="G160" s="123"/>
      <c r="H160" s="123"/>
      <c r="I160" s="87"/>
      <c r="J160" s="87"/>
    </row>
    <row r="161" spans="1:10">
      <c r="A161" s="94"/>
      <c r="C161" s="426"/>
      <c r="D161" s="427"/>
      <c r="E161" s="393"/>
      <c r="F161" s="393"/>
      <c r="G161" s="397"/>
      <c r="H161" s="397"/>
      <c r="I161" s="87"/>
      <c r="J161" s="87"/>
    </row>
    <row r="162" spans="1:10">
      <c r="A162" s="418"/>
      <c r="B162" s="87" t="s">
        <v>1676</v>
      </c>
      <c r="C162" s="87"/>
      <c r="F162" s="393"/>
      <c r="I162" s="87"/>
    </row>
    <row r="163" spans="1:10">
      <c r="A163" s="94">
        <v>45400</v>
      </c>
      <c r="B163" s="395" t="s">
        <v>136</v>
      </c>
      <c r="C163" s="110">
        <v>0</v>
      </c>
      <c r="D163" s="80">
        <v>0</v>
      </c>
      <c r="E163" s="397">
        <f>D163*C163</f>
        <v>0</v>
      </c>
      <c r="F163" s="373">
        <v>0</v>
      </c>
      <c r="G163" s="14">
        <f>F163*C163</f>
        <v>0</v>
      </c>
      <c r="H163" s="11"/>
      <c r="I163" s="87">
        <f>G163-E163</f>
        <v>0</v>
      </c>
    </row>
    <row r="164" spans="1:10">
      <c r="A164" s="94"/>
      <c r="B164" s="395"/>
      <c r="C164" s="110"/>
      <c r="D164" s="80"/>
      <c r="E164" s="397"/>
      <c r="F164" s="373"/>
      <c r="G164" s="14"/>
      <c r="H164" s="11"/>
      <c r="I164" s="87"/>
    </row>
    <row r="165" spans="1:10">
      <c r="A165" s="94">
        <v>45418</v>
      </c>
      <c r="B165" s="395" t="s">
        <v>137</v>
      </c>
      <c r="C165" s="110">
        <v>0</v>
      </c>
      <c r="D165" s="80">
        <v>0</v>
      </c>
      <c r="E165" s="397">
        <f>D165*C165</f>
        <v>0</v>
      </c>
      <c r="F165" s="373">
        <v>0</v>
      </c>
      <c r="G165" s="14">
        <f>F165*C165</f>
        <v>0</v>
      </c>
      <c r="H165" s="11"/>
      <c r="I165" s="87">
        <f>G165-E165</f>
        <v>0</v>
      </c>
    </row>
    <row r="166" spans="1:10">
      <c r="A166" s="94"/>
      <c r="B166" s="395"/>
      <c r="C166" s="110"/>
      <c r="D166" s="80"/>
      <c r="E166" s="397"/>
      <c r="F166" s="373"/>
      <c r="G166" s="14"/>
      <c r="H166" s="11"/>
      <c r="I166" s="87"/>
    </row>
    <row r="167" spans="1:10">
      <c r="A167" s="94">
        <v>45418</v>
      </c>
      <c r="B167" s="395" t="s">
        <v>138</v>
      </c>
      <c r="C167" s="110">
        <v>0</v>
      </c>
      <c r="D167" s="80">
        <v>0</v>
      </c>
      <c r="E167" s="397">
        <f>D167*C167</f>
        <v>0</v>
      </c>
      <c r="F167" s="373">
        <v>0</v>
      </c>
      <c r="G167" s="14">
        <f>F167*C167</f>
        <v>0</v>
      </c>
      <c r="H167" s="11"/>
      <c r="I167" s="87">
        <f>G167-E167</f>
        <v>0</v>
      </c>
    </row>
    <row r="168" spans="1:10">
      <c r="A168" s="94"/>
      <c r="B168" s="395"/>
      <c r="C168" s="110"/>
      <c r="D168" s="80"/>
      <c r="E168" s="397"/>
      <c r="F168" s="373"/>
      <c r="G168" s="14"/>
      <c r="H168" s="11"/>
      <c r="I168" s="87"/>
      <c r="J168" s="395"/>
    </row>
    <row r="169" spans="1:10">
      <c r="A169" s="94">
        <v>45659</v>
      </c>
      <c r="B169" s="395" t="s">
        <v>1594</v>
      </c>
      <c r="C169" s="110">
        <v>0</v>
      </c>
      <c r="D169" s="692">
        <v>0</v>
      </c>
      <c r="E169" s="397">
        <f t="shared" ref="E169" si="3">D169*C169</f>
        <v>0</v>
      </c>
      <c r="F169" s="691">
        <v>0</v>
      </c>
      <c r="G169" s="14">
        <f t="shared" ref="G169" si="4">F169*C169</f>
        <v>0</v>
      </c>
      <c r="H169" s="11"/>
      <c r="I169" s="87">
        <f>G169-E169</f>
        <v>0</v>
      </c>
      <c r="J169" s="397"/>
    </row>
    <row r="170" spans="1:10">
      <c r="A170" s="94"/>
      <c r="B170" s="395"/>
      <c r="C170" s="443"/>
      <c r="D170" s="444"/>
      <c r="E170" s="397"/>
      <c r="F170" s="393"/>
      <c r="G170" s="14" t="s">
        <v>1720</v>
      </c>
      <c r="H170" s="11"/>
      <c r="I170" s="87"/>
      <c r="J170" s="397"/>
    </row>
    <row r="171" spans="1:10">
      <c r="A171" s="94"/>
      <c r="B171" s="395"/>
      <c r="C171" s="443"/>
      <c r="D171" s="393"/>
      <c r="E171" s="397"/>
      <c r="F171" s="393"/>
      <c r="G171" s="14" t="s">
        <v>1058</v>
      </c>
      <c r="H171" s="11"/>
      <c r="I171" s="87"/>
    </row>
    <row r="172" spans="1:10" ht="13.5" thickBot="1">
      <c r="A172" s="94"/>
      <c r="B172" s="395"/>
      <c r="C172" s="443"/>
      <c r="D172" s="393"/>
      <c r="E172" s="397"/>
      <c r="F172" s="393"/>
      <c r="G172" s="14"/>
      <c r="H172" s="11"/>
      <c r="I172" s="87"/>
    </row>
    <row r="173" spans="1:10">
      <c r="A173" s="557"/>
      <c r="B173" s="416"/>
      <c r="C173" s="416"/>
      <c r="D173" s="405"/>
      <c r="E173" s="405">
        <f>SUM(E163:E167)</f>
        <v>0</v>
      </c>
      <c r="F173" s="405"/>
      <c r="G173" s="405">
        <f>SUM(G163:G167)</f>
        <v>0</v>
      </c>
      <c r="H173" s="11"/>
      <c r="I173" s="468">
        <f>SUM(H161:H172)</f>
        <v>0</v>
      </c>
    </row>
    <row r="174" spans="1:10">
      <c r="A174" s="94"/>
      <c r="F174" s="87" t="s">
        <v>878</v>
      </c>
      <c r="H174" s="11"/>
      <c r="I174" s="87">
        <f>I173+'01_26'!I172</f>
        <v>0</v>
      </c>
    </row>
    <row r="175" spans="1:10">
      <c r="A175" s="94"/>
      <c r="F175" s="393"/>
      <c r="I175" s="87"/>
    </row>
    <row r="176" spans="1:10">
      <c r="A176" s="94"/>
      <c r="F176" s="393"/>
      <c r="I176" s="87"/>
    </row>
    <row r="177" spans="1:10">
      <c r="A177" s="94"/>
      <c r="F177" s="393"/>
      <c r="I177" s="87"/>
    </row>
    <row r="178" spans="1:10" ht="18">
      <c r="A178" s="476" t="s">
        <v>2134</v>
      </c>
      <c r="F178" s="393"/>
      <c r="I178" s="87"/>
    </row>
    <row r="179" spans="1:10" ht="15.75">
      <c r="A179" s="94"/>
      <c r="B179" s="464">
        <f>1-76.4616%</f>
        <v>0.23538399999999993</v>
      </c>
      <c r="C179" s="465">
        <v>0.76461599999999996</v>
      </c>
      <c r="D179" s="392"/>
      <c r="F179" s="393"/>
      <c r="I179" s="87"/>
    </row>
    <row r="180" spans="1:10">
      <c r="A180" s="655"/>
      <c r="B180" s="395"/>
      <c r="C180" s="656"/>
      <c r="E180" s="649"/>
      <c r="F180" s="526"/>
      <c r="G180" s="649"/>
      <c r="H180" s="649"/>
      <c r="I180" s="526"/>
      <c r="J180" s="673">
        <v>2026</v>
      </c>
    </row>
    <row r="181" spans="1:10">
      <c r="A181" s="655"/>
      <c r="B181" s="87" t="s">
        <v>2129</v>
      </c>
      <c r="C181" s="656"/>
      <c r="E181" s="649"/>
      <c r="F181" s="526"/>
      <c r="G181" s="649"/>
      <c r="H181" s="649"/>
      <c r="I181" s="693" t="s">
        <v>2133</v>
      </c>
      <c r="J181" s="578">
        <v>124688.57</v>
      </c>
    </row>
    <row r="182" spans="1:10">
      <c r="A182" s="655"/>
      <c r="B182" s="454" t="s">
        <v>2113</v>
      </c>
      <c r="C182" s="656"/>
      <c r="E182" s="649"/>
      <c r="F182" s="526"/>
      <c r="G182" s="649"/>
      <c r="H182" s="649"/>
      <c r="I182" s="526"/>
      <c r="J182" s="578">
        <v>124688.57</v>
      </c>
    </row>
    <row r="183" spans="1:10">
      <c r="A183" s="655"/>
      <c r="B183" s="454" t="s">
        <v>2114</v>
      </c>
      <c r="C183" s="656"/>
      <c r="E183" s="649"/>
      <c r="F183" s="526"/>
      <c r="G183" s="649"/>
      <c r="H183" s="649"/>
      <c r="I183" s="526"/>
      <c r="J183" s="578">
        <f t="shared" ref="J183:J187" si="5">J182+I183</f>
        <v>124688.57</v>
      </c>
    </row>
    <row r="184" spans="1:10">
      <c r="A184" s="655"/>
      <c r="B184" s="454" t="s">
        <v>2115</v>
      </c>
      <c r="C184" s="656"/>
      <c r="D184" s="525"/>
      <c r="E184" s="649"/>
      <c r="F184" s="526"/>
      <c r="G184" s="649"/>
      <c r="H184" s="649"/>
      <c r="I184" s="526"/>
      <c r="J184" s="578">
        <f t="shared" si="5"/>
        <v>124688.57</v>
      </c>
    </row>
    <row r="185" spans="1:10">
      <c r="A185" s="655"/>
      <c r="B185" s="454" t="s">
        <v>2116</v>
      </c>
      <c r="C185" s="656"/>
      <c r="D185" s="525"/>
      <c r="E185" s="525"/>
      <c r="F185" s="526"/>
      <c r="G185" s="649"/>
      <c r="H185" s="649"/>
      <c r="I185" s="526"/>
      <c r="J185" s="578">
        <f t="shared" si="5"/>
        <v>124688.57</v>
      </c>
    </row>
    <row r="186" spans="1:10">
      <c r="A186" s="655"/>
      <c r="B186" s="454" t="s">
        <v>2117</v>
      </c>
      <c r="C186" s="656"/>
      <c r="D186" s="525"/>
      <c r="E186" s="525"/>
      <c r="F186" s="526"/>
      <c r="G186" s="649"/>
      <c r="H186" s="649"/>
      <c r="I186" s="526"/>
      <c r="J186" s="578">
        <f t="shared" si="5"/>
        <v>124688.57</v>
      </c>
    </row>
    <row r="187" spans="1:10">
      <c r="A187" s="655"/>
      <c r="B187" s="454"/>
      <c r="C187" s="656"/>
      <c r="D187" s="525"/>
      <c r="E187" s="525"/>
      <c r="F187" s="526"/>
      <c r="G187" s="649"/>
      <c r="H187" s="649"/>
      <c r="I187" s="525"/>
      <c r="J187" s="578">
        <f t="shared" si="5"/>
        <v>124688.57</v>
      </c>
    </row>
    <row r="188" spans="1:10">
      <c r="A188" s="655"/>
      <c r="B188" s="544"/>
      <c r="C188" s="656"/>
      <c r="D188" s="525"/>
      <c r="E188" s="525"/>
      <c r="F188" s="526"/>
      <c r="G188" s="649"/>
      <c r="H188" s="649"/>
      <c r="I188" s="526"/>
      <c r="J188" s="578"/>
    </row>
    <row r="189" spans="1:10">
      <c r="A189" s="655"/>
      <c r="B189" s="87"/>
      <c r="C189" s="656"/>
      <c r="D189" s="525"/>
      <c r="E189" s="525"/>
      <c r="F189" s="526"/>
      <c r="G189" s="649"/>
      <c r="H189" s="649"/>
      <c r="I189" s="525"/>
      <c r="J189" s="578"/>
    </row>
    <row r="190" spans="1:10">
      <c r="B190" s="87" t="s">
        <v>2135</v>
      </c>
      <c r="J190" s="578">
        <v>124688.57</v>
      </c>
    </row>
  </sheetData>
  <conditionalFormatting sqref="F165:F167">
    <cfRule type="cellIs" dxfId="136" priority="4" operator="lessThan">
      <formula>D165</formula>
    </cfRule>
  </conditionalFormatting>
  <conditionalFormatting sqref="F149:F151 F143">
    <cfRule type="cellIs" dxfId="135" priority="10" operator="lessThan">
      <formula>D143</formula>
    </cfRule>
  </conditionalFormatting>
  <conditionalFormatting sqref="F146">
    <cfRule type="cellIs" dxfId="134" priority="9" operator="lessThan">
      <formula>D146</formula>
    </cfRule>
  </conditionalFormatting>
  <conditionalFormatting sqref="F147">
    <cfRule type="cellIs" dxfId="133" priority="8" operator="lessThan">
      <formula>D147</formula>
    </cfRule>
  </conditionalFormatting>
  <conditionalFormatting sqref="F163:F164 F168 F171:F172">
    <cfRule type="cellIs" dxfId="132" priority="5" operator="lessThan">
      <formula>D163</formula>
    </cfRule>
  </conditionalFormatting>
  <conditionalFormatting sqref="F169">
    <cfRule type="cellIs" dxfId="131" priority="3" operator="lessThan">
      <formula>D169</formula>
    </cfRule>
  </conditionalFormatting>
  <conditionalFormatting sqref="F170">
    <cfRule type="cellIs" dxfId="130" priority="2" operator="lessThan">
      <formula>D170</formula>
    </cfRule>
  </conditionalFormatting>
  <conditionalFormatting sqref="F154">
    <cfRule type="cellIs" dxfId="129" priority="1" operator="lessThan">
      <formula>D154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8A1A"/>
  </sheetPr>
  <dimension ref="A1:N27"/>
  <sheetViews>
    <sheetView topLeftCell="A7" zoomScale="175" zoomScaleNormal="175" workbookViewId="0">
      <selection activeCell="E22" sqref="E22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7.42578125" customWidth="1"/>
    <col min="15" max="15" width="9.140625" customWidth="1"/>
  </cols>
  <sheetData>
    <row r="1" spans="1:14" ht="15.75">
      <c r="A1" s="16"/>
      <c r="B1" s="17"/>
      <c r="C1" s="18" t="s">
        <v>15</v>
      </c>
      <c r="D1" s="19"/>
      <c r="E1" s="20"/>
      <c r="F1" s="18" t="s">
        <v>16</v>
      </c>
      <c r="G1" s="19"/>
      <c r="H1" s="21"/>
      <c r="I1" s="22"/>
      <c r="J1" s="23"/>
      <c r="K1" s="24" t="s">
        <v>17</v>
      </c>
      <c r="L1" s="674" t="s">
        <v>18</v>
      </c>
      <c r="M1" s="674"/>
      <c r="N1" s="8" t="s">
        <v>19</v>
      </c>
    </row>
    <row r="2" spans="1:14" ht="15.75">
      <c r="A2" s="16">
        <v>-2024</v>
      </c>
      <c r="B2" s="20" t="s">
        <v>20</v>
      </c>
      <c r="C2" s="25" t="s">
        <v>21</v>
      </c>
      <c r="D2" s="19" t="s">
        <v>22</v>
      </c>
      <c r="E2" s="20" t="s">
        <v>20</v>
      </c>
      <c r="F2" s="25" t="s">
        <v>21</v>
      </c>
      <c r="G2" s="19" t="s">
        <v>3</v>
      </c>
      <c r="H2" s="21"/>
      <c r="I2" s="22"/>
      <c r="J2" s="23" t="s">
        <v>23</v>
      </c>
      <c r="K2" s="26">
        <v>0.23538400000000001</v>
      </c>
      <c r="L2" s="27">
        <f>1-K2</f>
        <v>0.76461599999999996</v>
      </c>
      <c r="M2" s="28" t="s">
        <v>24</v>
      </c>
      <c r="N2" s="8" t="e">
        <f>#REF!/1000</f>
        <v>#REF!</v>
      </c>
    </row>
    <row r="3" spans="1:14">
      <c r="A3" t="s">
        <v>25</v>
      </c>
      <c r="B3" s="29">
        <f>'01_25'!D2</f>
        <v>398664</v>
      </c>
      <c r="C3" s="29">
        <f>'01_25'!E2</f>
        <v>-55562.400000000001</v>
      </c>
      <c r="D3" s="30">
        <f>B3+C3</f>
        <v>343101.6</v>
      </c>
      <c r="E3" s="29">
        <f>'01_25'!F2</f>
        <v>320054.88</v>
      </c>
      <c r="F3" s="29">
        <f>'01_25'!G2</f>
        <v>-59018.87</v>
      </c>
      <c r="G3" s="30">
        <f>E3+F3</f>
        <v>261036.01</v>
      </c>
      <c r="H3" s="31"/>
      <c r="I3" s="32" t="s">
        <v>26</v>
      </c>
      <c r="J3">
        <v>180</v>
      </c>
      <c r="K3" s="33"/>
      <c r="L3" s="34"/>
      <c r="M3" s="35">
        <f>J3</f>
        <v>180</v>
      </c>
      <c r="N3" s="8">
        <f>'01_25'!E133/1000</f>
        <v>0.96499000000000001</v>
      </c>
    </row>
    <row r="4" spans="1:14">
      <c r="A4" t="s">
        <v>27</v>
      </c>
      <c r="B4" s="29">
        <f>'02_25'!D2</f>
        <v>45000</v>
      </c>
      <c r="C4" s="29">
        <f>'02_25'!E2</f>
        <v>-75400.399999999994</v>
      </c>
      <c r="D4" s="30">
        <f t="shared" ref="D4:D14" si="0">B4+C4+D3</f>
        <v>312701.19999999995</v>
      </c>
      <c r="E4" s="29">
        <f>'02_25'!F2</f>
        <v>30054.879999999997</v>
      </c>
      <c r="F4" s="29">
        <f>'02_25'!G2</f>
        <v>-96628.72</v>
      </c>
      <c r="G4" s="30">
        <f t="shared" ref="G4:G14" si="1">E4+F4+G3</f>
        <v>194462.17</v>
      </c>
      <c r="H4" s="31"/>
      <c r="I4" s="32" t="s">
        <v>28</v>
      </c>
      <c r="J4">
        <v>235</v>
      </c>
      <c r="K4" s="36">
        <f>J4*$K$2</f>
        <v>55.315240000000003</v>
      </c>
      <c r="L4" s="37">
        <f>J4-K4</f>
        <v>179.68475999999998</v>
      </c>
      <c r="M4" s="35"/>
      <c r="N4" s="8">
        <f>'02_25'!E130/1000</f>
        <v>16.2</v>
      </c>
    </row>
    <row r="5" spans="1:14">
      <c r="A5" t="s">
        <v>29</v>
      </c>
      <c r="B5" s="29">
        <f>'03_25'!D2</f>
        <v>30000</v>
      </c>
      <c r="C5" s="29">
        <f>'03_25'!E2</f>
        <v>-79968.850000000006</v>
      </c>
      <c r="D5" s="30">
        <f t="shared" si="0"/>
        <v>262732.34999999998</v>
      </c>
      <c r="E5" s="29">
        <f>'03_25'!F2</f>
        <v>32994.19</v>
      </c>
      <c r="F5" s="29">
        <f>'03_25'!G2</f>
        <v>-186074.69999999998</v>
      </c>
      <c r="G5" s="30">
        <f t="shared" si="1"/>
        <v>41381.660000000033</v>
      </c>
      <c r="H5" s="31"/>
      <c r="I5" s="32" t="s">
        <v>30</v>
      </c>
      <c r="K5" s="36"/>
      <c r="L5" s="34"/>
      <c r="M5" s="35">
        <f>J5</f>
        <v>0</v>
      </c>
      <c r="N5" s="8">
        <f>'03_25'!E146/1000</f>
        <v>0</v>
      </c>
    </row>
    <row r="6" spans="1:14">
      <c r="A6" t="s">
        <v>31</v>
      </c>
      <c r="B6" s="29">
        <f>'04_25'!D2</f>
        <v>15000</v>
      </c>
      <c r="C6" s="29">
        <f>'04_25'!E2</f>
        <v>-191614.26</v>
      </c>
      <c r="D6" s="30">
        <f t="shared" si="0"/>
        <v>86118.089999999967</v>
      </c>
      <c r="E6" s="29">
        <f>'04_25'!F2</f>
        <v>15054.88</v>
      </c>
      <c r="F6" s="29">
        <f>'04_25'!G2</f>
        <v>-191809.25000000003</v>
      </c>
      <c r="G6" s="30">
        <f t="shared" si="1"/>
        <v>-135372.71</v>
      </c>
      <c r="H6" s="31"/>
      <c r="I6" s="38" t="s">
        <v>32</v>
      </c>
      <c r="K6" s="36"/>
      <c r="L6" s="34"/>
      <c r="M6" s="39">
        <f>E18/1000</f>
        <v>15</v>
      </c>
      <c r="N6" s="8">
        <f>'04_25'!E117/1000</f>
        <v>32.549999999999997</v>
      </c>
    </row>
    <row r="7" spans="1:14">
      <c r="A7" t="s">
        <v>33</v>
      </c>
      <c r="B7" s="29">
        <f>'05_25'!D2</f>
        <v>15000</v>
      </c>
      <c r="C7" s="29">
        <f>'05_25'!E2</f>
        <v>-59780.37</v>
      </c>
      <c r="D7" s="30">
        <f t="shared" si="0"/>
        <v>41337.719999999965</v>
      </c>
      <c r="E7" s="29">
        <f>'05_25'!F2</f>
        <v>19054.879999999997</v>
      </c>
      <c r="F7" s="29">
        <f>'05_25'!G2</f>
        <v>-60755.16</v>
      </c>
      <c r="G7" s="30">
        <f t="shared" si="1"/>
        <v>-177072.99</v>
      </c>
      <c r="H7" s="31"/>
      <c r="I7" s="38" t="s">
        <v>34</v>
      </c>
      <c r="K7" s="36"/>
      <c r="L7" s="37"/>
      <c r="M7" s="39" t="e">
        <f>E19/1000</f>
        <v>#REF!</v>
      </c>
      <c r="N7" s="8">
        <f>'05_25'!E115/1000</f>
        <v>1.159</v>
      </c>
    </row>
    <row r="8" spans="1:14">
      <c r="A8" t="s">
        <v>35</v>
      </c>
      <c r="B8" s="29">
        <f>'06_25'!D2</f>
        <v>15000</v>
      </c>
      <c r="C8" s="29">
        <f>'06_25'!E2</f>
        <v>-76228.429999999993</v>
      </c>
      <c r="D8" s="30">
        <f t="shared" si="0"/>
        <v>-19890.710000000028</v>
      </c>
      <c r="E8" s="29">
        <f>'06_25'!F2</f>
        <v>15054.88</v>
      </c>
      <c r="F8" s="29">
        <f>'06_25'!G2</f>
        <v>-109005.52</v>
      </c>
      <c r="G8" s="30">
        <f t="shared" si="1"/>
        <v>-271023.63</v>
      </c>
      <c r="H8" s="31"/>
      <c r="I8" s="32" t="s">
        <v>36</v>
      </c>
      <c r="J8">
        <v>225</v>
      </c>
      <c r="K8" s="36"/>
      <c r="L8" s="37"/>
      <c r="M8" s="35">
        <f>J8/4</f>
        <v>56.25</v>
      </c>
      <c r="N8" s="8">
        <f>'06_25'!E141/1000</f>
        <v>0.87226000000000004</v>
      </c>
    </row>
    <row r="9" spans="1:14">
      <c r="A9" t="s">
        <v>37</v>
      </c>
      <c r="B9" s="29">
        <f>'07_25'!D2</f>
        <v>15000</v>
      </c>
      <c r="C9" s="29">
        <f>'07_25'!E2</f>
        <v>-93124.89</v>
      </c>
      <c r="D9" s="30">
        <f t="shared" si="0"/>
        <v>-98015.600000000035</v>
      </c>
      <c r="E9" s="29">
        <f>'07_25'!F2</f>
        <v>17494.509999999998</v>
      </c>
      <c r="F9" s="29">
        <f>'07_25'!G2</f>
        <v>-127505.39000000001</v>
      </c>
      <c r="G9" s="30">
        <f t="shared" si="1"/>
        <v>-381034.51</v>
      </c>
      <c r="H9" s="31"/>
      <c r="I9" s="32" t="s">
        <v>38</v>
      </c>
      <c r="J9">
        <v>204</v>
      </c>
      <c r="K9" s="36">
        <f>J9*$K$2</f>
        <v>48.018336000000005</v>
      </c>
      <c r="L9" s="37">
        <f>J9-K9</f>
        <v>155.98166399999999</v>
      </c>
      <c r="M9" s="40"/>
      <c r="N9" s="8">
        <f>'07_25'!E180/1000</f>
        <v>0.87226000000000004</v>
      </c>
    </row>
    <row r="10" spans="1:14">
      <c r="A10" t="s">
        <v>39</v>
      </c>
      <c r="B10" s="29">
        <f>'08_25'!D2</f>
        <v>17494.509999999998</v>
      </c>
      <c r="C10" s="29">
        <f>'08_25'!E2</f>
        <v>-95750</v>
      </c>
      <c r="D10" s="30">
        <f t="shared" si="0"/>
        <v>-176271.09000000003</v>
      </c>
      <c r="E10" s="29">
        <f>'08_25'!F2</f>
        <v>17564.53</v>
      </c>
      <c r="F10" s="29">
        <f>'08_25'!G2</f>
        <v>-99089.919999999998</v>
      </c>
      <c r="G10" s="30">
        <f t="shared" si="1"/>
        <v>-462559.9</v>
      </c>
      <c r="H10" s="31"/>
      <c r="I10" s="32" t="s">
        <v>40</v>
      </c>
      <c r="J10">
        <v>0</v>
      </c>
      <c r="K10" s="36"/>
      <c r="L10" s="37"/>
      <c r="M10" s="35">
        <f>J10*0.13</f>
        <v>0</v>
      </c>
      <c r="N10" s="8">
        <f>'08_25'!E187/1000</f>
        <v>0</v>
      </c>
    </row>
    <row r="11" spans="1:14">
      <c r="A11" t="s">
        <v>41</v>
      </c>
      <c r="B11" s="29">
        <f>'09_25'!D2</f>
        <v>17494.509999999998</v>
      </c>
      <c r="C11" s="29">
        <f>'09_25'!E2</f>
        <v>-79785.700000000012</v>
      </c>
      <c r="D11" s="30">
        <f t="shared" si="0"/>
        <v>-238562.28000000003</v>
      </c>
      <c r="E11" s="29">
        <f>'09_25'!F2</f>
        <v>57500</v>
      </c>
      <c r="F11" s="29">
        <f>'09_25'!G2</f>
        <v>-93673.890000000014</v>
      </c>
      <c r="G11" s="30">
        <f t="shared" si="1"/>
        <v>-498733.79000000004</v>
      </c>
      <c r="H11" s="31"/>
      <c r="I11" s="32" t="s">
        <v>42</v>
      </c>
      <c r="J11">
        <v>0</v>
      </c>
      <c r="K11" s="36">
        <f>J11*$K$2</f>
        <v>0</v>
      </c>
      <c r="L11" s="37">
        <f>J11-K11</f>
        <v>0</v>
      </c>
      <c r="M11" s="35"/>
      <c r="N11" s="8">
        <f>'09_25'!E165/1000</f>
        <v>0</v>
      </c>
    </row>
    <row r="12" spans="1:14">
      <c r="A12" t="s">
        <v>43</v>
      </c>
      <c r="B12" s="29">
        <f>'10_25'!D2</f>
        <v>17494.509999999998</v>
      </c>
      <c r="C12" s="29">
        <f>'10_25'!E2</f>
        <v>-54105.36</v>
      </c>
      <c r="D12" s="30">
        <f t="shared" si="0"/>
        <v>-275173.13</v>
      </c>
      <c r="E12" s="29">
        <f>'10_25'!F2</f>
        <v>17564.53</v>
      </c>
      <c r="F12" s="29">
        <f>'10_25'!G2</f>
        <v>-54899.360000000001</v>
      </c>
      <c r="G12" s="30">
        <f t="shared" si="1"/>
        <v>-536068.62</v>
      </c>
      <c r="H12" s="31"/>
      <c r="I12" s="32" t="s">
        <v>44</v>
      </c>
      <c r="J12">
        <v>0</v>
      </c>
      <c r="K12" s="36">
        <f>J12*$K$2</f>
        <v>0</v>
      </c>
      <c r="L12" s="37">
        <f>J12-K12</f>
        <v>0</v>
      </c>
      <c r="M12" s="35"/>
      <c r="N12" s="8">
        <f>'10_25'!E137/1000</f>
        <v>0</v>
      </c>
    </row>
    <row r="13" spans="1:14">
      <c r="A13" t="s">
        <v>45</v>
      </c>
      <c r="B13" s="29">
        <f>'11_25'!D2</f>
        <v>17494.509999999998</v>
      </c>
      <c r="C13" s="29">
        <f ca="1">'11_25'!E2</f>
        <v>-73331.92</v>
      </c>
      <c r="D13" s="30">
        <f t="shared" ca="1" si="0"/>
        <v>-331010.54000000004</v>
      </c>
      <c r="E13" s="29">
        <f>'11_25'!F2</f>
        <v>17564.53</v>
      </c>
      <c r="F13" s="29">
        <f ca="1">'11_25'!G2</f>
        <v>-20914.86</v>
      </c>
      <c r="G13" s="30">
        <f t="shared" ca="1" si="1"/>
        <v>-555713.48</v>
      </c>
      <c r="H13" s="31"/>
      <c r="I13" s="32" t="s">
        <v>46</v>
      </c>
      <c r="J13">
        <v>219</v>
      </c>
      <c r="K13" s="36">
        <f>J13*$K$2</f>
        <v>51.549095999999999</v>
      </c>
      <c r="L13" s="37">
        <f>J13-K13</f>
        <v>167.45090400000001</v>
      </c>
      <c r="M13" s="40"/>
      <c r="N13" s="8">
        <f>'11_25'!E120/1000</f>
        <v>0</v>
      </c>
    </row>
    <row r="14" spans="1:14">
      <c r="A14" t="s">
        <v>47</v>
      </c>
      <c r="B14" s="29">
        <f>'12_25'!D2</f>
        <v>17494.509999999998</v>
      </c>
      <c r="C14" s="29">
        <f>'12_25'!E2</f>
        <v>-76440.48000000001</v>
      </c>
      <c r="D14" s="30">
        <f t="shared" ca="1" si="0"/>
        <v>-381122.17000000004</v>
      </c>
      <c r="E14" s="29">
        <f>'12_25'!F2</f>
        <v>373564.53</v>
      </c>
      <c r="F14" s="29">
        <f>'12_25'!G2</f>
        <v>-155436.73000000001</v>
      </c>
      <c r="G14" s="30">
        <f t="shared" ca="1" si="1"/>
        <v>-570902.55999999994</v>
      </c>
      <c r="H14" s="31"/>
      <c r="I14" s="41" t="s">
        <v>48</v>
      </c>
      <c r="J14" s="42">
        <v>290</v>
      </c>
      <c r="K14" s="36">
        <f>J14*$K$2</f>
        <v>68.261359999999996</v>
      </c>
      <c r="L14" s="37">
        <f>J14-K14</f>
        <v>221.73864</v>
      </c>
      <c r="M14" s="35"/>
      <c r="N14" s="8">
        <f>'12_25'!E213/1000</f>
        <v>0</v>
      </c>
    </row>
    <row r="15" spans="1:14">
      <c r="A15" s="43" t="s">
        <v>49</v>
      </c>
      <c r="B15" s="30">
        <f>SUM(B3:B14)</f>
        <v>621136.55000000005</v>
      </c>
      <c r="C15" s="30">
        <f ca="1">SUM(C3:C14)</f>
        <v>-1002258.7200000001</v>
      </c>
      <c r="D15" s="30">
        <f ca="1">B15+C15</f>
        <v>-381122.17000000004</v>
      </c>
      <c r="E15" s="30">
        <f>SUM(E3:E14)</f>
        <v>933521.22000000009</v>
      </c>
      <c r="F15" s="30">
        <f ca="1">SUM(F3:F14)</f>
        <v>-1113294.7200000004</v>
      </c>
      <c r="G15" s="30">
        <f ca="1">E15+F15</f>
        <v>-570902.56000000041</v>
      </c>
      <c r="H15" s="44"/>
      <c r="I15" s="45"/>
      <c r="J15" s="46">
        <f>SUM(J3:J14)</f>
        <v>1353</v>
      </c>
      <c r="K15" s="47">
        <f>SUM(K4:K14)</f>
        <v>223.14403200000001</v>
      </c>
      <c r="L15" s="48">
        <f>SUM(L4:L14)</f>
        <v>724.85596800000008</v>
      </c>
      <c r="M15" s="49" t="e">
        <f>M10+M8+M6+M5+M3+M7</f>
        <v>#REF!</v>
      </c>
    </row>
    <row r="16" spans="1:14">
      <c r="A16" s="50">
        <v>12</v>
      </c>
      <c r="B16" s="51">
        <f>B15/A16</f>
        <v>51761.379166666673</v>
      </c>
      <c r="C16" s="52">
        <f ca="1">C15/A16</f>
        <v>-83521.560000000012</v>
      </c>
      <c r="D16" s="52"/>
      <c r="E16" s="52">
        <f>E15/A16</f>
        <v>77793.435000000012</v>
      </c>
      <c r="F16" s="52">
        <f ca="1">F15/A16</f>
        <v>-92774.560000000041</v>
      </c>
      <c r="G16" s="52">
        <f ca="1">G15/A16</f>
        <v>-47575.21333333337</v>
      </c>
      <c r="H16" s="53"/>
      <c r="I16" s="54"/>
      <c r="J16" s="55">
        <f>J15/12</f>
        <v>112.75</v>
      </c>
      <c r="K16" s="56">
        <f>K15/12</f>
        <v>18.595336</v>
      </c>
      <c r="L16" s="57">
        <f>L15/12</f>
        <v>60.404664000000004</v>
      </c>
      <c r="M16" s="58" t="e">
        <f>M15/12</f>
        <v>#REF!</v>
      </c>
      <c r="N16" s="59" t="e">
        <f>AVERAGE(N2:N15)</f>
        <v>#REF!</v>
      </c>
    </row>
    <row r="17" spans="2:13">
      <c r="C17" s="2"/>
      <c r="D17" s="2"/>
      <c r="G17" s="60"/>
      <c r="H17" s="60"/>
      <c r="I17" s="32"/>
      <c r="K17" s="2" t="s">
        <v>49</v>
      </c>
      <c r="L17" s="675" t="e">
        <f>L15+M15</f>
        <v>#REF!</v>
      </c>
      <c r="M17" s="675"/>
    </row>
    <row r="18" spans="2:13">
      <c r="D18" s="61" t="s">
        <v>50</v>
      </c>
      <c r="E18" s="2">
        <f>'01_25'!F32+'02_25'!F14+'02_25'!F26+'03_25'!F18+'04_25'!F41+'05_25'!F19+'06_25'!F22+'06_25'!F34+'04_25'!F14</f>
        <v>15000</v>
      </c>
      <c r="J18" s="32"/>
      <c r="K18" s="2" t="s">
        <v>51</v>
      </c>
      <c r="L18" s="62"/>
      <c r="M18" s="63" t="e">
        <f>L17/12</f>
        <v>#REF!</v>
      </c>
    </row>
    <row r="19" spans="2:13">
      <c r="C19" s="64"/>
      <c r="D19" s="65" t="s">
        <v>52</v>
      </c>
      <c r="E19" s="66" t="e">
        <f>'07_25'!F25+'08_25'!F20+'09_25'!F19+'10_25'!F25+'11_25'!#REF!+'12_25'!F22</f>
        <v>#REF!</v>
      </c>
    </row>
    <row r="20" spans="2:13">
      <c r="D20" s="15" t="s">
        <v>53</v>
      </c>
      <c r="E20" s="14" t="e">
        <f>SUM(E18:E19)</f>
        <v>#REF!</v>
      </c>
    </row>
    <row r="21" spans="2:13">
      <c r="B21" s="67">
        <v>44896</v>
      </c>
    </row>
    <row r="22" spans="2:13" ht="15">
      <c r="B22" s="2">
        <v>6986.25</v>
      </c>
      <c r="C22" s="68">
        <v>0.37578499999999998</v>
      </c>
      <c r="D22" s="69">
        <v>0.49259190000000003</v>
      </c>
    </row>
    <row r="23" spans="2:13" ht="15">
      <c r="B23" s="2">
        <f>B22*C22</f>
        <v>2625.3279562499997</v>
      </c>
      <c r="C23" s="70" t="s">
        <v>54</v>
      </c>
      <c r="D23" s="2">
        <f>B22*D22</f>
        <v>3441.3701613750004</v>
      </c>
    </row>
    <row r="24" spans="2:13" ht="14.25">
      <c r="B24" s="71">
        <f>SUM(B22:B23)</f>
        <v>9611.5779562499993</v>
      </c>
      <c r="C24" s="72" t="s">
        <v>55</v>
      </c>
      <c r="D24" s="71">
        <f>D23+B22</f>
        <v>10427.620161375</v>
      </c>
    </row>
    <row r="25" spans="2:13">
      <c r="C25" s="73" t="e">
        <f>(D27/D25)-1</f>
        <v>#DIV/0!</v>
      </c>
    </row>
    <row r="26" spans="2:13">
      <c r="C26" t="s">
        <v>56</v>
      </c>
    </row>
    <row r="27" spans="2:13">
      <c r="C27" t="s">
        <v>57</v>
      </c>
      <c r="D27">
        <v>13006.38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65" zoomScale="160" zoomScaleNormal="160" workbookViewId="0">
      <selection activeCell="F87" sqref="F87"/>
    </sheetView>
  </sheetViews>
  <sheetFormatPr defaultColWidth="8.5703125" defaultRowHeight="12.75"/>
  <cols>
    <col min="1" max="1" width="8.28515625" style="1" bestFit="1" customWidth="1"/>
    <col min="2" max="2" width="31.28515625" customWidth="1"/>
    <col min="3" max="3" width="11" customWidth="1"/>
    <col min="4" max="6" width="12.28515625" style="2" customWidth="1"/>
    <col min="7" max="7" width="1.42578125" customWidth="1"/>
    <col min="8" max="8" width="7.42578125" customWidth="1"/>
    <col min="10" max="10" width="10.5703125" customWidth="1"/>
  </cols>
  <sheetData>
    <row r="1" spans="1:6" ht="13.5" thickBot="1">
      <c r="C1" s="3"/>
      <c r="D1" s="4"/>
      <c r="E1" s="4"/>
    </row>
    <row r="2" spans="1:6" ht="27" customHeight="1">
      <c r="A2" s="492"/>
      <c r="B2" s="626">
        <v>2025</v>
      </c>
      <c r="C2" s="627" t="s">
        <v>0</v>
      </c>
      <c r="D2" s="628" t="s">
        <v>1</v>
      </c>
      <c r="E2" s="629" t="s">
        <v>2</v>
      </c>
      <c r="F2" s="630" t="s">
        <v>3</v>
      </c>
    </row>
    <row r="3" spans="1:6">
      <c r="A3" s="604"/>
      <c r="B3" s="497"/>
      <c r="C3" s="497"/>
      <c r="D3" s="498"/>
      <c r="E3" s="498"/>
      <c r="F3" s="631" t="s">
        <v>1724</v>
      </c>
    </row>
    <row r="4" spans="1:6">
      <c r="A4" s="604">
        <v>45657</v>
      </c>
      <c r="B4" s="594" t="s">
        <v>1723</v>
      </c>
      <c r="C4" s="497"/>
      <c r="D4" s="498"/>
      <c r="E4" s="498"/>
      <c r="F4" s="632">
        <v>257330</v>
      </c>
    </row>
    <row r="5" spans="1:6" ht="13.5" thickBot="1">
      <c r="A5" s="604"/>
      <c r="B5" s="497"/>
      <c r="C5" s="497"/>
      <c r="D5" s="498"/>
      <c r="E5" s="498"/>
      <c r="F5" s="130">
        <f>F4</f>
        <v>257330</v>
      </c>
    </row>
    <row r="6" spans="1:6">
      <c r="A6" s="481">
        <v>45667</v>
      </c>
      <c r="B6" s="482" t="s">
        <v>5</v>
      </c>
      <c r="C6" s="483"/>
      <c r="D6" s="578">
        <v>20000</v>
      </c>
      <c r="E6" s="578"/>
      <c r="F6" s="130">
        <f>F5+D6-E6</f>
        <v>277330</v>
      </c>
    </row>
    <row r="7" spans="1:6" s="11" customFormat="1">
      <c r="A7" s="485">
        <v>45672</v>
      </c>
      <c r="B7" s="486" t="s">
        <v>1576</v>
      </c>
      <c r="C7" s="487"/>
      <c r="D7" s="488"/>
      <c r="E7" s="489">
        <v>25000</v>
      </c>
      <c r="F7" s="130">
        <f t="shared" ref="F7:F18" si="0">F6+D7-E7</f>
        <v>252330</v>
      </c>
    </row>
    <row r="8" spans="1:6" ht="13.5" thickBot="1">
      <c r="A8" s="490">
        <v>45672</v>
      </c>
      <c r="B8" s="491" t="s">
        <v>1725</v>
      </c>
      <c r="C8" s="491"/>
      <c r="D8" s="575"/>
      <c r="E8" s="579">
        <v>31000</v>
      </c>
      <c r="F8" s="130">
        <f t="shared" si="0"/>
        <v>221330</v>
      </c>
    </row>
    <row r="9" spans="1:6" s="11" customFormat="1" ht="13.5" thickBot="1">
      <c r="A9" s="490">
        <v>45709</v>
      </c>
      <c r="B9" s="491" t="s">
        <v>807</v>
      </c>
      <c r="C9" s="491"/>
      <c r="D9" s="575"/>
      <c r="E9" s="579">
        <v>26000</v>
      </c>
      <c r="F9" s="130">
        <f t="shared" si="0"/>
        <v>195330</v>
      </c>
    </row>
    <row r="10" spans="1:6" s="11" customFormat="1" ht="13.5" thickBot="1">
      <c r="A10" s="490">
        <v>45741</v>
      </c>
      <c r="B10" s="491" t="s">
        <v>807</v>
      </c>
      <c r="C10" s="491"/>
      <c r="D10" s="575"/>
      <c r="E10" s="579">
        <v>36000</v>
      </c>
      <c r="F10" s="130">
        <f t="shared" si="0"/>
        <v>159330</v>
      </c>
    </row>
    <row r="11" spans="1:6" ht="13.5" thickBot="1">
      <c r="A11" s="493">
        <v>45762</v>
      </c>
      <c r="B11" s="494" t="s">
        <v>1577</v>
      </c>
      <c r="C11" s="494"/>
      <c r="D11" s="488"/>
      <c r="E11" s="579">
        <v>36500</v>
      </c>
      <c r="F11" s="130">
        <f t="shared" si="0"/>
        <v>122830</v>
      </c>
    </row>
    <row r="12" spans="1:6">
      <c r="A12" s="485">
        <v>45792</v>
      </c>
      <c r="B12" s="487" t="s">
        <v>1578</v>
      </c>
      <c r="C12" s="487"/>
      <c r="D12" s="488"/>
      <c r="E12" s="488">
        <v>35000</v>
      </c>
      <c r="F12" s="130">
        <f t="shared" si="0"/>
        <v>87830</v>
      </c>
    </row>
    <row r="13" spans="1:6" ht="13.5" thickBot="1">
      <c r="A13" s="604">
        <v>45823</v>
      </c>
      <c r="B13" s="594" t="s">
        <v>1579</v>
      </c>
      <c r="C13" s="594"/>
      <c r="D13" s="498"/>
      <c r="E13" s="498">
        <v>25000</v>
      </c>
      <c r="F13" s="130">
        <f t="shared" si="0"/>
        <v>62830</v>
      </c>
    </row>
    <row r="14" spans="1:6" s="11" customFormat="1">
      <c r="A14" s="547">
        <v>45728</v>
      </c>
      <c r="B14" s="495" t="s">
        <v>1684</v>
      </c>
      <c r="C14" s="576"/>
      <c r="D14" s="428">
        <v>1400</v>
      </c>
      <c r="E14" s="498"/>
      <c r="F14" s="130">
        <f t="shared" si="0"/>
        <v>64230</v>
      </c>
    </row>
    <row r="15" spans="1:6" s="11" customFormat="1">
      <c r="A15" s="548">
        <v>45728</v>
      </c>
      <c r="B15" s="496" t="s">
        <v>1685</v>
      </c>
      <c r="C15" s="577"/>
      <c r="D15" s="428">
        <v>4150</v>
      </c>
      <c r="E15" s="498"/>
      <c r="F15" s="130">
        <f t="shared" si="0"/>
        <v>68380</v>
      </c>
    </row>
    <row r="16" spans="1:6" s="11" customFormat="1">
      <c r="A16" s="549">
        <v>45728</v>
      </c>
      <c r="B16" s="551" t="s">
        <v>1701</v>
      </c>
      <c r="C16" s="454"/>
      <c r="D16" s="525">
        <v>1500</v>
      </c>
      <c r="E16" s="498"/>
      <c r="F16" s="130">
        <f t="shared" si="0"/>
        <v>69880</v>
      </c>
    </row>
    <row r="17" spans="1:6" s="11" customFormat="1">
      <c r="A17" s="548">
        <v>45739</v>
      </c>
      <c r="B17" s="496" t="s">
        <v>1688</v>
      </c>
      <c r="C17" s="577"/>
      <c r="D17" s="428">
        <v>1200</v>
      </c>
      <c r="E17" s="498"/>
      <c r="F17" s="130">
        <f t="shared" si="0"/>
        <v>71080</v>
      </c>
    </row>
    <row r="18" spans="1:6" s="11" customFormat="1">
      <c r="A18" s="548">
        <v>45733</v>
      </c>
      <c r="B18" s="496" t="s">
        <v>1687</v>
      </c>
      <c r="C18" s="577"/>
      <c r="D18" s="428">
        <v>1400</v>
      </c>
      <c r="E18" s="498"/>
      <c r="F18" s="130">
        <f t="shared" si="0"/>
        <v>72480</v>
      </c>
    </row>
    <row r="19" spans="1:6" s="11" customFormat="1">
      <c r="A19" s="548"/>
      <c r="B19" s="551" t="s">
        <v>1705</v>
      </c>
      <c r="C19" s="497"/>
      <c r="D19" s="428">
        <v>3750</v>
      </c>
      <c r="E19" s="498"/>
      <c r="F19" s="633">
        <f t="shared" ref="F19:F39" si="1">F18+D19-E19</f>
        <v>76230</v>
      </c>
    </row>
    <row r="20" spans="1:6" s="11" customFormat="1">
      <c r="A20" s="548">
        <v>45772</v>
      </c>
      <c r="B20" s="552" t="s">
        <v>1755</v>
      </c>
      <c r="C20" s="455"/>
      <c r="D20" s="580">
        <v>700</v>
      </c>
      <c r="E20" s="497"/>
      <c r="F20" s="633">
        <f t="shared" si="1"/>
        <v>76930</v>
      </c>
    </row>
    <row r="21" spans="1:6" s="11" customFormat="1">
      <c r="A21" s="548">
        <v>45772</v>
      </c>
      <c r="B21" s="503" t="s">
        <v>1769</v>
      </c>
      <c r="C21" s="497"/>
      <c r="D21" s="428">
        <v>700</v>
      </c>
      <c r="E21" s="497"/>
      <c r="F21" s="633">
        <f t="shared" si="1"/>
        <v>77630</v>
      </c>
    </row>
    <row r="22" spans="1:6" s="11" customFormat="1">
      <c r="A22" s="548">
        <v>45772</v>
      </c>
      <c r="B22" s="503" t="s">
        <v>1770</v>
      </c>
      <c r="C22" s="497"/>
      <c r="D22" s="428">
        <v>1200</v>
      </c>
      <c r="E22" s="497"/>
      <c r="F22" s="633">
        <f t="shared" si="1"/>
        <v>78830</v>
      </c>
    </row>
    <row r="23" spans="1:6" s="11" customFormat="1">
      <c r="A23" s="548">
        <v>45772</v>
      </c>
      <c r="B23" s="552" t="s">
        <v>1755</v>
      </c>
      <c r="C23" s="455"/>
      <c r="D23" s="580">
        <v>700</v>
      </c>
      <c r="E23" s="497"/>
      <c r="F23" s="633">
        <f t="shared" si="1"/>
        <v>79530</v>
      </c>
    </row>
    <row r="24" spans="1:6" s="11" customFormat="1">
      <c r="A24" s="548">
        <v>45772</v>
      </c>
      <c r="B24" s="503" t="s">
        <v>1769</v>
      </c>
      <c r="C24" s="497"/>
      <c r="D24" s="428">
        <v>700</v>
      </c>
      <c r="E24" s="497"/>
      <c r="F24" s="633">
        <f t="shared" si="1"/>
        <v>80230</v>
      </c>
    </row>
    <row r="25" spans="1:6" s="11" customFormat="1">
      <c r="A25" s="548">
        <v>45772</v>
      </c>
      <c r="B25" s="503" t="s">
        <v>1770</v>
      </c>
      <c r="C25" s="497"/>
      <c r="D25" s="428">
        <v>1200</v>
      </c>
      <c r="E25" s="497"/>
      <c r="F25" s="633">
        <f t="shared" si="1"/>
        <v>81430</v>
      </c>
    </row>
    <row r="26" spans="1:6" s="11" customFormat="1">
      <c r="A26" s="548">
        <v>45829</v>
      </c>
      <c r="B26" s="503" t="s">
        <v>1867</v>
      </c>
      <c r="C26" s="497"/>
      <c r="D26" s="428">
        <v>6500</v>
      </c>
      <c r="E26" s="497"/>
      <c r="F26" s="633">
        <f t="shared" si="1"/>
        <v>87930</v>
      </c>
    </row>
    <row r="27" spans="1:6" s="11" customFormat="1">
      <c r="A27" s="548">
        <v>45829</v>
      </c>
      <c r="B27" s="503" t="s">
        <v>1868</v>
      </c>
      <c r="C27" s="497"/>
      <c r="D27" s="428"/>
      <c r="E27" s="497"/>
      <c r="F27" s="633">
        <f t="shared" si="1"/>
        <v>87930</v>
      </c>
    </row>
    <row r="28" spans="1:6" s="11" customFormat="1">
      <c r="A28" s="548">
        <v>45829</v>
      </c>
      <c r="B28" s="503" t="s">
        <v>1869</v>
      </c>
      <c r="C28" s="497"/>
      <c r="D28" s="428"/>
      <c r="E28" s="497"/>
      <c r="F28" s="633">
        <f t="shared" si="1"/>
        <v>87930</v>
      </c>
    </row>
    <row r="29" spans="1:6" s="11" customFormat="1">
      <c r="A29" s="548">
        <v>45829</v>
      </c>
      <c r="B29" s="503" t="s">
        <v>1870</v>
      </c>
      <c r="C29" s="497"/>
      <c r="D29" s="428"/>
      <c r="E29" s="497"/>
      <c r="F29" s="633">
        <f t="shared" si="1"/>
        <v>87930</v>
      </c>
    </row>
    <row r="30" spans="1:6">
      <c r="A30" s="604">
        <v>45853</v>
      </c>
      <c r="B30" s="594" t="s">
        <v>1580</v>
      </c>
      <c r="C30" s="594"/>
      <c r="D30" s="498"/>
      <c r="E30" s="498">
        <v>36000</v>
      </c>
      <c r="F30" s="633">
        <f t="shared" si="1"/>
        <v>51930</v>
      </c>
    </row>
    <row r="31" spans="1:6" s="11" customFormat="1">
      <c r="A31" s="634">
        <v>45884</v>
      </c>
      <c r="B31" s="572"/>
      <c r="C31" s="573"/>
      <c r="D31" s="574"/>
      <c r="E31" s="574">
        <v>26000</v>
      </c>
      <c r="F31" s="633">
        <f t="shared" si="1"/>
        <v>25930</v>
      </c>
    </row>
    <row r="32" spans="1:6" s="11" customFormat="1">
      <c r="A32" s="634">
        <v>45890</v>
      </c>
      <c r="B32" s="572"/>
      <c r="C32" s="573"/>
      <c r="D32" s="574"/>
      <c r="E32" s="574">
        <v>11000</v>
      </c>
      <c r="F32" s="633">
        <f t="shared" si="1"/>
        <v>14930</v>
      </c>
    </row>
    <row r="33" spans="1:6" s="11" customFormat="1" ht="13.5" thickBot="1">
      <c r="A33" s="634"/>
      <c r="B33" s="13" t="s">
        <v>6</v>
      </c>
      <c r="C33" s="573"/>
      <c r="D33" s="574"/>
      <c r="E33" s="574"/>
      <c r="F33" s="633">
        <f t="shared" si="1"/>
        <v>14930</v>
      </c>
    </row>
    <row r="34" spans="1:6" s="11" customFormat="1">
      <c r="A34" s="634"/>
      <c r="B34" s="483"/>
      <c r="C34" s="573"/>
      <c r="D34" s="574"/>
      <c r="E34" s="574"/>
      <c r="F34" s="633">
        <f t="shared" si="1"/>
        <v>14930</v>
      </c>
    </row>
    <row r="35" spans="1:6">
      <c r="A35" s="548">
        <v>45733</v>
      </c>
      <c r="B35" s="585" t="s">
        <v>1686</v>
      </c>
      <c r="C35" s="577"/>
      <c r="D35" s="428">
        <v>2500</v>
      </c>
      <c r="E35" s="498"/>
      <c r="F35" s="633">
        <f t="shared" si="1"/>
        <v>17430</v>
      </c>
    </row>
    <row r="36" spans="1:6">
      <c r="A36" s="549">
        <v>45740</v>
      </c>
      <c r="B36" s="454" t="s">
        <v>1699</v>
      </c>
      <c r="C36" s="454"/>
      <c r="D36" s="525">
        <v>8500</v>
      </c>
      <c r="E36" s="498"/>
      <c r="F36" s="633">
        <f t="shared" si="1"/>
        <v>25930</v>
      </c>
    </row>
    <row r="37" spans="1:6">
      <c r="A37" s="549">
        <v>45740</v>
      </c>
      <c r="B37" s="454" t="s">
        <v>1700</v>
      </c>
      <c r="C37" s="454"/>
      <c r="D37" s="525">
        <v>90000</v>
      </c>
      <c r="E37" s="498"/>
      <c r="F37" s="633">
        <f t="shared" si="1"/>
        <v>115930</v>
      </c>
    </row>
    <row r="38" spans="1:6">
      <c r="A38" s="548">
        <v>45743</v>
      </c>
      <c r="B38" s="459" t="s">
        <v>1713</v>
      </c>
      <c r="C38" s="455"/>
      <c r="D38" s="581">
        <v>1600</v>
      </c>
      <c r="E38" s="498"/>
      <c r="F38" s="633">
        <f t="shared" si="1"/>
        <v>117530</v>
      </c>
    </row>
    <row r="39" spans="1:6">
      <c r="A39" s="548">
        <v>45829</v>
      </c>
      <c r="B39" s="455" t="s">
        <v>1866</v>
      </c>
      <c r="C39" s="455"/>
      <c r="D39" s="581">
        <v>30000</v>
      </c>
      <c r="E39" s="498"/>
      <c r="F39" s="633">
        <f t="shared" si="1"/>
        <v>147530</v>
      </c>
    </row>
    <row r="40" spans="1:6" ht="13.5" thickBot="1">
      <c r="A40" s="550">
        <v>45761</v>
      </c>
      <c r="B40" s="635" t="s">
        <v>1742</v>
      </c>
      <c r="C40" s="635"/>
      <c r="D40" s="636">
        <v>4500</v>
      </c>
      <c r="E40" s="596"/>
      <c r="F40" s="637">
        <f t="shared" ref="F40" si="2">F39+D40-E40</f>
        <v>152030</v>
      </c>
    </row>
    <row r="41" spans="1:6" s="11" customFormat="1">
      <c r="A41" s="94"/>
      <c r="B41" s="477"/>
      <c r="C41" s="478"/>
      <c r="D41" s="582"/>
      <c r="E41" s="498"/>
      <c r="F41" s="498"/>
    </row>
    <row r="42" spans="1:6" s="11" customFormat="1">
      <c r="A42" s="418">
        <v>45902</v>
      </c>
      <c r="B42" s="639" t="s">
        <v>1965</v>
      </c>
      <c r="C42" s="478"/>
      <c r="D42" s="582" t="s">
        <v>2137</v>
      </c>
      <c r="E42" s="498">
        <v>3500</v>
      </c>
      <c r="F42" s="698">
        <f>F40/E42</f>
        <v>43.437142857142859</v>
      </c>
    </row>
    <row r="43" spans="1:6" s="11" customFormat="1">
      <c r="A43" s="418"/>
      <c r="B43" s="639" t="s">
        <v>1967</v>
      </c>
      <c r="C43" s="478"/>
      <c r="D43" s="582"/>
      <c r="E43" s="498"/>
      <c r="F43" s="498"/>
    </row>
    <row r="44" spans="1:6" s="11" customFormat="1">
      <c r="A44" s="418"/>
      <c r="B44" s="639" t="s">
        <v>1966</v>
      </c>
      <c r="C44" s="478"/>
      <c r="D44" s="582"/>
      <c r="E44" s="498"/>
      <c r="F44" s="498"/>
    </row>
    <row r="45" spans="1:6" s="11" customFormat="1">
      <c r="A45" s="94">
        <v>46022</v>
      </c>
      <c r="B45" s="477"/>
      <c r="C45" s="478"/>
      <c r="D45" s="582" t="s">
        <v>2137</v>
      </c>
      <c r="E45" s="498">
        <v>6000</v>
      </c>
      <c r="F45" s="498">
        <f>F42*E45</f>
        <v>260622.85714285716</v>
      </c>
    </row>
    <row r="46" spans="1:6" s="11" customFormat="1">
      <c r="A46" s="94"/>
      <c r="B46" s="477"/>
      <c r="C46" s="478"/>
      <c r="D46" s="582"/>
      <c r="E46" s="498"/>
      <c r="F46" s="498"/>
    </row>
    <row r="47" spans="1:6" s="11" customFormat="1">
      <c r="A47" s="94"/>
      <c r="B47" s="477" t="s">
        <v>537</v>
      </c>
      <c r="C47" s="478"/>
      <c r="D47" s="582"/>
      <c r="E47" s="498"/>
      <c r="F47" s="498"/>
    </row>
    <row r="48" spans="1:6" s="11" customFormat="1">
      <c r="A48" s="504">
        <v>45534</v>
      </c>
      <c r="B48" s="505" t="s">
        <v>1972</v>
      </c>
      <c r="C48" s="506">
        <f>36500/2626</f>
        <v>13.8994668697639</v>
      </c>
      <c r="D48" s="507" t="s">
        <v>225</v>
      </c>
      <c r="E48" s="507"/>
      <c r="F48" s="507"/>
    </row>
    <row r="49" spans="1:6">
      <c r="A49" s="504">
        <v>45565</v>
      </c>
      <c r="B49" s="505" t="s">
        <v>1973</v>
      </c>
      <c r="C49" s="506">
        <f>36000/2801</f>
        <v>12.85255265976437</v>
      </c>
      <c r="D49" s="507" t="s">
        <v>225</v>
      </c>
      <c r="E49" s="507"/>
      <c r="F49" s="507"/>
    </row>
    <row r="50" spans="1:6">
      <c r="A50" s="504">
        <v>45595</v>
      </c>
      <c r="B50" s="505" t="s">
        <v>1974</v>
      </c>
      <c r="C50" s="506">
        <f>36000/2905</f>
        <v>12.392426850258175</v>
      </c>
      <c r="D50" s="507" t="s">
        <v>225</v>
      </c>
      <c r="E50" s="507"/>
      <c r="F50" s="507"/>
    </row>
    <row r="51" spans="1:6">
      <c r="A51" s="504">
        <v>45626</v>
      </c>
      <c r="B51" s="505" t="s">
        <v>1975</v>
      </c>
      <c r="C51" s="506">
        <f>35800/2898</f>
        <v>12.353347135955831</v>
      </c>
      <c r="D51" s="507" t="s">
        <v>225</v>
      </c>
      <c r="E51" s="507"/>
      <c r="F51" s="507"/>
    </row>
    <row r="52" spans="1:6">
      <c r="A52" s="504">
        <v>45641</v>
      </c>
      <c r="B52" s="505" t="s">
        <v>1976</v>
      </c>
      <c r="C52" s="506">
        <f>38000/2970</f>
        <v>12.794612794612794</v>
      </c>
      <c r="D52" s="507" t="s">
        <v>225</v>
      </c>
      <c r="E52" s="507"/>
      <c r="F52" s="507"/>
    </row>
    <row r="53" spans="1:6">
      <c r="A53" s="504"/>
      <c r="B53" s="505" t="s">
        <v>1977</v>
      </c>
      <c r="C53" s="506">
        <f>35800/2898</f>
        <v>12.353347135955831</v>
      </c>
      <c r="D53" s="507" t="s">
        <v>225</v>
      </c>
      <c r="E53" s="507"/>
      <c r="F53" s="507"/>
    </row>
    <row r="54" spans="1:6">
      <c r="A54" s="504">
        <v>45672</v>
      </c>
      <c r="B54" s="505" t="s">
        <v>1978</v>
      </c>
      <c r="C54" s="506">
        <f>36000/3045</f>
        <v>11.822660098522167</v>
      </c>
      <c r="D54" s="507" t="s">
        <v>225</v>
      </c>
    </row>
    <row r="55" spans="1:6">
      <c r="A55" s="504">
        <v>45709</v>
      </c>
      <c r="B55" s="505" t="s">
        <v>1979</v>
      </c>
      <c r="C55" s="506">
        <f>26000/3413</f>
        <v>7.6179314386170525</v>
      </c>
      <c r="D55" s="507" t="s">
        <v>225</v>
      </c>
    </row>
    <row r="56" spans="1:6" ht="13.5" thickBot="1">
      <c r="A56" s="504">
        <v>45741</v>
      </c>
      <c r="B56" s="505" t="s">
        <v>1980</v>
      </c>
      <c r="C56" s="506">
        <f>36000/3650</f>
        <v>9.8630136986301373</v>
      </c>
      <c r="D56" s="507" t="s">
        <v>225</v>
      </c>
    </row>
    <row r="57" spans="1:6">
      <c r="A57" s="529">
        <v>45762</v>
      </c>
      <c r="B57" s="530" t="s">
        <v>1981</v>
      </c>
      <c r="C57" s="531">
        <f>36000/3650</f>
        <v>9.8630136986301373</v>
      </c>
      <c r="D57" s="532" t="s">
        <v>225</v>
      </c>
    </row>
    <row r="58" spans="1:6">
      <c r="A58" s="533">
        <v>45804</v>
      </c>
      <c r="B58" s="534" t="s">
        <v>1982</v>
      </c>
      <c r="C58" s="535">
        <f>35000/4150</f>
        <v>8.4337349397590362</v>
      </c>
      <c r="D58" s="536" t="s">
        <v>225</v>
      </c>
    </row>
    <row r="59" spans="1:6">
      <c r="A59" s="533">
        <v>45823</v>
      </c>
      <c r="B59" s="534" t="s">
        <v>1983</v>
      </c>
      <c r="C59" s="535">
        <f>36500/4250</f>
        <v>8.5882352941176467</v>
      </c>
    </row>
    <row r="60" spans="1:6">
      <c r="A60" s="533">
        <v>45853</v>
      </c>
      <c r="B60" s="534" t="s">
        <v>1984</v>
      </c>
      <c r="C60" s="535">
        <f>25000/4300</f>
        <v>5.8139534883720927</v>
      </c>
      <c r="D60" s="536"/>
    </row>
    <row r="61" spans="1:6">
      <c r="A61" s="533">
        <v>45890</v>
      </c>
      <c r="B61" s="534" t="s">
        <v>1985</v>
      </c>
      <c r="C61" s="535">
        <f>25000/4300</f>
        <v>5.8139534883720927</v>
      </c>
      <c r="D61" s="574"/>
    </row>
    <row r="63" spans="1:6">
      <c r="A63" s="1">
        <v>45902</v>
      </c>
      <c r="B63" s="572" t="s">
        <v>1960</v>
      </c>
      <c r="C63">
        <v>17.14</v>
      </c>
      <c r="D63" s="2">
        <v>5100</v>
      </c>
    </row>
    <row r="64" spans="1:6" ht="15">
      <c r="D64" s="583">
        <f>D63*C63</f>
        <v>87414</v>
      </c>
      <c r="E64" s="2" t="s">
        <v>2136</v>
      </c>
    </row>
    <row r="65" spans="1:6" s="11" customFormat="1" ht="15">
      <c r="A65" s="10"/>
      <c r="D65" s="583"/>
      <c r="E65" s="12"/>
      <c r="F65" s="12"/>
    </row>
    <row r="66" spans="1:6" s="11" customFormat="1" ht="15">
      <c r="A66" s="10"/>
      <c r="C66" s="583" t="s">
        <v>261</v>
      </c>
      <c r="D66" s="11" t="s">
        <v>1968</v>
      </c>
      <c r="E66" s="12" t="s">
        <v>1969</v>
      </c>
      <c r="F66" s="12" t="s">
        <v>1970</v>
      </c>
    </row>
    <row r="67" spans="1:6">
      <c r="B67" s="2"/>
      <c r="C67" s="2">
        <v>438000</v>
      </c>
      <c r="D67">
        <v>-2637</v>
      </c>
      <c r="F67" s="12">
        <f>C67/D67</f>
        <v>-166.09783845278727</v>
      </c>
    </row>
    <row r="68" spans="1:6">
      <c r="A68" s="504">
        <v>45534</v>
      </c>
      <c r="B68" s="2"/>
      <c r="C68" s="2">
        <v>36500</v>
      </c>
      <c r="D68" s="2">
        <v>2626</v>
      </c>
      <c r="E68" s="2">
        <f t="shared" ref="E68:E81" si="3">C68/D68</f>
        <v>13.8994668697639</v>
      </c>
      <c r="F68" s="2">
        <f>F67+E68</f>
        <v>-152.19837158302337</v>
      </c>
    </row>
    <row r="69" spans="1:6">
      <c r="A69" s="504">
        <v>45565</v>
      </c>
      <c r="B69" s="2"/>
      <c r="C69" s="2">
        <v>36000</v>
      </c>
      <c r="D69" s="2">
        <v>2801</v>
      </c>
      <c r="E69" s="12">
        <f t="shared" si="3"/>
        <v>12.85255265976437</v>
      </c>
      <c r="F69" s="12">
        <f t="shared" ref="F69:F81" si="4">F68+E69</f>
        <v>-139.345818923259</v>
      </c>
    </row>
    <row r="70" spans="1:6">
      <c r="A70" s="504">
        <v>45595</v>
      </c>
      <c r="B70" s="2"/>
      <c r="C70" s="2">
        <v>36000</v>
      </c>
      <c r="D70" s="2">
        <v>2905</v>
      </c>
      <c r="E70" s="12">
        <f t="shared" si="3"/>
        <v>12.392426850258175</v>
      </c>
      <c r="F70" s="12">
        <f t="shared" si="4"/>
        <v>-126.95339207300083</v>
      </c>
    </row>
    <row r="71" spans="1:6">
      <c r="A71" s="504">
        <v>45626</v>
      </c>
      <c r="B71" s="2"/>
      <c r="C71" s="2">
        <v>35800</v>
      </c>
      <c r="D71" s="2">
        <v>2898</v>
      </c>
      <c r="E71" s="12">
        <f t="shared" si="3"/>
        <v>12.353347135955831</v>
      </c>
      <c r="F71" s="12">
        <f t="shared" si="4"/>
        <v>-114.600044937045</v>
      </c>
    </row>
    <row r="72" spans="1:6">
      <c r="A72" s="504">
        <v>45641</v>
      </c>
      <c r="B72" s="2"/>
      <c r="C72" s="2">
        <v>38000</v>
      </c>
      <c r="D72" s="2">
        <v>2970</v>
      </c>
      <c r="E72" s="12">
        <f t="shared" si="3"/>
        <v>12.794612794612794</v>
      </c>
      <c r="F72" s="12">
        <f t="shared" si="4"/>
        <v>-101.80543214243221</v>
      </c>
    </row>
    <row r="73" spans="1:6">
      <c r="A73" s="504"/>
      <c r="B73" s="2"/>
      <c r="C73" s="2">
        <v>35800</v>
      </c>
      <c r="D73" s="2">
        <v>2898</v>
      </c>
      <c r="E73" s="12">
        <f t="shared" si="3"/>
        <v>12.353347135955831</v>
      </c>
      <c r="F73" s="12">
        <f t="shared" si="4"/>
        <v>-89.452085006476381</v>
      </c>
    </row>
    <row r="74" spans="1:6">
      <c r="A74" s="504">
        <v>45672</v>
      </c>
      <c r="B74" s="14"/>
      <c r="C74" s="2">
        <v>36000</v>
      </c>
      <c r="D74" s="14">
        <v>3045</v>
      </c>
      <c r="E74" s="12">
        <f t="shared" si="3"/>
        <v>11.822660098522167</v>
      </c>
      <c r="F74" s="12">
        <f t="shared" si="4"/>
        <v>-77.629424907954217</v>
      </c>
    </row>
    <row r="75" spans="1:6">
      <c r="A75" s="504">
        <v>45709</v>
      </c>
      <c r="B75" s="2"/>
      <c r="C75" s="2">
        <v>26000</v>
      </c>
      <c r="D75" s="2">
        <v>3413</v>
      </c>
      <c r="E75" s="12">
        <f t="shared" si="3"/>
        <v>7.6179314386170525</v>
      </c>
      <c r="F75" s="12">
        <f t="shared" si="4"/>
        <v>-70.011493469337168</v>
      </c>
    </row>
    <row r="76" spans="1:6" ht="13.5" thickBot="1">
      <c r="A76" s="504">
        <v>45741</v>
      </c>
      <c r="B76" s="15"/>
      <c r="C76" s="2">
        <v>36000</v>
      </c>
      <c r="D76" s="14">
        <v>3650</v>
      </c>
      <c r="E76" s="12">
        <f t="shared" si="3"/>
        <v>9.8630136986301373</v>
      </c>
      <c r="F76" s="12">
        <f t="shared" si="4"/>
        <v>-60.148479770707027</v>
      </c>
    </row>
    <row r="77" spans="1:6">
      <c r="A77" s="529">
        <v>45762</v>
      </c>
      <c r="B77" s="2"/>
      <c r="C77" s="2">
        <v>36500</v>
      </c>
      <c r="D77" s="2">
        <v>3950</v>
      </c>
      <c r="E77" s="12">
        <f t="shared" si="3"/>
        <v>9.2405063291139236</v>
      </c>
      <c r="F77" s="12">
        <f t="shared" si="4"/>
        <v>-50.9079734415931</v>
      </c>
    </row>
    <row r="78" spans="1:6">
      <c r="A78" s="533">
        <v>45804</v>
      </c>
      <c r="C78" s="2">
        <v>35000</v>
      </c>
      <c r="D78" s="14">
        <v>4150</v>
      </c>
      <c r="E78" s="12">
        <f t="shared" si="3"/>
        <v>8.4337349397590362</v>
      </c>
      <c r="F78" s="12">
        <f t="shared" si="4"/>
        <v>-42.474238501834066</v>
      </c>
    </row>
    <row r="79" spans="1:6">
      <c r="A79" s="533">
        <v>45823</v>
      </c>
      <c r="C79" s="2">
        <v>36500</v>
      </c>
      <c r="D79" s="12">
        <v>4250</v>
      </c>
      <c r="E79" s="12">
        <f t="shared" si="3"/>
        <v>8.5882352941176467</v>
      </c>
      <c r="F79" s="12">
        <f t="shared" si="4"/>
        <v>-33.886003207716421</v>
      </c>
    </row>
    <row r="80" spans="1:6">
      <c r="A80" s="533">
        <v>45853</v>
      </c>
      <c r="C80" s="2">
        <v>36000</v>
      </c>
      <c r="D80" s="14">
        <v>4300</v>
      </c>
      <c r="E80" s="12">
        <f t="shared" si="3"/>
        <v>8.3720930232558146</v>
      </c>
      <c r="F80" s="12">
        <f t="shared" si="4"/>
        <v>-25.513910184460606</v>
      </c>
    </row>
    <row r="81" spans="1:6">
      <c r="A81" s="533">
        <v>45890</v>
      </c>
      <c r="C81" s="2">
        <v>36000</v>
      </c>
      <c r="D81" s="12">
        <v>4300</v>
      </c>
      <c r="E81" s="12">
        <f t="shared" si="3"/>
        <v>8.3720930232558146</v>
      </c>
      <c r="F81" s="12">
        <f t="shared" si="4"/>
        <v>-17.141817161204791</v>
      </c>
    </row>
    <row r="82" spans="1:6">
      <c r="C82" s="2"/>
    </row>
    <row r="83" spans="1:6" s="11" customFormat="1">
      <c r="A83" s="10">
        <v>45902</v>
      </c>
      <c r="B83" s="11" t="s">
        <v>1971</v>
      </c>
      <c r="C83" s="12"/>
      <c r="D83" s="12">
        <v>5100</v>
      </c>
      <c r="E83" s="12"/>
      <c r="F83" s="12">
        <f>F81*D83</f>
        <v>-87423.267522144437</v>
      </c>
    </row>
    <row r="84" spans="1:6" s="11" customFormat="1">
      <c r="A84" s="10">
        <v>46022</v>
      </c>
      <c r="B84" s="11" t="s">
        <v>1971</v>
      </c>
      <c r="C84" s="12"/>
      <c r="D84" s="12">
        <v>10000</v>
      </c>
      <c r="E84" s="12"/>
      <c r="F84" s="12"/>
    </row>
    <row r="85" spans="1:6" s="11" customFormat="1">
      <c r="A85" s="10">
        <v>46022</v>
      </c>
      <c r="B85" s="11" t="s">
        <v>2137</v>
      </c>
      <c r="C85" s="12"/>
      <c r="D85" s="12">
        <v>6000</v>
      </c>
      <c r="E85" s="12"/>
      <c r="F85" s="12"/>
    </row>
    <row r="86" spans="1:6" s="11" customFormat="1">
      <c r="A86" s="10"/>
      <c r="C86" s="12"/>
      <c r="D86" s="12"/>
      <c r="E86" s="12"/>
      <c r="F86" s="12"/>
    </row>
    <row r="87" spans="1:6" s="11" customFormat="1">
      <c r="A87" s="10"/>
      <c r="C87" s="12"/>
      <c r="D87" s="12"/>
      <c r="E87" s="12"/>
      <c r="F87" s="12"/>
    </row>
    <row r="88" spans="1:6">
      <c r="B88" t="s">
        <v>1962</v>
      </c>
      <c r="C88" s="12">
        <f>D88/E88</f>
        <v>166.09783845278727</v>
      </c>
      <c r="D88" s="12">
        <v>438000</v>
      </c>
      <c r="E88" s="11">
        <v>2637</v>
      </c>
      <c r="F88" s="12"/>
    </row>
    <row r="89" spans="1:6" ht="13.5" thickBot="1">
      <c r="B89" t="s">
        <v>1963</v>
      </c>
      <c r="C89" s="12">
        <v>166.1</v>
      </c>
      <c r="D89" s="12">
        <f>E89*C89</f>
        <v>863720</v>
      </c>
      <c r="E89" s="11">
        <v>5200</v>
      </c>
      <c r="F89" s="12"/>
    </row>
    <row r="90" spans="1:6" ht="13.5" thickBot="1">
      <c r="B90" t="s">
        <v>1964</v>
      </c>
      <c r="D90" s="638">
        <f>D89-D88</f>
        <v>425720</v>
      </c>
      <c r="F90"/>
    </row>
  </sheetData>
  <pageMargins left="0" right="0" top="0.39374999999999999" bottom="0.39374999999999999" header="0" footer="0"/>
  <pageSetup paperSize="9" pageOrder="overThenDown" orientation="portrait" useFirstPageNumber="1" horizontalDpi="300" verticalDpi="300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N270"/>
  <sheetViews>
    <sheetView topLeftCell="A135" zoomScale="145" zoomScaleNormal="145" workbookViewId="0">
      <selection activeCell="J199" sqref="J19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5" width="14" style="74" customWidth="1"/>
    <col min="6" max="6" width="12.28515625" style="74"/>
    <col min="7" max="7" width="13.7109375" style="74" customWidth="1"/>
    <col min="8" max="8" width="12.7109375" style="74" bestFit="1" customWidth="1"/>
    <col min="10" max="10" width="11.140625" bestFit="1" customWidth="1"/>
    <col min="11" max="11" width="10.5703125" style="75" bestFit="1" customWidth="1"/>
    <col min="12" max="12" width="14.5703125" style="75" customWidth="1"/>
    <col min="13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3" t="s">
        <v>2044</v>
      </c>
      <c r="C2" s="76" t="s">
        <v>59</v>
      </c>
      <c r="D2" s="74">
        <f>SUM(D4:D31)</f>
        <v>17494.509999999998</v>
      </c>
      <c r="E2" s="74">
        <f>SUM(E4:E31)</f>
        <v>-76440.48000000001</v>
      </c>
      <c r="F2" s="74">
        <f>SUM(F4:F31)</f>
        <v>373564.53</v>
      </c>
      <c r="G2" s="74">
        <f>SUM(G4:G31)</f>
        <v>-155436.73000000001</v>
      </c>
      <c r="H2" s="74">
        <f>F2+G2</f>
        <v>218127.80000000002</v>
      </c>
    </row>
    <row r="3" spans="1:14">
      <c r="B3" s="15"/>
    </row>
    <row r="4" spans="1:14">
      <c r="B4" s="38"/>
      <c r="H4" s="74">
        <f t="shared" ref="H4:H29" si="0">H3+F4+G4</f>
        <v>0</v>
      </c>
    </row>
    <row r="5" spans="1:14">
      <c r="A5" s="96">
        <v>45992</v>
      </c>
      <c r="B5" s="422" t="s">
        <v>72</v>
      </c>
      <c r="C5" s="422"/>
      <c r="D5" s="373"/>
      <c r="E5" s="373">
        <v>-600</v>
      </c>
      <c r="F5" s="393"/>
      <c r="G5" s="74">
        <v>-550</v>
      </c>
      <c r="H5" s="87">
        <f t="shared" si="0"/>
        <v>-550</v>
      </c>
    </row>
    <row r="6" spans="1:14">
      <c r="A6" s="96">
        <v>45992</v>
      </c>
      <c r="B6" s="422" t="s">
        <v>73</v>
      </c>
      <c r="C6" s="422"/>
      <c r="D6" s="373"/>
      <c r="E6" s="373">
        <v>-800</v>
      </c>
      <c r="F6" s="393"/>
      <c r="G6" s="74">
        <v>-865</v>
      </c>
      <c r="H6" s="87">
        <f t="shared" si="0"/>
        <v>-1415</v>
      </c>
    </row>
    <row r="7" spans="1:14">
      <c r="A7" s="81"/>
      <c r="B7" s="78" t="s">
        <v>60</v>
      </c>
      <c r="C7" s="82"/>
      <c r="D7" s="83"/>
      <c r="E7" s="83">
        <f>E37</f>
        <v>-57440.480000000003</v>
      </c>
      <c r="F7" s="84"/>
      <c r="G7" s="84">
        <f>E7</f>
        <v>-57440.480000000003</v>
      </c>
      <c r="H7" s="87">
        <f t="shared" si="0"/>
        <v>-58855.48</v>
      </c>
    </row>
    <row r="8" spans="1:14" s="11" customFormat="1">
      <c r="A8" s="81"/>
      <c r="B8" s="78" t="s">
        <v>2120</v>
      </c>
      <c r="C8" s="82"/>
      <c r="D8" s="83"/>
      <c r="E8" s="83"/>
      <c r="F8" s="84"/>
      <c r="G8" s="84">
        <v>-34674.75</v>
      </c>
      <c r="H8" s="87">
        <f t="shared" si="0"/>
        <v>-93530.23000000001</v>
      </c>
      <c r="K8" s="75"/>
      <c r="L8" s="75"/>
      <c r="M8" s="75"/>
      <c r="N8" s="75"/>
    </row>
    <row r="9" spans="1:14">
      <c r="A9" s="77"/>
      <c r="B9" s="78" t="s">
        <v>61</v>
      </c>
      <c r="C9" s="82"/>
      <c r="D9" s="83"/>
      <c r="E9" s="83">
        <f>E130</f>
        <v>0</v>
      </c>
      <c r="F9" s="84"/>
      <c r="G9" s="84">
        <f>E9</f>
        <v>0</v>
      </c>
      <c r="H9" s="87">
        <f t="shared" si="0"/>
        <v>-93530.23000000001</v>
      </c>
    </row>
    <row r="10" spans="1:14" s="11" customFormat="1">
      <c r="A10" s="77"/>
      <c r="B10" s="78"/>
      <c r="C10" s="82"/>
      <c r="D10" s="83"/>
      <c r="E10" s="83"/>
      <c r="F10" s="84"/>
      <c r="G10" s="84"/>
      <c r="H10" s="87">
        <f t="shared" si="0"/>
        <v>-93530.23000000001</v>
      </c>
      <c r="K10" s="75"/>
      <c r="L10" s="75"/>
      <c r="M10" s="75"/>
      <c r="N10" s="75"/>
    </row>
    <row r="11" spans="1:14" s="11" customFormat="1">
      <c r="A11" s="77">
        <v>45996</v>
      </c>
      <c r="B11" s="78" t="s">
        <v>2112</v>
      </c>
      <c r="C11" s="82"/>
      <c r="D11" s="83"/>
      <c r="E11" s="83"/>
      <c r="F11" s="676">
        <v>301000</v>
      </c>
      <c r="G11" s="84"/>
      <c r="H11" s="87">
        <f t="shared" si="0"/>
        <v>207469.77</v>
      </c>
      <c r="K11" s="75"/>
      <c r="L11" s="75"/>
      <c r="M11" s="75"/>
      <c r="N11" s="75"/>
    </row>
    <row r="12" spans="1:14">
      <c r="B12" s="88" t="s">
        <v>64</v>
      </c>
      <c r="C12" s="89"/>
      <c r="D12" s="87"/>
      <c r="E12" s="87">
        <v>0</v>
      </c>
      <c r="H12" s="87">
        <f t="shared" si="0"/>
        <v>207469.77</v>
      </c>
    </row>
    <row r="13" spans="1:14" s="75" customFormat="1">
      <c r="A13" s="85"/>
      <c r="B13" s="512" t="s">
        <v>65</v>
      </c>
      <c r="C13" s="512"/>
      <c r="D13" s="373"/>
      <c r="E13" s="373">
        <v>-1000</v>
      </c>
      <c r="F13" s="74"/>
      <c r="G13" s="74">
        <v>-2345</v>
      </c>
      <c r="H13" s="87">
        <f t="shared" si="0"/>
        <v>205124.77</v>
      </c>
    </row>
    <row r="14" spans="1:14" s="75" customFormat="1">
      <c r="A14" s="85"/>
      <c r="B14" s="512" t="s">
        <v>66</v>
      </c>
      <c r="C14" s="512"/>
      <c r="D14" s="373"/>
      <c r="E14" s="373">
        <v>-200</v>
      </c>
      <c r="F14" s="74"/>
      <c r="G14" s="74">
        <v>-50</v>
      </c>
      <c r="H14" s="87">
        <f t="shared" si="0"/>
        <v>205074.77</v>
      </c>
    </row>
    <row r="15" spans="1:14" s="75" customFormat="1">
      <c r="A15" s="85"/>
      <c r="B15" s="86"/>
      <c r="C15" s="86"/>
      <c r="D15" s="87"/>
      <c r="E15" s="87"/>
      <c r="F15" s="74"/>
      <c r="G15" s="74"/>
      <c r="H15" s="87">
        <f t="shared" si="0"/>
        <v>205074.77</v>
      </c>
    </row>
    <row r="16" spans="1:14" s="75" customFormat="1">
      <c r="A16" s="85"/>
      <c r="B16" s="89" t="s">
        <v>68</v>
      </c>
      <c r="C16" s="89"/>
      <c r="D16" s="373">
        <v>17494.509999999998</v>
      </c>
      <c r="E16" s="87"/>
      <c r="F16" s="74">
        <v>17564.53</v>
      </c>
      <c r="G16" s="74"/>
      <c r="H16" s="87">
        <f t="shared" si="0"/>
        <v>222639.3</v>
      </c>
      <c r="J16" s="90"/>
      <c r="K16" s="90"/>
      <c r="L16" s="91"/>
      <c r="M16" s="92"/>
    </row>
    <row r="17" spans="1:13" s="75" customFormat="1">
      <c r="B17" s="89" t="s">
        <v>70</v>
      </c>
      <c r="C17" s="89"/>
      <c r="D17" s="87"/>
      <c r="E17" s="87"/>
      <c r="F17" s="74"/>
      <c r="G17" s="74">
        <v>-21000</v>
      </c>
      <c r="H17" s="87">
        <f t="shared" si="0"/>
        <v>201639.3</v>
      </c>
      <c r="J17" s="90"/>
      <c r="K17" s="90"/>
      <c r="L17" s="91"/>
      <c r="M17" s="92"/>
    </row>
    <row r="18" spans="1:13" s="75" customFormat="1">
      <c r="A18" s="96">
        <v>46019</v>
      </c>
      <c r="B18" s="89" t="s">
        <v>70</v>
      </c>
      <c r="C18" s="89"/>
      <c r="D18" s="87"/>
      <c r="E18" s="87">
        <v>-7500</v>
      </c>
      <c r="F18" s="74"/>
      <c r="G18" s="74">
        <v>-9000</v>
      </c>
      <c r="H18" s="87">
        <f t="shared" si="0"/>
        <v>192639.3</v>
      </c>
      <c r="J18" s="90"/>
      <c r="K18" s="90"/>
      <c r="L18" s="91"/>
      <c r="M18" s="92"/>
    </row>
    <row r="19" spans="1:13" s="75" customFormat="1">
      <c r="B19" s="89" t="s">
        <v>71</v>
      </c>
      <c r="C19" s="89"/>
      <c r="D19" s="87"/>
      <c r="E19" s="87">
        <v>-7500</v>
      </c>
      <c r="F19" s="74"/>
      <c r="G19" s="74">
        <v>-7500</v>
      </c>
      <c r="H19" s="87">
        <f t="shared" si="0"/>
        <v>185139.3</v>
      </c>
      <c r="J19" s="90"/>
      <c r="K19" s="90"/>
      <c r="L19" s="91"/>
      <c r="M19" s="92"/>
    </row>
    <row r="20" spans="1:13" s="75" customFormat="1">
      <c r="A20" s="96">
        <v>45996</v>
      </c>
      <c r="B20" s="89" t="s">
        <v>2118</v>
      </c>
      <c r="C20" s="89"/>
      <c r="D20" s="87"/>
      <c r="E20" s="87"/>
      <c r="F20" s="87">
        <v>55000</v>
      </c>
      <c r="G20" s="87"/>
      <c r="H20" s="87"/>
      <c r="J20" s="90"/>
      <c r="K20" s="90"/>
      <c r="L20" s="91"/>
      <c r="M20" s="92"/>
    </row>
    <row r="21" spans="1:13" s="75" customFormat="1">
      <c r="A21" s="96">
        <v>45999</v>
      </c>
      <c r="B21" s="89" t="s">
        <v>2119</v>
      </c>
      <c r="C21" s="89"/>
      <c r="D21" s="87"/>
      <c r="E21" s="87"/>
      <c r="F21" s="87"/>
      <c r="G21" s="87">
        <v>-20000</v>
      </c>
      <c r="H21" s="87"/>
      <c r="J21" s="90"/>
      <c r="K21" s="90"/>
      <c r="L21" s="91"/>
      <c r="M21" s="92"/>
    </row>
    <row r="22" spans="1:13" s="75" customFormat="1">
      <c r="B22" s="3"/>
      <c r="C22" s="3"/>
      <c r="D22" s="74"/>
      <c r="E22" s="74"/>
      <c r="F22" s="74"/>
      <c r="G22" s="74"/>
      <c r="H22" s="87">
        <f>H19+F22+G22</f>
        <v>185139.3</v>
      </c>
      <c r="J22" s="90"/>
      <c r="K22" s="90"/>
      <c r="L22" s="91"/>
      <c r="M22" s="92"/>
    </row>
    <row r="23" spans="1:13" s="75" customFormat="1">
      <c r="A23" s="96">
        <v>46020</v>
      </c>
      <c r="B23" s="95" t="s">
        <v>72</v>
      </c>
      <c r="C23" s="95"/>
      <c r="D23" s="74"/>
      <c r="E23" s="74">
        <v>-600</v>
      </c>
      <c r="F23" s="74"/>
      <c r="G23" s="74">
        <v>-735</v>
      </c>
      <c r="H23" s="87">
        <f t="shared" si="0"/>
        <v>184404.3</v>
      </c>
      <c r="J23" s="90"/>
      <c r="K23" s="90"/>
      <c r="L23" s="91"/>
      <c r="M23" s="92"/>
    </row>
    <row r="24" spans="1:13" s="75" customFormat="1">
      <c r="A24" s="96">
        <v>46020</v>
      </c>
      <c r="B24" s="95" t="s">
        <v>73</v>
      </c>
      <c r="C24" s="95"/>
      <c r="D24" s="74"/>
      <c r="E24" s="74">
        <v>-800</v>
      </c>
      <c r="F24" s="74"/>
      <c r="G24" s="74">
        <v>-415</v>
      </c>
      <c r="H24" s="74">
        <f t="shared" si="0"/>
        <v>183989.3</v>
      </c>
      <c r="J24" s="90"/>
      <c r="K24" s="90"/>
      <c r="L24" s="91"/>
      <c r="M24" s="92"/>
    </row>
    <row r="25" spans="1:13" s="75" customFormat="1">
      <c r="A25" s="96">
        <v>46006</v>
      </c>
      <c r="B25" s="3" t="s">
        <v>289</v>
      </c>
      <c r="C25" s="3"/>
      <c r="D25" s="74"/>
      <c r="E25" s="74"/>
      <c r="F25" s="74"/>
      <c r="G25" s="74">
        <v>-80</v>
      </c>
      <c r="H25" s="74">
        <f t="shared" si="0"/>
        <v>183909.3</v>
      </c>
    </row>
    <row r="26" spans="1:13" s="75" customFormat="1">
      <c r="A26" s="96">
        <v>46014</v>
      </c>
      <c r="B26" s="75" t="s">
        <v>2121</v>
      </c>
      <c r="D26" s="74"/>
      <c r="E26" s="74"/>
      <c r="F26" s="74"/>
      <c r="G26" s="74">
        <v>-781.5</v>
      </c>
      <c r="H26" s="74">
        <f t="shared" si="0"/>
        <v>183127.8</v>
      </c>
    </row>
    <row r="27" spans="1:13">
      <c r="A27" s="96"/>
      <c r="B27" s="97"/>
      <c r="C27" s="97"/>
      <c r="H27" s="74">
        <f t="shared" si="0"/>
        <v>183127.8</v>
      </c>
      <c r="I27" s="75"/>
      <c r="J27" s="75"/>
    </row>
    <row r="28" spans="1:13">
      <c r="A28" s="96"/>
      <c r="H28" s="74">
        <f t="shared" si="0"/>
        <v>183127.8</v>
      </c>
    </row>
    <row r="29" spans="1:13">
      <c r="H29" s="74">
        <f t="shared" si="0"/>
        <v>183127.8</v>
      </c>
    </row>
    <row r="31" spans="1:13" s="75" customFormat="1">
      <c r="A31" s="94"/>
      <c r="B31"/>
      <c r="C31"/>
      <c r="D31" s="74"/>
      <c r="E31" s="74"/>
      <c r="F31" s="74"/>
      <c r="G31" s="74"/>
      <c r="H31" s="74"/>
      <c r="I31"/>
      <c r="J31"/>
    </row>
    <row r="32" spans="1:13" s="75" customFormat="1">
      <c r="B32" s="97"/>
      <c r="C32" s="97"/>
      <c r="D32" s="74"/>
      <c r="E32" s="74"/>
      <c r="F32" s="74"/>
      <c r="G32" s="74"/>
      <c r="H32" s="74"/>
      <c r="J32" s="90"/>
      <c r="K32" s="90"/>
      <c r="L32" s="91"/>
      <c r="M32" s="92"/>
    </row>
    <row r="33" spans="1:14" s="75" customFormat="1">
      <c r="B33" s="97"/>
      <c r="C33" s="97"/>
      <c r="D33" s="74"/>
      <c r="E33" s="74"/>
      <c r="F33" s="74"/>
      <c r="G33" s="74"/>
      <c r="H33" s="74"/>
      <c r="J33" s="90"/>
      <c r="K33" s="90"/>
      <c r="L33" s="91"/>
      <c r="M33" s="92"/>
    </row>
    <row r="34" spans="1:14" s="75" customFormat="1">
      <c r="A34" s="94"/>
      <c r="D34" s="74"/>
      <c r="E34" s="74"/>
      <c r="F34" s="74"/>
      <c r="G34" s="74"/>
      <c r="H34" s="74"/>
    </row>
    <row r="35" spans="1:14" s="74" customFormat="1">
      <c r="A35" s="85"/>
      <c r="B35" s="75"/>
      <c r="C35" s="75"/>
      <c r="I35" s="75"/>
      <c r="J35" s="75"/>
      <c r="K35" s="75"/>
      <c r="L35" s="75"/>
      <c r="M35" s="75"/>
      <c r="N35" s="75"/>
    </row>
    <row r="36" spans="1:14" s="74" customFormat="1">
      <c r="B36" s="98"/>
      <c r="K36" s="75"/>
      <c r="L36" s="75"/>
      <c r="M36" s="75"/>
      <c r="N36" s="75"/>
    </row>
    <row r="37" spans="1:14">
      <c r="A37" s="99"/>
      <c r="B37" s="100" t="s">
        <v>75</v>
      </c>
      <c r="C37" s="99"/>
      <c r="E37" s="74">
        <f>SUM(E38:E83)</f>
        <v>-57440.480000000003</v>
      </c>
      <c r="F37" s="74">
        <v>57440.480000000003</v>
      </c>
      <c r="I37" s="74"/>
      <c r="J37" s="74"/>
    </row>
    <row r="38" spans="1:14" s="74" customFormat="1">
      <c r="A38"/>
      <c r="B38"/>
      <c r="C38"/>
      <c r="I38"/>
      <c r="J38"/>
      <c r="K38" s="75"/>
      <c r="L38" s="75"/>
      <c r="M38" s="75"/>
      <c r="N38" s="75"/>
    </row>
    <row r="39" spans="1:14" s="74" customFormat="1">
      <c r="A39" s="85">
        <v>45817</v>
      </c>
      <c r="B39" s="87" t="s">
        <v>1850</v>
      </c>
      <c r="C39" s="87"/>
      <c r="D39" s="87" t="s">
        <v>1892</v>
      </c>
      <c r="E39" s="87">
        <v>-406.65</v>
      </c>
      <c r="F39" s="87"/>
      <c r="K39" s="75"/>
      <c r="L39" s="75"/>
      <c r="M39" s="75"/>
      <c r="N39" s="75"/>
    </row>
    <row r="40" spans="1:14" s="74" customFormat="1">
      <c r="A40" s="96">
        <v>45880</v>
      </c>
      <c r="B40" s="103" t="s">
        <v>1927</v>
      </c>
      <c r="C40" s="102">
        <v>5126</v>
      </c>
      <c r="D40" s="87" t="s">
        <v>1890</v>
      </c>
      <c r="E40" s="87">
        <v>-854.33</v>
      </c>
      <c r="K40" s="75"/>
      <c r="L40" s="75"/>
      <c r="M40" s="75"/>
      <c r="N40" s="75"/>
    </row>
    <row r="41" spans="1:14" s="74" customFormat="1">
      <c r="A41" s="96">
        <v>45880</v>
      </c>
      <c r="B41" s="103" t="s">
        <v>1928</v>
      </c>
      <c r="C41" s="102">
        <v>16598.900000000001</v>
      </c>
      <c r="D41" s="87" t="s">
        <v>1947</v>
      </c>
      <c r="E41" s="87">
        <v>-1844.32</v>
      </c>
      <c r="K41" s="75"/>
      <c r="L41" s="75"/>
      <c r="M41" s="75"/>
      <c r="N41" s="75"/>
    </row>
    <row r="42" spans="1:14" s="87" customFormat="1">
      <c r="A42" s="96"/>
      <c r="B42" s="103" t="s">
        <v>1927</v>
      </c>
      <c r="C42" s="102">
        <v>2307</v>
      </c>
      <c r="D42" s="87" t="s">
        <v>1889</v>
      </c>
      <c r="E42" s="87">
        <v>-384.5</v>
      </c>
      <c r="K42" s="75"/>
      <c r="L42" s="75"/>
      <c r="M42" s="75"/>
      <c r="N42" s="75"/>
    </row>
    <row r="43" spans="1:14" s="87" customFormat="1">
      <c r="A43" s="96"/>
      <c r="B43" s="103"/>
      <c r="C43" s="102"/>
      <c r="K43" s="75"/>
      <c r="L43" s="75"/>
      <c r="M43" s="75"/>
      <c r="N43" s="75"/>
    </row>
    <row r="44" spans="1:14" s="87" customFormat="1">
      <c r="A44" s="96"/>
      <c r="B44" s="103"/>
      <c r="C44" s="102"/>
      <c r="K44" s="75"/>
      <c r="L44" s="75"/>
      <c r="M44" s="75"/>
      <c r="N44" s="75"/>
    </row>
    <row r="45" spans="1:14" s="87" customFormat="1">
      <c r="A45" s="96"/>
      <c r="B45" s="103"/>
      <c r="C45" s="102"/>
      <c r="K45" s="75"/>
      <c r="L45" s="75"/>
      <c r="M45" s="75"/>
      <c r="N45" s="75"/>
    </row>
    <row r="46" spans="1:14" s="87" customFormat="1">
      <c r="A46" s="96">
        <v>45956</v>
      </c>
      <c r="B46" s="103" t="s">
        <v>2045</v>
      </c>
      <c r="C46" s="102"/>
      <c r="E46" s="87">
        <v>-130</v>
      </c>
      <c r="K46" s="75"/>
      <c r="L46" s="75"/>
      <c r="M46" s="75"/>
      <c r="N46" s="75"/>
    </row>
    <row r="47" spans="1:14" s="87" customFormat="1">
      <c r="A47" s="96"/>
      <c r="B47" s="103" t="s">
        <v>119</v>
      </c>
      <c r="C47" s="102"/>
      <c r="E47" s="87">
        <v>-83.26</v>
      </c>
      <c r="K47" s="75"/>
      <c r="L47" s="75"/>
      <c r="M47" s="75"/>
      <c r="N47" s="75"/>
    </row>
    <row r="48" spans="1:14" s="87" customFormat="1">
      <c r="A48" s="96"/>
      <c r="B48" s="103" t="s">
        <v>126</v>
      </c>
      <c r="C48" s="102"/>
      <c r="E48" s="87">
        <v>-270</v>
      </c>
      <c r="K48" s="75"/>
      <c r="L48" s="75"/>
      <c r="M48" s="75"/>
      <c r="N48" s="75"/>
    </row>
    <row r="49" spans="1:14" s="87" customFormat="1">
      <c r="A49" s="96">
        <v>45959</v>
      </c>
      <c r="B49" s="103" t="s">
        <v>643</v>
      </c>
      <c r="C49" s="102"/>
      <c r="E49" s="87">
        <v>-800</v>
      </c>
      <c r="K49" s="75"/>
      <c r="L49" s="75"/>
      <c r="M49" s="75"/>
      <c r="N49" s="75"/>
    </row>
    <row r="50" spans="1:14" s="87" customFormat="1">
      <c r="A50" s="96"/>
      <c r="B50" s="103" t="s">
        <v>2046</v>
      </c>
      <c r="C50" s="102"/>
      <c r="E50" s="87">
        <v>-1000</v>
      </c>
      <c r="K50" s="75"/>
      <c r="L50" s="75"/>
      <c r="M50" s="75"/>
      <c r="N50" s="75"/>
    </row>
    <row r="51" spans="1:14" s="87" customFormat="1">
      <c r="A51" s="96"/>
      <c r="B51" s="103" t="s">
        <v>119</v>
      </c>
      <c r="C51" s="102"/>
      <c r="E51" s="87">
        <v>-24.95</v>
      </c>
      <c r="K51" s="75"/>
      <c r="L51" s="75"/>
      <c r="M51" s="75"/>
      <c r="N51" s="75"/>
    </row>
    <row r="52" spans="1:14" s="87" customFormat="1">
      <c r="A52" s="96"/>
      <c r="B52" s="103" t="s">
        <v>119</v>
      </c>
      <c r="C52" s="102"/>
      <c r="E52" s="87">
        <v>-149.94999999999999</v>
      </c>
      <c r="K52" s="75"/>
      <c r="L52" s="75"/>
      <c r="M52" s="75"/>
      <c r="N52" s="75"/>
    </row>
    <row r="53" spans="1:14" s="87" customFormat="1">
      <c r="A53" s="96">
        <v>45965</v>
      </c>
      <c r="B53" s="103"/>
      <c r="C53" s="102"/>
      <c r="D53" s="87">
        <v>21799.29</v>
      </c>
      <c r="K53" s="75"/>
      <c r="L53" s="75"/>
      <c r="M53" s="75"/>
      <c r="N53" s="75"/>
    </row>
    <row r="54" spans="1:14" s="87" customFormat="1">
      <c r="A54" s="96">
        <v>45966</v>
      </c>
      <c r="B54" s="103" t="s">
        <v>2047</v>
      </c>
      <c r="C54" s="102"/>
      <c r="E54" s="87">
        <v>-678.06</v>
      </c>
      <c r="K54" s="75"/>
      <c r="L54" s="75"/>
      <c r="M54" s="75"/>
      <c r="N54" s="75"/>
    </row>
    <row r="55" spans="1:14" s="87" customFormat="1">
      <c r="A55" s="96"/>
      <c r="B55" s="103" t="s">
        <v>119</v>
      </c>
      <c r="C55" s="102"/>
      <c r="E55" s="87">
        <v>-90</v>
      </c>
      <c r="K55" s="75"/>
      <c r="L55" s="75"/>
      <c r="M55" s="75"/>
      <c r="N55" s="75"/>
    </row>
    <row r="56" spans="1:14" s="87" customFormat="1">
      <c r="A56" s="96"/>
      <c r="B56" s="103" t="s">
        <v>119</v>
      </c>
      <c r="C56" s="102"/>
      <c r="E56" s="87">
        <v>-105</v>
      </c>
      <c r="K56" s="75"/>
      <c r="L56" s="75"/>
      <c r="M56" s="75"/>
      <c r="N56" s="75"/>
    </row>
    <row r="57" spans="1:14" s="87" customFormat="1">
      <c r="A57" s="96"/>
      <c r="B57" s="103" t="s">
        <v>1603</v>
      </c>
      <c r="C57" s="102"/>
      <c r="E57" s="87">
        <v>-140</v>
      </c>
      <c r="K57" s="75"/>
      <c r="L57" s="75"/>
      <c r="M57" s="75"/>
      <c r="N57" s="75"/>
    </row>
    <row r="58" spans="1:14" s="87" customFormat="1">
      <c r="A58" s="96"/>
      <c r="B58" s="103" t="s">
        <v>2048</v>
      </c>
      <c r="C58" s="102"/>
      <c r="E58" s="87">
        <v>-1883.1</v>
      </c>
      <c r="K58" s="75"/>
      <c r="L58" s="75"/>
      <c r="M58" s="75"/>
      <c r="N58" s="75"/>
    </row>
    <row r="59" spans="1:14" s="87" customFormat="1">
      <c r="A59" s="96"/>
      <c r="B59" s="103" t="s">
        <v>2048</v>
      </c>
      <c r="C59" s="102"/>
      <c r="E59" s="87">
        <v>-1883.1</v>
      </c>
      <c r="K59" s="75"/>
      <c r="L59" s="75"/>
      <c r="M59" s="75"/>
      <c r="N59" s="75"/>
    </row>
    <row r="60" spans="1:14" s="87" customFormat="1">
      <c r="A60" s="96"/>
      <c r="B60" s="103" t="s">
        <v>2048</v>
      </c>
      <c r="C60" s="102"/>
      <c r="E60" s="87">
        <v>-1420</v>
      </c>
      <c r="K60" s="75"/>
      <c r="L60" s="75"/>
      <c r="M60" s="75"/>
      <c r="N60" s="75"/>
    </row>
    <row r="61" spans="1:14" s="87" customFormat="1">
      <c r="A61" s="96"/>
      <c r="B61" s="103" t="s">
        <v>2048</v>
      </c>
      <c r="C61" s="102"/>
      <c r="E61" s="87">
        <v>-1420</v>
      </c>
      <c r="K61" s="75"/>
      <c r="L61" s="75"/>
      <c r="M61" s="75"/>
      <c r="N61" s="75"/>
    </row>
    <row r="62" spans="1:14">
      <c r="A62" s="85"/>
      <c r="B62" s="74" t="s">
        <v>2049</v>
      </c>
      <c r="C62" s="74"/>
      <c r="E62" s="74">
        <v>-2600.4</v>
      </c>
      <c r="I62" s="74"/>
      <c r="J62" s="74"/>
    </row>
    <row r="63" spans="1:14" s="74" customFormat="1">
      <c r="A63"/>
      <c r="B63" s="103" t="s">
        <v>2050</v>
      </c>
      <c r="C63"/>
      <c r="E63" s="74">
        <v>-300</v>
      </c>
      <c r="I63"/>
      <c r="J63"/>
      <c r="K63" s="75"/>
      <c r="L63" s="75"/>
      <c r="M63" s="75"/>
      <c r="N63" s="75"/>
    </row>
    <row r="64" spans="1:14" s="87" customFormat="1">
      <c r="A64" s="11"/>
      <c r="B64" s="103" t="s">
        <v>2051</v>
      </c>
      <c r="C64" s="11"/>
      <c r="E64" s="87">
        <v>-150</v>
      </c>
      <c r="I64" s="11"/>
      <c r="J64" s="11"/>
      <c r="K64" s="75"/>
      <c r="L64" s="75"/>
      <c r="M64" s="75"/>
      <c r="N64" s="75"/>
    </row>
    <row r="65" spans="1:14" s="87" customFormat="1">
      <c r="A65" s="11"/>
      <c r="B65" s="103" t="s">
        <v>643</v>
      </c>
      <c r="C65" s="11"/>
      <c r="E65" s="87">
        <v>-370</v>
      </c>
      <c r="I65" s="11"/>
      <c r="J65" s="11"/>
      <c r="K65" s="75"/>
      <c r="L65" s="75"/>
      <c r="M65" s="75"/>
      <c r="N65" s="75"/>
    </row>
    <row r="66" spans="1:14" s="87" customFormat="1">
      <c r="A66" s="11"/>
      <c r="B66" s="103" t="s">
        <v>2052</v>
      </c>
      <c r="C66" s="11"/>
      <c r="E66" s="87">
        <v>-440</v>
      </c>
      <c r="I66" s="11"/>
      <c r="J66" s="11"/>
      <c r="K66" s="75"/>
      <c r="L66" s="75"/>
      <c r="M66" s="75"/>
      <c r="N66" s="75"/>
    </row>
    <row r="67" spans="1:14" s="87" customFormat="1">
      <c r="A67" s="11"/>
      <c r="B67" s="103" t="s">
        <v>119</v>
      </c>
      <c r="C67" s="11"/>
      <c r="E67" s="87">
        <v>-57.5</v>
      </c>
      <c r="I67" s="11"/>
      <c r="J67" s="11"/>
      <c r="K67" s="75"/>
      <c r="L67" s="75"/>
      <c r="M67" s="75"/>
      <c r="N67" s="75"/>
    </row>
    <row r="68" spans="1:14" s="87" customFormat="1">
      <c r="A68" s="11"/>
      <c r="B68" s="103" t="s">
        <v>2053</v>
      </c>
      <c r="C68" s="11"/>
      <c r="E68" s="87">
        <v>-29382.75</v>
      </c>
      <c r="I68" s="11"/>
      <c r="J68" s="11"/>
      <c r="K68" s="75"/>
      <c r="L68" s="75"/>
      <c r="M68" s="75"/>
      <c r="N68" s="75"/>
    </row>
    <row r="69" spans="1:14" s="87" customFormat="1">
      <c r="A69" s="11"/>
      <c r="B69" s="103" t="s">
        <v>2054</v>
      </c>
      <c r="C69" s="11"/>
      <c r="E69" s="87">
        <v>-195</v>
      </c>
      <c r="I69" s="11"/>
      <c r="J69" s="11"/>
      <c r="K69" s="75"/>
      <c r="L69" s="75"/>
      <c r="M69" s="75"/>
      <c r="N69" s="75"/>
    </row>
    <row r="70" spans="1:14" s="87" customFormat="1">
      <c r="A70" s="11"/>
      <c r="B70" s="103" t="s">
        <v>2055</v>
      </c>
      <c r="C70" s="11"/>
      <c r="E70" s="87">
        <v>-2459.9699999999998</v>
      </c>
      <c r="I70" s="11"/>
      <c r="J70" s="11"/>
      <c r="K70" s="75"/>
      <c r="L70" s="75"/>
      <c r="M70" s="75"/>
      <c r="N70" s="75"/>
    </row>
    <row r="71" spans="1:14" s="87" customFormat="1">
      <c r="A71" s="11"/>
      <c r="B71" s="103" t="s">
        <v>119</v>
      </c>
      <c r="C71" s="11"/>
      <c r="E71" s="87">
        <v>-169.5</v>
      </c>
      <c r="I71" s="11"/>
      <c r="J71" s="11"/>
      <c r="K71" s="75"/>
      <c r="L71" s="75"/>
      <c r="M71" s="75"/>
      <c r="N71" s="75"/>
    </row>
    <row r="72" spans="1:14" s="87" customFormat="1">
      <c r="A72" s="11"/>
      <c r="B72" s="103" t="s">
        <v>2056</v>
      </c>
      <c r="C72" s="11"/>
      <c r="E72" s="87">
        <v>-500</v>
      </c>
      <c r="I72" s="11"/>
      <c r="J72" s="11"/>
      <c r="K72" s="75"/>
      <c r="L72" s="75"/>
      <c r="M72" s="75"/>
      <c r="N72" s="75"/>
    </row>
    <row r="73" spans="1:14" s="87" customFormat="1">
      <c r="A73" s="375">
        <v>45978</v>
      </c>
      <c r="B73" s="103" t="s">
        <v>2057</v>
      </c>
      <c r="C73" s="11"/>
      <c r="E73" s="87">
        <v>-2200</v>
      </c>
      <c r="I73" s="11"/>
      <c r="J73" s="11"/>
      <c r="K73" s="75"/>
      <c r="L73" s="75"/>
      <c r="M73" s="75"/>
      <c r="N73" s="75"/>
    </row>
    <row r="74" spans="1:14" s="87" customFormat="1">
      <c r="A74" s="11"/>
      <c r="B74" s="103" t="s">
        <v>119</v>
      </c>
      <c r="C74" s="11"/>
      <c r="E74" s="87">
        <v>-122.75</v>
      </c>
      <c r="I74" s="11"/>
      <c r="J74" s="11"/>
      <c r="K74" s="75"/>
      <c r="L74" s="75"/>
      <c r="M74" s="75"/>
      <c r="N74" s="75"/>
    </row>
    <row r="75" spans="1:14" s="87" customFormat="1">
      <c r="A75" s="11"/>
      <c r="B75" s="103" t="s">
        <v>1873</v>
      </c>
      <c r="C75" s="11"/>
      <c r="E75" s="87">
        <v>-573</v>
      </c>
      <c r="I75" s="11"/>
      <c r="J75" s="11"/>
      <c r="K75" s="75"/>
      <c r="L75" s="75"/>
      <c r="M75" s="75"/>
      <c r="N75" s="75"/>
    </row>
    <row r="76" spans="1:14" s="87" customFormat="1">
      <c r="A76" s="11"/>
      <c r="B76" s="103" t="s">
        <v>2058</v>
      </c>
      <c r="C76" s="11"/>
      <c r="E76" s="87">
        <v>-472.89</v>
      </c>
      <c r="I76" s="11"/>
      <c r="J76" s="11"/>
      <c r="K76" s="75"/>
      <c r="L76" s="75"/>
      <c r="M76" s="75"/>
      <c r="N76" s="75"/>
    </row>
    <row r="77" spans="1:14" s="87" customFormat="1">
      <c r="A77" s="11"/>
      <c r="B77" s="103" t="s">
        <v>2059</v>
      </c>
      <c r="C77" s="11"/>
      <c r="E77" s="87">
        <v>-1660</v>
      </c>
      <c r="I77" s="11"/>
      <c r="J77" s="11"/>
      <c r="K77" s="75"/>
      <c r="L77" s="75"/>
      <c r="M77" s="75"/>
      <c r="N77" s="75"/>
    </row>
    <row r="78" spans="1:14" s="87" customFormat="1">
      <c r="A78" s="375">
        <v>45978</v>
      </c>
      <c r="B78" s="103" t="s">
        <v>2060</v>
      </c>
      <c r="C78" s="11"/>
      <c r="E78" s="87">
        <v>-905</v>
      </c>
      <c r="I78" s="11"/>
      <c r="J78" s="11"/>
      <c r="K78" s="75"/>
      <c r="L78" s="75"/>
      <c r="M78" s="75"/>
      <c r="N78" s="75"/>
    </row>
    <row r="79" spans="1:14" s="87" customFormat="1">
      <c r="A79" s="11"/>
      <c r="B79" s="103" t="s">
        <v>2061</v>
      </c>
      <c r="C79" s="11"/>
      <c r="E79" s="87">
        <v>-50</v>
      </c>
      <c r="I79" s="11"/>
      <c r="J79" s="11"/>
      <c r="K79" s="75"/>
      <c r="L79" s="75"/>
      <c r="M79" s="75"/>
      <c r="N79" s="75"/>
    </row>
    <row r="80" spans="1:14" s="87" customFormat="1">
      <c r="A80" s="11"/>
      <c r="B80" s="103" t="s">
        <v>2061</v>
      </c>
      <c r="C80" s="11"/>
      <c r="E80" s="87">
        <v>-50</v>
      </c>
      <c r="I80" s="11"/>
      <c r="J80" s="11"/>
      <c r="K80" s="75"/>
      <c r="L80" s="75"/>
      <c r="M80" s="75"/>
      <c r="N80" s="75"/>
    </row>
    <row r="81" spans="1:14" s="87" customFormat="1">
      <c r="A81" s="375">
        <v>45980</v>
      </c>
      <c r="B81" s="103" t="s">
        <v>2062</v>
      </c>
      <c r="C81" s="11"/>
      <c r="E81" s="87">
        <v>-1000</v>
      </c>
      <c r="I81" s="11"/>
      <c r="J81" s="11"/>
      <c r="K81" s="75"/>
      <c r="L81" s="75"/>
      <c r="M81" s="75"/>
      <c r="N81" s="75"/>
    </row>
    <row r="82" spans="1:14" s="87" customFormat="1">
      <c r="A82" s="375">
        <v>45984</v>
      </c>
      <c r="B82" s="103" t="s">
        <v>2061</v>
      </c>
      <c r="C82" s="11"/>
      <c r="E82" s="87">
        <v>-50</v>
      </c>
      <c r="I82" s="11"/>
      <c r="J82" s="11"/>
      <c r="K82" s="75"/>
      <c r="L82" s="75"/>
      <c r="M82" s="75"/>
      <c r="N82" s="75"/>
    </row>
    <row r="83" spans="1:14" s="87" customFormat="1">
      <c r="A83" s="375">
        <v>45986</v>
      </c>
      <c r="B83" s="103" t="s">
        <v>119</v>
      </c>
      <c r="C83" s="11"/>
      <c r="E83" s="87">
        <v>-164.5</v>
      </c>
      <c r="I83" s="11"/>
      <c r="J83" s="11"/>
      <c r="K83" s="75"/>
      <c r="L83" s="75"/>
      <c r="M83" s="75"/>
      <c r="N83" s="75"/>
    </row>
    <row r="84" spans="1:14" s="87" customFormat="1" ht="15">
      <c r="A84" s="11"/>
      <c r="B84" s="11"/>
      <c r="C84" s="11"/>
      <c r="E84" s="101" t="s">
        <v>76</v>
      </c>
      <c r="I84" s="11"/>
      <c r="J84" s="11"/>
      <c r="K84" s="75"/>
      <c r="L84" s="75"/>
      <c r="M84" s="75"/>
      <c r="N84" s="75"/>
    </row>
    <row r="85" spans="1:14" s="87" customFormat="1">
      <c r="A85" s="11"/>
      <c r="B85" s="11"/>
      <c r="C85" s="11"/>
      <c r="I85" s="11"/>
      <c r="J85" s="11"/>
      <c r="K85" s="75"/>
      <c r="L85" s="75"/>
      <c r="M85" s="75"/>
      <c r="N85" s="75"/>
    </row>
    <row r="86" spans="1:14" s="87" customFormat="1">
      <c r="A86" s="11"/>
      <c r="B86" s="11"/>
      <c r="C86" s="11"/>
      <c r="I86" s="11"/>
      <c r="J86" s="11"/>
      <c r="K86" s="75"/>
      <c r="L86" s="75"/>
      <c r="M86" s="75"/>
      <c r="N86" s="75"/>
    </row>
    <row r="87" spans="1:14" s="87" customFormat="1">
      <c r="A87" s="11"/>
      <c r="B87" s="11"/>
      <c r="C87" s="11" t="s">
        <v>2079</v>
      </c>
      <c r="D87" s="87" t="s">
        <v>2078</v>
      </c>
      <c r="E87" s="373">
        <f>SUM(E88:E111)</f>
        <v>-681.92</v>
      </c>
      <c r="I87" s="11"/>
      <c r="J87" s="11"/>
      <c r="K87" s="75"/>
      <c r="L87" s="75"/>
      <c r="M87" s="75"/>
      <c r="N87" s="75"/>
    </row>
    <row r="88" spans="1:14" s="87" customFormat="1">
      <c r="A88" s="375">
        <v>45979</v>
      </c>
      <c r="B88" s="103" t="s">
        <v>2077</v>
      </c>
      <c r="C88" s="11"/>
      <c r="E88" s="87">
        <v>-240</v>
      </c>
      <c r="I88" s="11"/>
      <c r="J88" s="11"/>
      <c r="K88" s="75"/>
      <c r="L88" s="75"/>
      <c r="M88" s="75"/>
      <c r="N88" s="75"/>
    </row>
    <row r="89" spans="1:14" s="87" customFormat="1">
      <c r="A89" s="375">
        <v>45980</v>
      </c>
      <c r="B89" s="11" t="s">
        <v>119</v>
      </c>
      <c r="C89" s="11"/>
      <c r="E89" s="87">
        <v>-1.98</v>
      </c>
      <c r="I89" s="11"/>
      <c r="J89" s="11"/>
      <c r="K89" s="75"/>
      <c r="L89" s="75"/>
      <c r="M89" s="75"/>
      <c r="N89" s="75"/>
    </row>
    <row r="90" spans="1:14" s="87" customFormat="1">
      <c r="A90" s="375">
        <v>45981</v>
      </c>
      <c r="B90" s="11" t="s">
        <v>2080</v>
      </c>
      <c r="C90" s="11"/>
      <c r="E90" s="87">
        <v>-7.9</v>
      </c>
      <c r="I90" s="11"/>
      <c r="J90" s="11"/>
      <c r="K90" s="75"/>
      <c r="L90" s="75"/>
      <c r="M90" s="75"/>
      <c r="N90" s="75"/>
    </row>
    <row r="91" spans="1:14" s="87" customFormat="1">
      <c r="A91" s="375">
        <v>45981</v>
      </c>
      <c r="B91" s="11" t="s">
        <v>2081</v>
      </c>
      <c r="C91" s="11"/>
      <c r="E91" s="87">
        <v>-3</v>
      </c>
      <c r="I91" s="11"/>
      <c r="J91" s="11"/>
      <c r="K91" s="75"/>
      <c r="L91" s="75"/>
      <c r="M91" s="75"/>
      <c r="N91" s="75"/>
    </row>
    <row r="92" spans="1:14" s="87" customFormat="1">
      <c r="A92" s="11"/>
      <c r="B92" s="87" t="s">
        <v>2083</v>
      </c>
      <c r="C92" s="11"/>
      <c r="E92" s="87">
        <v>-25.5</v>
      </c>
      <c r="I92" s="11"/>
      <c r="J92" s="11"/>
      <c r="K92" s="75"/>
      <c r="L92" s="75"/>
      <c r="M92" s="75"/>
      <c r="N92" s="75"/>
    </row>
    <row r="93" spans="1:14" s="87" customFormat="1">
      <c r="A93" s="11"/>
      <c r="B93" s="11"/>
      <c r="C93" s="11"/>
      <c r="E93" s="87">
        <v>-2.25</v>
      </c>
      <c r="I93" s="11"/>
      <c r="J93" s="11"/>
      <c r="K93" s="75"/>
      <c r="L93" s="75"/>
      <c r="M93" s="75"/>
      <c r="N93" s="75"/>
    </row>
    <row r="94" spans="1:14" s="87" customFormat="1">
      <c r="A94" s="11"/>
      <c r="B94" s="11" t="s">
        <v>2082</v>
      </c>
      <c r="C94" s="11"/>
      <c r="E94" s="87">
        <v>-3.03</v>
      </c>
      <c r="I94" s="11"/>
      <c r="J94" s="11"/>
      <c r="K94" s="75"/>
      <c r="L94" s="75"/>
      <c r="M94" s="75"/>
      <c r="N94" s="75"/>
    </row>
    <row r="95" spans="1:14" s="87" customFormat="1">
      <c r="A95" s="375">
        <v>45982</v>
      </c>
      <c r="B95" s="11" t="s">
        <v>2084</v>
      </c>
      <c r="C95" s="11"/>
      <c r="E95" s="87">
        <v>-11</v>
      </c>
      <c r="I95" s="11"/>
      <c r="J95" s="11"/>
      <c r="K95" s="75"/>
      <c r="L95" s="75"/>
      <c r="M95" s="75"/>
      <c r="N95" s="75"/>
    </row>
    <row r="96" spans="1:14" s="87" customFormat="1">
      <c r="A96" s="11"/>
      <c r="B96" s="11" t="s">
        <v>2085</v>
      </c>
      <c r="C96" s="11"/>
      <c r="E96" s="87">
        <v>-24.43</v>
      </c>
      <c r="I96" s="11"/>
      <c r="J96" s="11"/>
      <c r="K96" s="75"/>
      <c r="L96" s="75"/>
      <c r="M96" s="75"/>
      <c r="N96" s="75"/>
    </row>
    <row r="97" spans="1:14" s="87" customFormat="1">
      <c r="A97" s="11"/>
      <c r="B97" s="11" t="s">
        <v>2086</v>
      </c>
      <c r="C97" s="11"/>
      <c r="E97" s="87">
        <v>-10</v>
      </c>
      <c r="I97" s="11"/>
      <c r="J97" s="11"/>
      <c r="K97" s="75"/>
      <c r="L97" s="75"/>
      <c r="M97" s="75"/>
      <c r="N97" s="75"/>
    </row>
    <row r="98" spans="1:14" s="87" customFormat="1">
      <c r="A98" s="375">
        <v>45982</v>
      </c>
      <c r="B98" s="11" t="s">
        <v>2087</v>
      </c>
      <c r="C98" s="11"/>
      <c r="E98" s="87">
        <v>-8</v>
      </c>
      <c r="I98" s="11"/>
      <c r="J98" s="11"/>
      <c r="K98" s="75"/>
      <c r="L98" s="75"/>
      <c r="M98" s="75"/>
      <c r="N98" s="75"/>
    </row>
    <row r="99" spans="1:14" s="87" customFormat="1">
      <c r="A99" s="11"/>
      <c r="B99" s="11"/>
      <c r="C99" s="11"/>
      <c r="E99" s="87">
        <v>-12.3</v>
      </c>
      <c r="I99" s="11"/>
      <c r="J99" s="11"/>
      <c r="K99" s="75"/>
      <c r="L99" s="75"/>
      <c r="M99" s="75"/>
      <c r="N99" s="75"/>
    </row>
    <row r="100" spans="1:14" s="87" customFormat="1">
      <c r="A100" s="375">
        <v>45983</v>
      </c>
      <c r="B100" s="11" t="s">
        <v>2082</v>
      </c>
      <c r="C100" s="11"/>
      <c r="E100" s="87">
        <v>-1.37</v>
      </c>
      <c r="I100" s="11"/>
      <c r="J100" s="11"/>
      <c r="K100" s="75"/>
      <c r="L100" s="75"/>
      <c r="M100" s="75"/>
      <c r="N100" s="75"/>
    </row>
    <row r="101" spans="1:14" s="87" customFormat="1">
      <c r="A101" s="11"/>
      <c r="B101" s="11" t="s">
        <v>2088</v>
      </c>
      <c r="C101" s="11"/>
      <c r="E101" s="87">
        <v>-20</v>
      </c>
      <c r="I101" s="11"/>
      <c r="J101" s="11"/>
      <c r="K101" s="75"/>
      <c r="L101" s="75"/>
      <c r="M101" s="75"/>
      <c r="N101" s="75"/>
    </row>
    <row r="102" spans="1:14" s="87" customFormat="1">
      <c r="A102" s="11"/>
      <c r="B102" s="11" t="s">
        <v>2088</v>
      </c>
      <c r="C102" s="11"/>
      <c r="E102" s="87">
        <v>-30</v>
      </c>
      <c r="I102" s="11"/>
      <c r="J102" s="11"/>
      <c r="K102" s="75"/>
      <c r="L102" s="75"/>
      <c r="M102" s="75"/>
      <c r="N102" s="75"/>
    </row>
    <row r="103" spans="1:14" s="87" customFormat="1">
      <c r="A103" s="11"/>
      <c r="B103" s="11" t="s">
        <v>2089</v>
      </c>
      <c r="C103" s="11"/>
      <c r="E103" s="87">
        <v>-138.22999999999999</v>
      </c>
      <c r="I103" s="11"/>
      <c r="J103" s="11"/>
      <c r="K103" s="75"/>
      <c r="L103" s="75"/>
      <c r="M103" s="75"/>
      <c r="N103" s="75"/>
    </row>
    <row r="104" spans="1:14" s="87" customFormat="1">
      <c r="A104" s="11"/>
      <c r="B104" s="11" t="s">
        <v>2090</v>
      </c>
      <c r="C104" s="11"/>
      <c r="E104" s="87">
        <v>-18.899999999999999</v>
      </c>
      <c r="I104" s="11"/>
      <c r="J104" s="11"/>
      <c r="K104" s="75"/>
      <c r="L104" s="75"/>
      <c r="M104" s="75"/>
      <c r="N104" s="75"/>
    </row>
    <row r="105" spans="1:14" s="87" customFormat="1">
      <c r="A105" s="375">
        <v>45983</v>
      </c>
      <c r="B105" s="11" t="s">
        <v>2092</v>
      </c>
      <c r="C105" s="11"/>
      <c r="E105" s="87">
        <v>-13.5</v>
      </c>
      <c r="I105" s="11"/>
      <c r="J105" s="11"/>
      <c r="K105" s="75"/>
      <c r="L105" s="75"/>
      <c r="M105" s="75"/>
      <c r="N105" s="75"/>
    </row>
    <row r="106" spans="1:14" s="87" customFormat="1">
      <c r="A106" s="375">
        <v>45984</v>
      </c>
      <c r="B106" s="11" t="s">
        <v>2091</v>
      </c>
      <c r="C106" s="11"/>
      <c r="E106" s="87">
        <v>-2.2999999999999998</v>
      </c>
      <c r="I106" s="11"/>
      <c r="J106" s="11"/>
      <c r="K106" s="75"/>
      <c r="L106" s="75"/>
      <c r="M106" s="75"/>
      <c r="N106" s="75"/>
    </row>
    <row r="107" spans="1:14" s="87" customFormat="1">
      <c r="A107" s="11"/>
      <c r="B107" s="11"/>
      <c r="C107" s="11"/>
      <c r="E107" s="87">
        <v>-3</v>
      </c>
      <c r="I107" s="11"/>
      <c r="J107" s="11"/>
      <c r="K107" s="75"/>
      <c r="L107" s="75"/>
      <c r="M107" s="75"/>
      <c r="N107" s="75"/>
    </row>
    <row r="108" spans="1:14" s="87" customFormat="1">
      <c r="A108" s="11"/>
      <c r="B108" s="11" t="s">
        <v>2094</v>
      </c>
      <c r="C108" s="11"/>
      <c r="E108" s="87">
        <v>-21.8</v>
      </c>
      <c r="I108" s="11"/>
      <c r="J108" s="11"/>
      <c r="K108" s="75"/>
      <c r="L108" s="75"/>
      <c r="M108" s="75"/>
      <c r="N108" s="75"/>
    </row>
    <row r="109" spans="1:14" s="87" customFormat="1">
      <c r="A109" s="11"/>
      <c r="B109" s="11"/>
      <c r="C109" s="11"/>
      <c r="E109" s="87">
        <v>-4</v>
      </c>
      <c r="I109" s="11"/>
      <c r="J109" s="11"/>
      <c r="K109" s="75"/>
      <c r="L109" s="75"/>
      <c r="M109" s="75"/>
      <c r="N109" s="75"/>
    </row>
    <row r="110" spans="1:14" s="87" customFormat="1">
      <c r="A110" s="11"/>
      <c r="B110" s="11" t="s">
        <v>2093</v>
      </c>
      <c r="C110" s="11"/>
      <c r="E110" s="87">
        <v>-74.83</v>
      </c>
      <c r="I110" s="11"/>
      <c r="J110" s="11"/>
      <c r="K110" s="75"/>
      <c r="L110" s="75"/>
      <c r="M110" s="75"/>
      <c r="N110" s="75"/>
    </row>
    <row r="111" spans="1:14" s="87" customFormat="1">
      <c r="A111" s="11"/>
      <c r="B111" s="11"/>
      <c r="C111" s="11"/>
      <c r="E111" s="87">
        <v>-4.5999999999999996</v>
      </c>
      <c r="I111" s="11"/>
      <c r="J111" s="11"/>
      <c r="K111" s="75"/>
      <c r="L111" s="75"/>
      <c r="M111" s="75"/>
      <c r="N111" s="75"/>
    </row>
    <row r="112" spans="1:14" s="87" customFormat="1" ht="15">
      <c r="A112" s="11"/>
      <c r="B112" s="11"/>
      <c r="C112" s="11"/>
      <c r="E112" s="101" t="s">
        <v>76</v>
      </c>
      <c r="I112" s="11"/>
      <c r="J112" s="11"/>
      <c r="K112" s="75"/>
      <c r="L112" s="75"/>
      <c r="M112" s="75"/>
      <c r="N112" s="75"/>
    </row>
    <row r="113" spans="1:14" s="87" customFormat="1">
      <c r="A113" s="11"/>
      <c r="B113" s="11"/>
      <c r="C113" s="11"/>
      <c r="I113" s="11"/>
      <c r="J113" s="11"/>
      <c r="K113" s="75"/>
      <c r="L113" s="75"/>
      <c r="M113" s="75"/>
      <c r="N113" s="75"/>
    </row>
    <row r="114" spans="1:14" s="87" customFormat="1">
      <c r="A114" s="11"/>
      <c r="B114" s="11"/>
      <c r="C114" s="11"/>
      <c r="I114" s="11"/>
      <c r="J114" s="11"/>
      <c r="K114" s="75"/>
      <c r="L114" s="75"/>
      <c r="M114" s="75"/>
      <c r="N114" s="75"/>
    </row>
    <row r="115" spans="1:14" s="74" customFormat="1">
      <c r="A115" s="96">
        <v>45880</v>
      </c>
      <c r="B115" s="103" t="s">
        <v>1927</v>
      </c>
      <c r="C115" s="102">
        <v>5126</v>
      </c>
      <c r="D115" s="87" t="s">
        <v>1891</v>
      </c>
      <c r="E115" s="87">
        <v>-854.33</v>
      </c>
      <c r="K115" s="75"/>
      <c r="L115" s="75"/>
      <c r="M115" s="75"/>
      <c r="N115" s="75"/>
    </row>
    <row r="116" spans="1:14" s="74" customFormat="1">
      <c r="A116" s="96">
        <v>45880</v>
      </c>
      <c r="B116" s="103" t="s">
        <v>1928</v>
      </c>
      <c r="C116" s="102">
        <v>16598.900000000001</v>
      </c>
      <c r="D116" s="87" t="s">
        <v>1948</v>
      </c>
      <c r="E116" s="87">
        <v>-1844.32</v>
      </c>
      <c r="K116" s="75"/>
      <c r="L116" s="75"/>
      <c r="M116" s="75"/>
      <c r="N116" s="75"/>
    </row>
    <row r="117" spans="1:14" s="87" customFormat="1">
      <c r="A117" s="96"/>
      <c r="B117" s="103"/>
      <c r="C117" s="102"/>
      <c r="K117" s="75"/>
      <c r="L117" s="75"/>
      <c r="M117" s="75"/>
      <c r="N117" s="75"/>
    </row>
    <row r="118" spans="1:14" s="87" customFormat="1">
      <c r="A118" s="96">
        <v>45880</v>
      </c>
      <c r="B118" s="103" t="s">
        <v>1927</v>
      </c>
      <c r="C118" s="102">
        <v>5126</v>
      </c>
      <c r="D118" s="87" t="s">
        <v>1892</v>
      </c>
      <c r="E118" s="87">
        <v>-854.33</v>
      </c>
      <c r="K118" s="75"/>
      <c r="L118" s="75"/>
      <c r="M118" s="75"/>
      <c r="N118" s="75"/>
    </row>
    <row r="119" spans="1:14" s="87" customFormat="1">
      <c r="A119" s="96">
        <v>45880</v>
      </c>
      <c r="B119" s="103" t="s">
        <v>1928</v>
      </c>
      <c r="C119" s="102">
        <v>16598.900000000001</v>
      </c>
      <c r="D119" s="87" t="s">
        <v>1949</v>
      </c>
      <c r="E119" s="87">
        <v>-1844.32</v>
      </c>
      <c r="K119" s="75"/>
      <c r="L119" s="75"/>
      <c r="M119" s="75"/>
      <c r="N119" s="75"/>
    </row>
    <row r="120" spans="1:14" s="87" customFormat="1">
      <c r="A120" s="96"/>
      <c r="B120" s="103"/>
      <c r="C120" s="102"/>
      <c r="K120" s="75"/>
      <c r="L120" s="75"/>
      <c r="M120" s="75"/>
      <c r="N120" s="75"/>
    </row>
    <row r="121" spans="1:14" s="87" customFormat="1">
      <c r="A121" s="96">
        <v>45880</v>
      </c>
      <c r="B121" s="103" t="s">
        <v>1928</v>
      </c>
      <c r="C121" s="102">
        <v>16598.900000000001</v>
      </c>
      <c r="D121" s="87" t="s">
        <v>1950</v>
      </c>
      <c r="E121" s="87">
        <v>-1844.32</v>
      </c>
      <c r="K121" s="75"/>
      <c r="L121" s="75"/>
      <c r="M121" s="75"/>
      <c r="N121" s="75"/>
    </row>
    <row r="122" spans="1:14" s="87" customFormat="1">
      <c r="A122" s="96">
        <v>45880</v>
      </c>
      <c r="B122" s="103" t="s">
        <v>1928</v>
      </c>
      <c r="C122" s="102">
        <v>16598.900000000001</v>
      </c>
      <c r="D122" s="87" t="s">
        <v>1951</v>
      </c>
      <c r="E122" s="87">
        <v>-1844.32</v>
      </c>
      <c r="K122" s="75"/>
      <c r="L122" s="75"/>
      <c r="M122" s="75"/>
      <c r="N122" s="75"/>
    </row>
    <row r="123" spans="1:14" s="87" customFormat="1">
      <c r="A123" s="96">
        <v>45880</v>
      </c>
      <c r="B123" s="103" t="s">
        <v>1928</v>
      </c>
      <c r="C123" s="102">
        <v>16598.900000000001</v>
      </c>
      <c r="D123" s="87" t="s">
        <v>1952</v>
      </c>
      <c r="E123" s="87">
        <v>-1844.32</v>
      </c>
      <c r="K123" s="75"/>
      <c r="L123" s="75"/>
      <c r="M123" s="75"/>
      <c r="N123" s="75"/>
    </row>
    <row r="124" spans="1:14" s="74" customFormat="1">
      <c r="A124" s="96"/>
      <c r="B124" s="103"/>
      <c r="C124" s="102"/>
      <c r="K124" s="75"/>
      <c r="L124" s="75"/>
      <c r="M124" s="75"/>
      <c r="N124" s="75"/>
    </row>
    <row r="125" spans="1:14" s="74" customFormat="1">
      <c r="A125" s="96">
        <v>45901</v>
      </c>
      <c r="B125" s="103" t="s">
        <v>1992</v>
      </c>
      <c r="C125" s="102">
        <v>2307</v>
      </c>
      <c r="D125" s="87" t="s">
        <v>1889</v>
      </c>
      <c r="E125" s="87">
        <v>-384.5</v>
      </c>
      <c r="F125" s="87">
        <v>0</v>
      </c>
      <c r="K125" s="75"/>
      <c r="L125" s="75"/>
      <c r="M125" s="75"/>
      <c r="N125" s="75"/>
    </row>
    <row r="126" spans="1:14" s="74" customFormat="1">
      <c r="A126" s="96">
        <v>45901</v>
      </c>
      <c r="B126" s="103" t="s">
        <v>1992</v>
      </c>
      <c r="C126" s="102">
        <v>2307</v>
      </c>
      <c r="D126" s="87" t="s">
        <v>1890</v>
      </c>
      <c r="E126" s="87">
        <v>-384.5</v>
      </c>
      <c r="K126" s="75"/>
      <c r="L126" s="75"/>
      <c r="M126" s="75"/>
      <c r="N126" s="75"/>
    </row>
    <row r="127" spans="1:14" s="74" customFormat="1">
      <c r="A127" s="96">
        <v>45901</v>
      </c>
      <c r="B127" s="103" t="s">
        <v>1992</v>
      </c>
      <c r="C127" s="102">
        <v>2307</v>
      </c>
      <c r="D127" s="87" t="s">
        <v>1891</v>
      </c>
      <c r="E127" s="87">
        <v>-384.5</v>
      </c>
      <c r="K127" s="75"/>
      <c r="L127" s="75"/>
      <c r="M127" s="75"/>
      <c r="N127" s="75"/>
    </row>
    <row r="128" spans="1:14" s="74" customFormat="1">
      <c r="A128" s="96">
        <v>45901</v>
      </c>
      <c r="B128" s="103" t="s">
        <v>1992</v>
      </c>
      <c r="C128" s="102">
        <v>2307</v>
      </c>
      <c r="D128" s="87" t="s">
        <v>1892</v>
      </c>
      <c r="E128" s="87">
        <v>-384.5</v>
      </c>
      <c r="K128" s="75"/>
      <c r="L128" s="75"/>
      <c r="M128" s="75"/>
      <c r="N128" s="75"/>
    </row>
    <row r="129" spans="1:14" s="74" customFormat="1">
      <c r="A129" s="96"/>
      <c r="B129" s="102"/>
      <c r="C129" s="102"/>
      <c r="K129" s="75"/>
      <c r="L129" s="75"/>
      <c r="M129" s="75"/>
      <c r="N129" s="75"/>
    </row>
    <row r="130" spans="1:14" s="74" customFormat="1">
      <c r="A130" s="99"/>
      <c r="B130" s="100" t="s">
        <v>77</v>
      </c>
      <c r="C130" s="99"/>
      <c r="E130" s="74">
        <f>SUM(E131:E149)</f>
        <v>0</v>
      </c>
      <c r="K130" s="75"/>
      <c r="L130" s="75"/>
      <c r="M130" s="75"/>
      <c r="N130" s="75"/>
    </row>
    <row r="131" spans="1:14" s="74" customFormat="1">
      <c r="A131" s="96"/>
      <c r="B131" s="102"/>
      <c r="C131" s="102"/>
      <c r="K131" s="75"/>
      <c r="L131" s="75"/>
      <c r="M131" s="75"/>
      <c r="N131" s="75"/>
    </row>
    <row r="132" spans="1:14" s="74" customFormat="1">
      <c r="A132" s="96"/>
      <c r="B132" s="102"/>
      <c r="C132" s="102"/>
      <c r="K132" s="75"/>
      <c r="L132" s="75"/>
      <c r="M132" s="75"/>
      <c r="N132" s="75"/>
    </row>
    <row r="133" spans="1:14" s="74" customFormat="1">
      <c r="A133" s="96"/>
      <c r="B133" s="3"/>
      <c r="C133" s="102"/>
      <c r="K133" s="75"/>
      <c r="L133" s="75"/>
      <c r="M133" s="75"/>
      <c r="N133" s="75"/>
    </row>
    <row r="134" spans="1:14" s="74" customFormat="1">
      <c r="A134" s="96"/>
      <c r="B134" s="3"/>
      <c r="C134" s="102"/>
      <c r="K134" s="75"/>
      <c r="L134" s="75"/>
      <c r="M134" s="75"/>
      <c r="N134" s="75"/>
    </row>
    <row r="135" spans="1:14" s="74" customFormat="1">
      <c r="A135" s="96"/>
      <c r="B135" s="3"/>
      <c r="C135" s="102"/>
      <c r="K135" s="75"/>
      <c r="L135" s="75"/>
      <c r="M135" s="75"/>
      <c r="N135" s="75"/>
    </row>
    <row r="136" spans="1:14" s="74" customFormat="1">
      <c r="A136" s="96"/>
      <c r="B136" s="3"/>
      <c r="C136" s="102"/>
      <c r="K136" s="75"/>
      <c r="L136" s="75"/>
      <c r="M136" s="75"/>
      <c r="N136" s="75"/>
    </row>
    <row r="137" spans="1:14" s="74" customFormat="1">
      <c r="A137" s="96"/>
      <c r="B137" s="3"/>
      <c r="C137" s="102"/>
      <c r="K137" s="75"/>
      <c r="L137" s="75"/>
      <c r="M137" s="75"/>
      <c r="N137" s="75"/>
    </row>
    <row r="138" spans="1:14" s="74" customFormat="1">
      <c r="A138" s="96"/>
      <c r="B138" s="3"/>
      <c r="C138" s="102"/>
      <c r="K138" s="75"/>
      <c r="L138" s="75"/>
      <c r="M138" s="75"/>
      <c r="N138" s="75"/>
    </row>
    <row r="139" spans="1:14" s="74" customFormat="1">
      <c r="A139" s="96"/>
      <c r="B139" s="3"/>
      <c r="C139" s="102"/>
      <c r="K139" s="75"/>
      <c r="L139" s="75"/>
      <c r="M139" s="75"/>
      <c r="N139" s="75"/>
    </row>
    <row r="140" spans="1:14" s="74" customFormat="1">
      <c r="A140" s="96"/>
      <c r="B140" s="3"/>
      <c r="C140" s="102"/>
      <c r="K140" s="75"/>
      <c r="L140" s="75"/>
      <c r="M140" s="75"/>
      <c r="N140" s="75"/>
    </row>
    <row r="141" spans="1:14" s="74" customFormat="1">
      <c r="A141" s="96"/>
      <c r="B141" s="3"/>
      <c r="C141" s="102"/>
      <c r="K141" s="75"/>
      <c r="L141" s="75"/>
      <c r="M141" s="75"/>
      <c r="N141" s="75"/>
    </row>
    <row r="142" spans="1:14" s="74" customFormat="1">
      <c r="A142" s="96"/>
      <c r="B142" s="3"/>
      <c r="C142" s="102"/>
      <c r="K142" s="75"/>
      <c r="L142" s="75"/>
      <c r="M142" s="75"/>
      <c r="N142" s="75"/>
    </row>
    <row r="143" spans="1:14" s="74" customFormat="1">
      <c r="A143" s="96"/>
      <c r="B143" s="3"/>
      <c r="C143" s="102"/>
      <c r="K143" s="75"/>
      <c r="L143" s="75"/>
      <c r="M143" s="75"/>
      <c r="N143" s="75"/>
    </row>
    <row r="144" spans="1:14" s="74" customFormat="1" ht="15">
      <c r="A144" s="96"/>
      <c r="B144" s="3"/>
      <c r="C144" s="102"/>
      <c r="E144" s="101" t="s">
        <v>76</v>
      </c>
      <c r="K144" s="75"/>
      <c r="L144" s="75"/>
      <c r="M144" s="75"/>
      <c r="N144" s="75"/>
    </row>
    <row r="145" spans="1:14" s="74" customFormat="1">
      <c r="A145" s="96"/>
      <c r="B145" s="3"/>
      <c r="C145" s="102"/>
      <c r="K145" s="75"/>
      <c r="L145" s="75"/>
      <c r="M145" s="75"/>
      <c r="N145" s="75"/>
    </row>
    <row r="146" spans="1:14" s="74" customFormat="1">
      <c r="A146" s="96"/>
      <c r="B146" s="3"/>
      <c r="C146" s="102"/>
      <c r="K146" s="75"/>
      <c r="L146" s="75"/>
      <c r="M146" s="75"/>
      <c r="N146" s="75"/>
    </row>
    <row r="147" spans="1:14" s="74" customFormat="1">
      <c r="A147" s="96"/>
      <c r="B147" s="3"/>
      <c r="C147" s="102"/>
      <c r="K147" s="75"/>
      <c r="L147" s="75"/>
      <c r="M147" s="75"/>
      <c r="N147" s="75"/>
    </row>
    <row r="148" spans="1:14" s="74" customFormat="1">
      <c r="A148" s="96"/>
      <c r="B148" s="3"/>
      <c r="C148" s="102"/>
      <c r="K148" s="75"/>
      <c r="L148" s="75"/>
      <c r="M148" s="75"/>
      <c r="N148" s="75"/>
    </row>
    <row r="149" spans="1:14" s="74" customFormat="1">
      <c r="A149" s="96"/>
      <c r="B149" s="3"/>
      <c r="C149" s="102"/>
      <c r="K149" s="75"/>
      <c r="L149" s="75"/>
      <c r="M149" s="75"/>
      <c r="N149" s="75"/>
    </row>
    <row r="150" spans="1:14" s="74" customFormat="1">
      <c r="A150" s="555" t="s">
        <v>2111</v>
      </c>
      <c r="B150" s="100" t="s">
        <v>128</v>
      </c>
      <c r="C150" s="99">
        <v>2025</v>
      </c>
      <c r="D150" s="87"/>
      <c r="E150" s="87"/>
      <c r="F150" s="393"/>
      <c r="G150" s="87">
        <f>SUM(G153:G179)</f>
        <v>838609.5</v>
      </c>
      <c r="H150" s="87"/>
      <c r="I150" s="526">
        <v>124688.57</v>
      </c>
      <c r="J150" s="389">
        <f>G150-I150</f>
        <v>713920.92999999993</v>
      </c>
      <c r="K150" s="542"/>
      <c r="L150" s="75"/>
      <c r="M150" s="75"/>
      <c r="N150" s="75"/>
    </row>
    <row r="151" spans="1:14" s="74" customFormat="1">
      <c r="A151" s="555"/>
      <c r="B151" s="100"/>
      <c r="C151" s="99"/>
      <c r="D151" s="87"/>
      <c r="E151" s="87"/>
      <c r="F151" s="393"/>
      <c r="G151" s="87"/>
      <c r="H151" s="87"/>
      <c r="I151" s="87"/>
      <c r="J151" s="389"/>
      <c r="K151" s="542"/>
      <c r="L151" s="75"/>
      <c r="M151" s="75"/>
      <c r="N151" s="75"/>
    </row>
    <row r="152" spans="1:14" s="74" customFormat="1">
      <c r="A152" s="555"/>
      <c r="B152" s="100"/>
      <c r="C152" s="99"/>
      <c r="D152" s="87"/>
      <c r="E152" s="87" t="s">
        <v>129</v>
      </c>
      <c r="F152" s="393"/>
      <c r="G152" s="87"/>
      <c r="H152" s="87"/>
      <c r="I152" s="87"/>
      <c r="J152" s="389"/>
      <c r="K152" s="542"/>
      <c r="L152" s="75"/>
      <c r="M152" s="75"/>
      <c r="N152" s="75"/>
    </row>
    <row r="153" spans="1:14">
      <c r="A153" s="94"/>
      <c r="B153" s="87"/>
      <c r="C153" s="87"/>
      <c r="D153" s="87"/>
      <c r="E153" s="87"/>
      <c r="F153" s="393" t="s">
        <v>902</v>
      </c>
      <c r="G153" s="526">
        <v>124688.57</v>
      </c>
      <c r="H153" s="87"/>
      <c r="I153" s="87">
        <f>SUM(I155:I156)</f>
        <v>124688.57</v>
      </c>
      <c r="J153" s="389"/>
      <c r="K153" s="542"/>
    </row>
    <row r="154" spans="1:14" s="11" customFormat="1">
      <c r="A154" s="94"/>
      <c r="B154" s="87"/>
      <c r="C154" s="87"/>
      <c r="D154" s="87"/>
      <c r="E154" s="87"/>
      <c r="F154" s="393"/>
      <c r="G154" s="526">
        <v>-124688.57</v>
      </c>
      <c r="H154" s="87"/>
      <c r="I154" s="87"/>
      <c r="J154" s="389"/>
      <c r="K154" s="542"/>
      <c r="L154" s="75"/>
      <c r="M154" s="75"/>
      <c r="N154" s="75"/>
    </row>
    <row r="155" spans="1:14">
      <c r="A155" s="556">
        <v>46022</v>
      </c>
      <c r="B155" s="87" t="s">
        <v>131</v>
      </c>
      <c r="C155" s="12"/>
      <c r="D155" s="12"/>
      <c r="E155" s="87"/>
      <c r="F155" s="393"/>
      <c r="G155" s="14">
        <v>563794.75</v>
      </c>
      <c r="H155" s="14"/>
      <c r="I155" s="405">
        <f>I150-I156</f>
        <v>84723.82</v>
      </c>
      <c r="J155" s="389">
        <f>G155-I155</f>
        <v>479070.93</v>
      </c>
      <c r="K155" s="542"/>
    </row>
    <row r="156" spans="1:14">
      <c r="A156" s="556"/>
      <c r="B156" s="87" t="s">
        <v>2122</v>
      </c>
      <c r="C156" s="12"/>
      <c r="D156" s="12"/>
      <c r="E156" s="87"/>
      <c r="F156" s="393"/>
      <c r="G156" s="14">
        <v>39964.75</v>
      </c>
      <c r="H156" s="14"/>
      <c r="I156" s="405">
        <f>G156</f>
        <v>39964.75</v>
      </c>
      <c r="J156" s="389">
        <f>G156-I156</f>
        <v>0</v>
      </c>
      <c r="K156" s="542"/>
    </row>
    <row r="157" spans="1:14" s="11" customFormat="1">
      <c r="A157" s="561"/>
      <c r="B157" s="87"/>
      <c r="C157" s="12"/>
      <c r="D157" s="12"/>
      <c r="E157" s="87"/>
      <c r="F157" s="393"/>
      <c r="G157" s="14"/>
      <c r="H157" s="14"/>
      <c r="I157" s="680" t="s">
        <v>2126</v>
      </c>
      <c r="J157" s="389" t="s">
        <v>2128</v>
      </c>
      <c r="K157" s="542"/>
      <c r="L157" s="75"/>
      <c r="M157" s="75"/>
      <c r="N157" s="75"/>
    </row>
    <row r="158" spans="1:14" s="11" customFormat="1">
      <c r="A158" s="561"/>
      <c r="B158" s="87"/>
      <c r="C158" s="12"/>
      <c r="D158" s="12"/>
      <c r="E158" s="87"/>
      <c r="F158" s="393"/>
      <c r="G158" s="14"/>
      <c r="H158" s="14"/>
      <c r="I158" s="680" t="s">
        <v>2127</v>
      </c>
      <c r="J158" s="389"/>
      <c r="K158" s="542"/>
      <c r="L158" s="75"/>
      <c r="M158" s="75"/>
      <c r="N158" s="75"/>
    </row>
    <row r="159" spans="1:14" s="11" customFormat="1">
      <c r="A159" s="561"/>
      <c r="B159" s="87"/>
      <c r="C159" s="12"/>
      <c r="D159" s="12"/>
      <c r="E159" s="87"/>
      <c r="F159" s="393"/>
      <c r="G159" s="14"/>
      <c r="H159" s="14"/>
      <c r="I159" s="395"/>
      <c r="J159" s="87"/>
      <c r="K159" s="542"/>
      <c r="L159" s="75"/>
      <c r="M159" s="75"/>
      <c r="N159" s="75"/>
    </row>
    <row r="160" spans="1:14">
      <c r="A160" s="94"/>
      <c r="B160" s="87"/>
      <c r="C160" s="12"/>
      <c r="D160" s="12"/>
      <c r="E160" s="87"/>
      <c r="F160" s="393"/>
      <c r="G160" s="14"/>
      <c r="H160" s="14"/>
      <c r="I160" s="87" t="s">
        <v>1954</v>
      </c>
      <c r="J160" s="11"/>
      <c r="K160" s="542"/>
    </row>
    <row r="161" spans="1:11">
      <c r="A161" s="94">
        <v>45659</v>
      </c>
      <c r="B161" s="79" t="s">
        <v>1594</v>
      </c>
      <c r="C161" s="110">
        <v>0</v>
      </c>
      <c r="D161" s="111">
        <v>30.86</v>
      </c>
      <c r="E161" s="112">
        <f t="shared" ref="E161:E162" si="1">D161*C161</f>
        <v>0</v>
      </c>
      <c r="F161" s="393"/>
      <c r="G161" s="14">
        <f t="shared" ref="G161:G162" si="2">F161*C161</f>
        <v>0</v>
      </c>
      <c r="H161" s="14"/>
      <c r="I161" s="87">
        <f>G161-E161</f>
        <v>0</v>
      </c>
      <c r="J161" s="407">
        <f>SUM(G161:G161)</f>
        <v>0</v>
      </c>
      <c r="K161" s="11"/>
    </row>
    <row r="162" spans="1:11" ht="13.5" thickBot="1">
      <c r="A162" s="94">
        <v>45659</v>
      </c>
      <c r="B162" s="79" t="s">
        <v>1594</v>
      </c>
      <c r="C162" s="110">
        <v>0</v>
      </c>
      <c r="D162" s="111">
        <v>30.86</v>
      </c>
      <c r="E162" s="112">
        <f t="shared" si="1"/>
        <v>0</v>
      </c>
      <c r="F162" s="393"/>
      <c r="G162" s="14">
        <f t="shared" si="2"/>
        <v>0</v>
      </c>
      <c r="H162" s="14"/>
      <c r="I162" s="87">
        <f>G162-E162</f>
        <v>0</v>
      </c>
      <c r="J162" s="407">
        <f>SUM(G162:G162)</f>
        <v>0</v>
      </c>
      <c r="K162" s="11"/>
    </row>
    <row r="163" spans="1:11" ht="13.5" thickBot="1">
      <c r="A163" s="94"/>
      <c r="B163" s="87"/>
      <c r="C163" s="12"/>
      <c r="D163" s="12"/>
      <c r="E163" s="87">
        <f>SUM(E161:E162)</f>
        <v>0</v>
      </c>
      <c r="F163" s="393"/>
      <c r="G163" s="87"/>
      <c r="H163" s="87"/>
      <c r="I163" s="113">
        <f>SUM(I161:I162)</f>
        <v>0</v>
      </c>
      <c r="J163" s="568">
        <f>(SUM(G161:G162))-(SUM(E161:E162))</f>
        <v>0</v>
      </c>
      <c r="K163" s="640">
        <f>SUM(G161:G162)</f>
        <v>0</v>
      </c>
    </row>
    <row r="164" spans="1:11">
      <c r="A164" s="94"/>
      <c r="B164" s="87"/>
      <c r="C164" s="12"/>
      <c r="D164" s="12"/>
      <c r="E164" s="87"/>
      <c r="F164" s="393"/>
      <c r="G164" s="87"/>
      <c r="H164" s="87"/>
      <c r="I164" s="87"/>
      <c r="J164" s="87"/>
      <c r="K164" s="11"/>
    </row>
    <row r="165" spans="1:11">
      <c r="A165" s="94">
        <v>45345</v>
      </c>
      <c r="B165" s="79" t="s">
        <v>135</v>
      </c>
      <c r="C165" s="114">
        <v>0</v>
      </c>
      <c r="D165" s="391">
        <v>1.064435</v>
      </c>
      <c r="E165" s="112">
        <f>D165*C165</f>
        <v>0</v>
      </c>
      <c r="F165" s="425"/>
      <c r="G165" s="14">
        <f>F165*C165</f>
        <v>0</v>
      </c>
      <c r="H165" s="14"/>
      <c r="I165" s="87">
        <f>G165-E165</f>
        <v>0</v>
      </c>
      <c r="J165" s="87"/>
      <c r="K165" s="11"/>
    </row>
    <row r="166" spans="1:11">
      <c r="A166" s="557"/>
      <c r="B166" s="434"/>
      <c r="C166" s="565"/>
      <c r="D166" s="566"/>
      <c r="E166" s="437"/>
      <c r="F166" s="425"/>
      <c r="G166" s="14"/>
      <c r="H166" s="14"/>
      <c r="I166" s="87"/>
      <c r="J166" s="87"/>
      <c r="K166" s="11"/>
    </row>
    <row r="167" spans="1:11">
      <c r="A167" s="94">
        <v>45400</v>
      </c>
      <c r="B167" s="79" t="s">
        <v>136</v>
      </c>
      <c r="C167" s="110">
        <v>0</v>
      </c>
      <c r="D167" s="80">
        <v>135</v>
      </c>
      <c r="E167" s="112">
        <f>D167*C167</f>
        <v>0</v>
      </c>
      <c r="F167" s="393"/>
      <c r="G167" s="14">
        <f>F167*C167</f>
        <v>0</v>
      </c>
      <c r="H167" s="14"/>
      <c r="I167" s="87">
        <f>G167-E167</f>
        <v>0</v>
      </c>
      <c r="J167" s="87"/>
      <c r="K167" s="11"/>
    </row>
    <row r="168" spans="1:11">
      <c r="A168" s="94">
        <v>45418</v>
      </c>
      <c r="B168" s="79" t="s">
        <v>137</v>
      </c>
      <c r="C168" s="110">
        <v>0</v>
      </c>
      <c r="D168" s="80">
        <v>30.5</v>
      </c>
      <c r="E168" s="112">
        <f>D168*C168</f>
        <v>0</v>
      </c>
      <c r="F168" s="393"/>
      <c r="G168" s="14">
        <f>F168*C168</f>
        <v>0</v>
      </c>
      <c r="H168" s="14"/>
      <c r="I168" s="87">
        <f>G168-E168</f>
        <v>0</v>
      </c>
      <c r="J168" s="87"/>
      <c r="K168" s="11"/>
    </row>
    <row r="169" spans="1:11" ht="13.5" thickBot="1">
      <c r="A169" s="94">
        <v>45418</v>
      </c>
      <c r="B169" s="79" t="s">
        <v>138</v>
      </c>
      <c r="C169" s="110">
        <v>0</v>
      </c>
      <c r="D169" s="80">
        <v>37.115000000000002</v>
      </c>
      <c r="E169" s="112">
        <f>D169*C169</f>
        <v>0</v>
      </c>
      <c r="F169" s="393"/>
      <c r="G169" s="14">
        <f>F169*C169</f>
        <v>0</v>
      </c>
      <c r="H169" s="14"/>
      <c r="I169" s="87">
        <f>G169-E169</f>
        <v>0</v>
      </c>
      <c r="J169" s="407">
        <f>SUM(G165:G169)</f>
        <v>0</v>
      </c>
      <c r="K169" s="11"/>
    </row>
    <row r="170" spans="1:11" ht="13.5" thickBot="1">
      <c r="A170" s="94"/>
      <c r="B170" s="87"/>
      <c r="C170" s="12"/>
      <c r="D170" s="12"/>
      <c r="E170" s="87">
        <f>SUM(E165:E169)</f>
        <v>0</v>
      </c>
      <c r="F170" s="393"/>
      <c r="G170" s="87"/>
      <c r="H170" s="87"/>
      <c r="I170" s="87">
        <f>K170-E170</f>
        <v>0</v>
      </c>
      <c r="J170" s="568">
        <f>(SUM(G165:G169))-(SUM(E165:E169))</f>
        <v>0</v>
      </c>
      <c r="K170" s="640">
        <f>SUM(G165:G169)</f>
        <v>0</v>
      </c>
    </row>
    <row r="171" spans="1:11">
      <c r="A171" s="94"/>
      <c r="B171" s="87"/>
      <c r="C171" s="87"/>
      <c r="D171" s="87"/>
      <c r="E171" s="14"/>
      <c r="F171" s="393"/>
      <c r="G171" s="87"/>
      <c r="H171" s="87"/>
      <c r="I171" s="87"/>
      <c r="J171" s="87"/>
      <c r="K171" s="11"/>
    </row>
    <row r="172" spans="1:11">
      <c r="A172" s="94">
        <v>45509</v>
      </c>
      <c r="B172" s="79" t="s">
        <v>1722</v>
      </c>
      <c r="C172" s="110">
        <v>1</v>
      </c>
      <c r="D172" s="80">
        <v>2500</v>
      </c>
      <c r="E172" s="112">
        <f>D172*C172</f>
        <v>2500</v>
      </c>
      <c r="F172" s="393">
        <v>6000</v>
      </c>
      <c r="G172" s="14">
        <f>C172*F172</f>
        <v>6000</v>
      </c>
      <c r="H172" s="14"/>
      <c r="I172" s="87">
        <f>G172-E172</f>
        <v>3500</v>
      </c>
      <c r="J172" s="87"/>
      <c r="K172" s="11"/>
    </row>
    <row r="173" spans="1:11">
      <c r="A173" s="94">
        <v>45509</v>
      </c>
      <c r="B173" s="79" t="s">
        <v>140</v>
      </c>
      <c r="C173" s="110">
        <v>16</v>
      </c>
      <c r="D173" s="80">
        <v>4100</v>
      </c>
      <c r="E173" s="112">
        <f>D173*C173</f>
        <v>65600</v>
      </c>
      <c r="F173" s="393">
        <f>F172*1.73</f>
        <v>10380</v>
      </c>
      <c r="G173" s="14">
        <f>C173*F173</f>
        <v>166080</v>
      </c>
      <c r="H173" s="14"/>
      <c r="I173" s="87">
        <f>G173-E173</f>
        <v>100480</v>
      </c>
      <c r="J173" s="87"/>
      <c r="K173" s="11"/>
    </row>
    <row r="174" spans="1:11" ht="13.5" thickBot="1">
      <c r="A174" s="94">
        <v>45509</v>
      </c>
      <c r="B174" s="79" t="s">
        <v>141</v>
      </c>
      <c r="C174" s="110">
        <v>1</v>
      </c>
      <c r="D174" s="80">
        <v>16200</v>
      </c>
      <c r="E174" s="112">
        <f>D174*C174</f>
        <v>16200</v>
      </c>
      <c r="F174" s="393">
        <f>F173*4</f>
        <v>41520</v>
      </c>
      <c r="G174" s="14">
        <f>C174*F174</f>
        <v>41520</v>
      </c>
      <c r="H174" s="14"/>
      <c r="I174" s="87">
        <f>G174-E174</f>
        <v>25320</v>
      </c>
      <c r="J174" s="407">
        <f>SUM(G172:G174)</f>
        <v>213600</v>
      </c>
      <c r="K174" s="11"/>
    </row>
    <row r="175" spans="1:11" ht="13.5" thickBot="1">
      <c r="A175" s="94"/>
      <c r="B175" s="87"/>
      <c r="C175" s="12"/>
      <c r="D175" s="12"/>
      <c r="E175" s="87">
        <f>SUM(E172:E174)</f>
        <v>84300</v>
      </c>
      <c r="F175" s="393"/>
      <c r="G175" s="87"/>
      <c r="H175" s="87"/>
      <c r="I175" s="87"/>
      <c r="J175" s="568">
        <f>(SUM(G172:G174))-(SUM(E172:E174))</f>
        <v>129300</v>
      </c>
      <c r="K175" s="640">
        <f>SUM(G169:G174)</f>
        <v>213600</v>
      </c>
    </row>
    <row r="176" spans="1:11">
      <c r="A176" s="94"/>
      <c r="B176" s="87" t="s">
        <v>142</v>
      </c>
      <c r="C176" s="116">
        <v>33.250599999999999</v>
      </c>
      <c r="D176" s="12"/>
      <c r="E176" s="87"/>
      <c r="F176" s="393"/>
      <c r="G176" s="14"/>
      <c r="H176" s="14"/>
      <c r="I176" s="87"/>
      <c r="J176" s="87"/>
      <c r="K176" s="542"/>
    </row>
    <row r="177" spans="1:14">
      <c r="A177" s="94"/>
      <c r="B177" s="87" t="s">
        <v>143</v>
      </c>
      <c r="C177" s="116">
        <v>225</v>
      </c>
      <c r="D177" s="12">
        <v>50</v>
      </c>
      <c r="E177" s="112">
        <f>D177*C177</f>
        <v>11250</v>
      </c>
      <c r="F177" s="393">
        <v>50</v>
      </c>
      <c r="G177" s="14">
        <f>C177*F177</f>
        <v>11250</v>
      </c>
      <c r="H177" s="14"/>
      <c r="I177" s="87">
        <f>G177-E177</f>
        <v>0</v>
      </c>
      <c r="J177" s="407">
        <f>SUM(G175:G177)</f>
        <v>11250</v>
      </c>
      <c r="K177" s="542"/>
    </row>
    <row r="178" spans="1:14">
      <c r="A178" s="94"/>
      <c r="B178" s="87" t="s">
        <v>144</v>
      </c>
      <c r="C178" s="12"/>
      <c r="D178" s="12"/>
      <c r="E178" s="87"/>
      <c r="F178" s="393"/>
      <c r="G178" s="14">
        <v>0</v>
      </c>
      <c r="H178" s="14"/>
      <c r="I178" s="87"/>
      <c r="J178" s="87"/>
      <c r="K178" s="542"/>
    </row>
    <row r="179" spans="1:14" ht="13.5" thickBot="1">
      <c r="A179" s="94"/>
      <c r="B179" s="87" t="s">
        <v>145</v>
      </c>
      <c r="C179" s="12"/>
      <c r="D179" s="12"/>
      <c r="E179" s="87"/>
      <c r="F179" s="393"/>
      <c r="G179" s="14">
        <v>10000</v>
      </c>
      <c r="H179" s="14"/>
      <c r="I179" s="87"/>
      <c r="J179" s="87"/>
      <c r="K179" s="542"/>
    </row>
    <row r="180" spans="1:14" ht="13.5" thickBot="1">
      <c r="A180" s="94"/>
      <c r="B180" s="87"/>
      <c r="C180" s="87"/>
      <c r="D180" s="87"/>
      <c r="E180" s="117"/>
      <c r="F180" s="647"/>
      <c r="G180" s="119" t="s">
        <v>146</v>
      </c>
      <c r="H180" s="119"/>
      <c r="I180" s="569">
        <f>J175+J170+J163</f>
        <v>129300</v>
      </c>
      <c r="J180" s="87"/>
      <c r="K180" s="542"/>
    </row>
    <row r="181" spans="1:14" ht="13.5" thickBot="1">
      <c r="A181" s="94"/>
      <c r="B181" s="87"/>
      <c r="C181" s="120"/>
      <c r="D181" s="89"/>
      <c r="E181" s="87"/>
      <c r="F181" s="393"/>
      <c r="G181" s="120"/>
      <c r="H181" s="120"/>
      <c r="I181" s="87"/>
      <c r="J181" s="87"/>
      <c r="K181" s="542"/>
    </row>
    <row r="182" spans="1:14" ht="13.5" thickBot="1">
      <c r="A182" s="94"/>
      <c r="B182" s="87"/>
      <c r="C182" s="120"/>
      <c r="D182" s="15" t="s">
        <v>147</v>
      </c>
      <c r="E182" s="87"/>
      <c r="F182" s="393"/>
      <c r="G182" s="470">
        <f>SUM(G155:G179)</f>
        <v>838609.5</v>
      </c>
      <c r="H182" s="653"/>
      <c r="I182" s="87"/>
      <c r="J182" s="87"/>
      <c r="K182" s="542"/>
    </row>
    <row r="183" spans="1:14">
      <c r="A183" s="94"/>
      <c r="B183" s="563"/>
      <c r="C183" s="564" t="str">
        <f>A150</f>
        <v>OCAK  2026 e</v>
      </c>
      <c r="D183" s="564" t="s">
        <v>148</v>
      </c>
      <c r="E183" s="87"/>
      <c r="F183" s="393"/>
      <c r="G183" s="123"/>
      <c r="H183" s="123"/>
      <c r="I183" s="87"/>
      <c r="J183" s="87"/>
      <c r="K183" s="542"/>
    </row>
    <row r="184" spans="1:14">
      <c r="A184" s="94"/>
      <c r="B184" s="11"/>
      <c r="C184" s="426"/>
      <c r="D184" s="427"/>
      <c r="E184" s="393"/>
      <c r="F184" s="393"/>
      <c r="G184" s="397"/>
      <c r="H184" s="397"/>
      <c r="I184" s="87"/>
      <c r="J184" s="87"/>
      <c r="K184" s="542"/>
    </row>
    <row r="185" spans="1:14">
      <c r="A185" s="418"/>
      <c r="B185" s="87" t="s">
        <v>1676</v>
      </c>
      <c r="C185" s="87"/>
      <c r="D185" s="87"/>
      <c r="E185" s="87"/>
      <c r="F185" s="393"/>
      <c r="G185" s="87"/>
      <c r="H185" s="87"/>
      <c r="I185" s="87"/>
      <c r="J185" s="11"/>
      <c r="K185" s="542"/>
    </row>
    <row r="186" spans="1:14">
      <c r="A186" s="94">
        <v>46013</v>
      </c>
      <c r="B186" s="79" t="s">
        <v>2123</v>
      </c>
      <c r="C186" s="114"/>
      <c r="D186" s="391"/>
      <c r="E186" s="112"/>
      <c r="F186" s="425"/>
      <c r="G186" s="14"/>
      <c r="H186" s="14">
        <v>13.93</v>
      </c>
      <c r="I186" s="87"/>
      <c r="J186" s="11"/>
      <c r="K186" s="542"/>
    </row>
    <row r="187" spans="1:14" s="11" customFormat="1">
      <c r="A187" s="94"/>
      <c r="B187" s="79"/>
      <c r="C187" s="114"/>
      <c r="D187" s="391"/>
      <c r="E187" s="112"/>
      <c r="F187" s="425"/>
      <c r="G187" s="14"/>
      <c r="H187" s="14"/>
      <c r="I187" s="87"/>
      <c r="K187" s="542"/>
      <c r="L187" s="75"/>
      <c r="M187" s="75"/>
      <c r="N187" s="75"/>
    </row>
    <row r="188" spans="1:14" s="11" customFormat="1">
      <c r="A188" s="94">
        <v>45400</v>
      </c>
      <c r="B188" s="79" t="s">
        <v>136</v>
      </c>
      <c r="C188" s="110">
        <v>10</v>
      </c>
      <c r="D188" s="80">
        <v>135</v>
      </c>
      <c r="E188" s="112">
        <f>D188*C188</f>
        <v>1350</v>
      </c>
      <c r="F188" s="87">
        <v>137.5</v>
      </c>
      <c r="G188" s="14">
        <f>F188*C188</f>
        <v>1375</v>
      </c>
      <c r="H188" s="87">
        <f>G188-E188</f>
        <v>25</v>
      </c>
      <c r="I188" s="87"/>
      <c r="K188" s="542"/>
      <c r="L188" s="75"/>
      <c r="M188" s="75"/>
      <c r="N188" s="75"/>
    </row>
    <row r="189" spans="1:14" s="11" customFormat="1">
      <c r="A189" s="94"/>
      <c r="B189" s="79"/>
      <c r="C189" s="110"/>
      <c r="D189" s="80"/>
      <c r="E189" s="112"/>
      <c r="F189" s="87"/>
      <c r="G189" s="14"/>
      <c r="H189" s="87">
        <v>-2.89</v>
      </c>
      <c r="I189" s="87"/>
      <c r="K189" s="542"/>
      <c r="L189" s="75"/>
      <c r="M189" s="75"/>
      <c r="N189" s="75"/>
    </row>
    <row r="190" spans="1:14" s="11" customFormat="1">
      <c r="A190" s="94">
        <v>45418</v>
      </c>
      <c r="B190" s="79" t="s">
        <v>137</v>
      </c>
      <c r="C190" s="110">
        <v>38</v>
      </c>
      <c r="D190" s="80">
        <v>30.5</v>
      </c>
      <c r="E190" s="112">
        <f>D190*C190</f>
        <v>1159</v>
      </c>
      <c r="F190" s="87">
        <v>15.5</v>
      </c>
      <c r="G190" s="14">
        <f>F190*C190</f>
        <v>589</v>
      </c>
      <c r="H190" s="87">
        <f>G190-E190</f>
        <v>-570</v>
      </c>
      <c r="I190" s="87"/>
      <c r="K190" s="542"/>
      <c r="L190" s="75"/>
      <c r="M190" s="75"/>
      <c r="N190" s="75"/>
    </row>
    <row r="191" spans="1:14" s="11" customFormat="1">
      <c r="A191" s="94"/>
      <c r="B191" s="79"/>
      <c r="C191" s="110"/>
      <c r="D191" s="80"/>
      <c r="E191" s="112"/>
      <c r="F191" s="87"/>
      <c r="G191" s="14"/>
      <c r="H191" s="87">
        <v>-1.24</v>
      </c>
      <c r="I191" s="87"/>
      <c r="K191" s="542"/>
      <c r="L191" s="75"/>
      <c r="M191" s="75"/>
      <c r="N191" s="75"/>
    </row>
    <row r="192" spans="1:14" s="11" customFormat="1">
      <c r="A192" s="94">
        <v>45418</v>
      </c>
      <c r="B192" s="79" t="s">
        <v>138</v>
      </c>
      <c r="C192" s="110">
        <v>26</v>
      </c>
      <c r="D192" s="80">
        <v>37.115000000000002</v>
      </c>
      <c r="E192" s="112">
        <f>D192*C192</f>
        <v>964.99</v>
      </c>
      <c r="F192" s="87">
        <v>29.04</v>
      </c>
      <c r="G192" s="14">
        <f>F192*C192</f>
        <v>755.04</v>
      </c>
      <c r="H192" s="87">
        <f>G192-E192</f>
        <v>-209.95000000000005</v>
      </c>
      <c r="I192" s="87"/>
      <c r="K192" s="542"/>
      <c r="L192" s="75"/>
      <c r="M192" s="75"/>
      <c r="N192" s="75"/>
    </row>
    <row r="193" spans="1:14" s="11" customFormat="1">
      <c r="A193" s="94"/>
      <c r="B193" s="79"/>
      <c r="C193" s="110"/>
      <c r="D193" s="80"/>
      <c r="E193" s="112"/>
      <c r="F193" s="87"/>
      <c r="G193" s="14"/>
      <c r="H193" s="87">
        <v>-1.59</v>
      </c>
      <c r="I193" s="87"/>
      <c r="J193" s="395"/>
      <c r="K193" s="542"/>
      <c r="L193" s="75"/>
      <c r="M193" s="75"/>
      <c r="N193" s="75"/>
    </row>
    <row r="194" spans="1:14" s="11" customFormat="1">
      <c r="A194" s="94">
        <v>45659</v>
      </c>
      <c r="B194" s="79" t="s">
        <v>1594</v>
      </c>
      <c r="C194" s="110">
        <v>3500</v>
      </c>
      <c r="D194" s="678">
        <v>30.86</v>
      </c>
      <c r="E194" s="112">
        <f t="shared" ref="E194:E195" si="3">D194*C194</f>
        <v>108010</v>
      </c>
      <c r="F194" s="677">
        <v>96.468000000000004</v>
      </c>
      <c r="G194" s="14">
        <f t="shared" ref="G194:G195" si="4">F194*C194</f>
        <v>337638</v>
      </c>
      <c r="H194" s="87">
        <f>G194-E194</f>
        <v>229628</v>
      </c>
      <c r="J194" s="397"/>
      <c r="K194" s="542"/>
      <c r="L194" s="75"/>
      <c r="M194" s="75"/>
      <c r="N194" s="75"/>
    </row>
    <row r="195" spans="1:14" s="11" customFormat="1">
      <c r="A195" s="94"/>
      <c r="B195" s="79"/>
      <c r="C195" s="110"/>
      <c r="D195" s="111"/>
      <c r="E195" s="112"/>
      <c r="F195" s="393"/>
      <c r="G195" s="14" t="s">
        <v>1720</v>
      </c>
      <c r="H195" s="87">
        <v>-675.28</v>
      </c>
      <c r="J195" s="397"/>
      <c r="K195" s="542"/>
      <c r="L195" s="75"/>
      <c r="M195" s="75"/>
      <c r="N195" s="75"/>
    </row>
    <row r="196" spans="1:14" s="11" customFormat="1">
      <c r="A196" s="94"/>
      <c r="B196" s="79"/>
      <c r="C196" s="110"/>
      <c r="D196" s="80"/>
      <c r="E196" s="112"/>
      <c r="F196" s="87"/>
      <c r="G196" s="14" t="s">
        <v>1058</v>
      </c>
      <c r="H196" s="87">
        <v>-33.76</v>
      </c>
      <c r="I196" s="87"/>
      <c r="K196" s="542"/>
      <c r="L196" s="75"/>
      <c r="M196" s="75"/>
      <c r="N196" s="75"/>
    </row>
    <row r="197" spans="1:14" s="11" customFormat="1" ht="13.5" thickBot="1">
      <c r="A197" s="94"/>
      <c r="B197" s="79"/>
      <c r="C197" s="110"/>
      <c r="D197" s="80"/>
      <c r="E197" s="112"/>
      <c r="F197" s="87"/>
      <c r="G197" s="14"/>
      <c r="H197" s="87"/>
      <c r="I197" s="87"/>
      <c r="K197" s="542"/>
      <c r="L197" s="75"/>
      <c r="M197" s="75"/>
      <c r="N197" s="75"/>
    </row>
    <row r="198" spans="1:14" s="11" customFormat="1" ht="13.5" thickBot="1">
      <c r="A198" s="557"/>
      <c r="B198" s="416"/>
      <c r="C198" s="416"/>
      <c r="D198" s="405"/>
      <c r="E198" s="405">
        <f>SUM(E188:E192)</f>
        <v>3473.99</v>
      </c>
      <c r="F198" s="405"/>
      <c r="G198" s="405">
        <f>SUM(G188:G192)</f>
        <v>2719.04</v>
      </c>
      <c r="H198" s="686">
        <f>SUM(H184:H197)</f>
        <v>228172.22</v>
      </c>
      <c r="I198" s="87"/>
      <c r="K198" s="542"/>
      <c r="L198" s="75"/>
      <c r="M198" s="75"/>
      <c r="N198" s="75"/>
    </row>
    <row r="199" spans="1:14" ht="15.75">
      <c r="A199" s="94"/>
      <c r="B199" s="11"/>
      <c r="C199" s="11"/>
      <c r="D199" s="87"/>
      <c r="E199" s="87"/>
      <c r="F199" s="87" t="s">
        <v>878</v>
      </c>
      <c r="G199" s="687"/>
      <c r="H199" s="690">
        <f>H198+'11_25'!I122</f>
        <v>338498.81195300008</v>
      </c>
      <c r="I199" s="87"/>
      <c r="J199" s="11"/>
      <c r="K199" s="542"/>
    </row>
    <row r="200" spans="1:14" ht="13.5" thickBot="1">
      <c r="A200" s="94"/>
      <c r="B200" s="11"/>
      <c r="C200" s="11"/>
      <c r="D200" s="87"/>
      <c r="E200" s="87"/>
      <c r="F200" s="393"/>
      <c r="G200" s="688"/>
      <c r="H200" s="689" t="s">
        <v>2130</v>
      </c>
      <c r="I200" s="87"/>
      <c r="J200" s="11"/>
      <c r="K200" s="542"/>
    </row>
    <row r="201" spans="1:14">
      <c r="A201" s="94"/>
      <c r="B201" s="11"/>
      <c r="C201" s="11"/>
      <c r="D201" s="87"/>
      <c r="E201" s="87"/>
      <c r="F201" s="393"/>
      <c r="G201" s="87"/>
      <c r="H201" s="87"/>
      <c r="I201" s="87"/>
      <c r="J201" s="11"/>
      <c r="K201" s="542"/>
    </row>
    <row r="202" spans="1:14">
      <c r="A202" s="94"/>
      <c r="B202" s="11"/>
      <c r="C202" s="11"/>
      <c r="D202" s="87"/>
      <c r="E202" s="87"/>
      <c r="F202" s="393"/>
      <c r="G202" s="87"/>
      <c r="H202" s="87"/>
      <c r="I202" s="87"/>
      <c r="J202" s="11"/>
      <c r="K202" s="542"/>
    </row>
    <row r="203" spans="1:14" ht="18">
      <c r="A203" s="476" t="s">
        <v>1733</v>
      </c>
      <c r="B203" s="11"/>
      <c r="C203" s="11"/>
      <c r="D203" s="87"/>
      <c r="E203" s="87"/>
      <c r="F203" s="393"/>
      <c r="G203" s="87"/>
      <c r="H203" s="87"/>
      <c r="I203" s="87"/>
      <c r="J203" s="11"/>
      <c r="K203" s="542"/>
    </row>
    <row r="204" spans="1:14" ht="15.75">
      <c r="A204" s="94"/>
      <c r="B204" s="464">
        <f>1-76.4616%</f>
        <v>0.23538399999999993</v>
      </c>
      <c r="C204" s="465">
        <v>0.76461599999999996</v>
      </c>
      <c r="D204" s="392"/>
      <c r="E204" s="87"/>
      <c r="F204" s="393"/>
      <c r="G204" s="87"/>
      <c r="H204" s="87"/>
      <c r="I204" s="87"/>
      <c r="J204" s="11"/>
      <c r="K204" s="542"/>
    </row>
    <row r="205" spans="1:14" ht="15.75">
      <c r="A205" s="94"/>
      <c r="B205" s="464" t="s">
        <v>1861</v>
      </c>
      <c r="C205" s="465"/>
      <c r="D205" s="392"/>
      <c r="E205" s="87"/>
      <c r="F205" s="393"/>
      <c r="G205" s="87"/>
      <c r="H205" s="87"/>
      <c r="I205" s="87"/>
      <c r="J205" s="11"/>
      <c r="K205" s="542"/>
    </row>
    <row r="206" spans="1:14" ht="15.75">
      <c r="A206" s="94"/>
      <c r="B206" s="464" t="s">
        <v>1734</v>
      </c>
      <c r="C206" s="465"/>
      <c r="D206" s="392"/>
      <c r="E206" s="87"/>
      <c r="F206" s="393"/>
      <c r="G206" s="87"/>
      <c r="H206" s="87"/>
      <c r="I206" s="87"/>
      <c r="J206" s="11"/>
      <c r="K206" s="542"/>
    </row>
    <row r="207" spans="1:14" ht="15.75">
      <c r="A207" s="94"/>
      <c r="B207" s="464" t="s">
        <v>1737</v>
      </c>
      <c r="C207" s="465"/>
      <c r="D207" s="392"/>
      <c r="E207" s="87"/>
      <c r="F207" s="393"/>
      <c r="G207" s="87"/>
      <c r="H207" s="87"/>
      <c r="I207" s="87"/>
      <c r="J207" s="11"/>
      <c r="K207" s="542"/>
    </row>
    <row r="208" spans="1:14" ht="15.75">
      <c r="A208" s="94"/>
      <c r="B208" s="464" t="s">
        <v>1736</v>
      </c>
      <c r="C208" s="465"/>
      <c r="D208" s="392"/>
      <c r="E208" s="87"/>
      <c r="F208" s="393"/>
      <c r="G208" s="87"/>
      <c r="H208" s="87"/>
      <c r="I208" s="87"/>
      <c r="J208" s="11"/>
      <c r="K208" s="542"/>
    </row>
    <row r="209" spans="1:11" ht="15.75">
      <c r="A209" s="94"/>
      <c r="B209" s="464"/>
      <c r="C209" s="465"/>
      <c r="D209" s="392">
        <v>238</v>
      </c>
      <c r="E209" s="87">
        <v>872.26</v>
      </c>
      <c r="F209" s="393"/>
      <c r="G209" s="87"/>
      <c r="H209" s="87"/>
      <c r="I209" s="87"/>
      <c r="J209" s="480">
        <f>E209*D209</f>
        <v>207597.88</v>
      </c>
      <c r="K209" s="542"/>
    </row>
    <row r="210" spans="1:11" ht="16.5" thickBot="1">
      <c r="A210" s="94"/>
      <c r="B210" s="464"/>
      <c r="C210" s="11" t="s">
        <v>1739</v>
      </c>
      <c r="D210" s="11" t="s">
        <v>1738</v>
      </c>
      <c r="E210" s="87" t="s">
        <v>1730</v>
      </c>
      <c r="F210" s="648">
        <v>138749.76000000001</v>
      </c>
      <c r="G210" s="11" t="s">
        <v>1731</v>
      </c>
      <c r="H210" s="11"/>
      <c r="I210" s="87" t="s">
        <v>3</v>
      </c>
      <c r="J210" s="11"/>
      <c r="K210" s="542"/>
    </row>
    <row r="211" spans="1:11" ht="13.5" thickBot="1">
      <c r="A211" s="94">
        <v>45667</v>
      </c>
      <c r="B211" s="79" t="s">
        <v>1859</v>
      </c>
      <c r="C211" s="114">
        <v>160</v>
      </c>
      <c r="D211" s="373">
        <f>C211</f>
        <v>160</v>
      </c>
      <c r="E211" s="80">
        <v>872.26</v>
      </c>
      <c r="F211" s="397">
        <f>E211*D211</f>
        <v>139561.60000000001</v>
      </c>
      <c r="G211" s="650">
        <v>962.89330700000005</v>
      </c>
      <c r="H211" s="654"/>
      <c r="I211" s="652">
        <f>E211*C211</f>
        <v>139561.60000000001</v>
      </c>
      <c r="J211" s="528">
        <f>J210+I211</f>
        <v>139561.60000000001</v>
      </c>
      <c r="K211" s="542"/>
    </row>
    <row r="212" spans="1:11">
      <c r="A212" s="94">
        <v>45667</v>
      </c>
      <c r="B212" s="79" t="s">
        <v>1858</v>
      </c>
      <c r="C212" s="114">
        <v>78</v>
      </c>
      <c r="D212" s="373">
        <f>D211+C212</f>
        <v>238</v>
      </c>
      <c r="E212" s="80">
        <v>872.26</v>
      </c>
      <c r="F212" s="397">
        <f t="shared" ref="F212:F237" si="5">E212*D212</f>
        <v>207597.88</v>
      </c>
      <c r="G212" s="566">
        <f>G216</f>
        <v>962.89330700000005</v>
      </c>
      <c r="H212" s="566"/>
      <c r="I212" s="652">
        <f>E212*C212</f>
        <v>68036.28</v>
      </c>
      <c r="J212" s="651">
        <f>J211+I212</f>
        <v>207597.88</v>
      </c>
      <c r="K212" s="542"/>
    </row>
    <row r="213" spans="1:11">
      <c r="A213" s="94">
        <v>45755</v>
      </c>
      <c r="B213" s="79" t="s">
        <v>2021</v>
      </c>
      <c r="C213" s="114"/>
      <c r="D213" s="373"/>
      <c r="E213" s="80"/>
      <c r="F213" s="397"/>
      <c r="G213" s="649"/>
      <c r="H213" s="525">
        <v>-190.32</v>
      </c>
      <c r="I213" s="87"/>
      <c r="J213" s="578">
        <f>J212+H213</f>
        <v>207407.56</v>
      </c>
      <c r="K213" s="11"/>
    </row>
    <row r="214" spans="1:11">
      <c r="A214" s="94">
        <v>45755</v>
      </c>
      <c r="B214" s="79" t="s">
        <v>2022</v>
      </c>
      <c r="C214" s="114"/>
      <c r="D214" s="373"/>
      <c r="E214" s="80"/>
      <c r="F214" s="397"/>
      <c r="G214" s="649"/>
      <c r="H214" s="525">
        <v>-200</v>
      </c>
      <c r="I214" s="87"/>
      <c r="J214" s="578">
        <f>J213+H214</f>
        <v>207207.56</v>
      </c>
      <c r="K214" s="11"/>
    </row>
    <row r="215" spans="1:11" ht="13.5" thickBot="1">
      <c r="A215" s="94">
        <v>45755</v>
      </c>
      <c r="B215" s="79" t="s">
        <v>2023</v>
      </c>
      <c r="C215" s="114"/>
      <c r="D215" s="373"/>
      <c r="E215" s="80"/>
      <c r="F215" s="397"/>
      <c r="G215" s="649"/>
      <c r="H215" s="525">
        <v>-10</v>
      </c>
      <c r="I215" s="87"/>
      <c r="J215" s="578">
        <f>J214+H215</f>
        <v>207197.56</v>
      </c>
      <c r="K215" s="11"/>
    </row>
    <row r="216" spans="1:11" ht="13.5" thickBot="1">
      <c r="A216" s="558">
        <v>45755</v>
      </c>
      <c r="B216" s="475" t="s">
        <v>1826</v>
      </c>
      <c r="C216" s="641">
        <v>-21</v>
      </c>
      <c r="D216" s="373">
        <f>D212+C216</f>
        <v>217</v>
      </c>
      <c r="E216" s="80"/>
      <c r="F216" s="397">
        <f t="shared" si="5"/>
        <v>0</v>
      </c>
      <c r="G216" s="649">
        <f>G211</f>
        <v>962.89330700000005</v>
      </c>
      <c r="H216" s="542"/>
      <c r="I216" s="642">
        <f>G216*C216</f>
        <v>-20220.759447</v>
      </c>
      <c r="J216" s="578">
        <f t="shared" ref="J216:J234" si="6">J215+I216</f>
        <v>186976.80055300001</v>
      </c>
      <c r="K216" s="11"/>
    </row>
    <row r="217" spans="1:11" ht="13.5" thickBot="1">
      <c r="A217" s="559"/>
      <c r="B217" s="79" t="s">
        <v>1732</v>
      </c>
      <c r="C217" s="538"/>
      <c r="D217" s="373">
        <f t="shared" ref="D217:D235" si="7">D216+C217</f>
        <v>217</v>
      </c>
      <c r="E217" s="80"/>
      <c r="F217" s="397">
        <f t="shared" si="5"/>
        <v>0</v>
      </c>
      <c r="G217" s="649">
        <f>G212</f>
        <v>962.89330700000005</v>
      </c>
      <c r="H217" s="525">
        <v>-190.32</v>
      </c>
      <c r="I217" s="87"/>
      <c r="J217" s="578">
        <f>J216+H217</f>
        <v>186786.480553</v>
      </c>
      <c r="K217" s="11"/>
    </row>
    <row r="218" spans="1:11" ht="13.5" thickBot="1">
      <c r="A218" s="558">
        <v>45786</v>
      </c>
      <c r="B218" s="475" t="s">
        <v>1827</v>
      </c>
      <c r="C218" s="643">
        <v>-20</v>
      </c>
      <c r="D218" s="373">
        <f t="shared" si="7"/>
        <v>197</v>
      </c>
      <c r="E218" s="80"/>
      <c r="F218" s="397">
        <f t="shared" si="5"/>
        <v>0</v>
      </c>
      <c r="G218" s="649">
        <v>1000.86</v>
      </c>
      <c r="H218" s="542"/>
      <c r="I218" s="642">
        <f>G218*C218</f>
        <v>-20017.2</v>
      </c>
      <c r="J218" s="578">
        <f t="shared" si="6"/>
        <v>166769.28055299999</v>
      </c>
      <c r="K218" s="11"/>
    </row>
    <row r="219" spans="1:11" ht="13.5" thickBot="1">
      <c r="A219" s="558"/>
      <c r="B219" s="79" t="s">
        <v>1732</v>
      </c>
      <c r="C219" s="539"/>
      <c r="D219" s="373">
        <f t="shared" si="7"/>
        <v>197</v>
      </c>
      <c r="E219" s="80"/>
      <c r="F219" s="397">
        <f t="shared" si="5"/>
        <v>0</v>
      </c>
      <c r="G219" s="649">
        <v>1000.86</v>
      </c>
      <c r="H219" s="525">
        <v>-257.18</v>
      </c>
      <c r="I219" s="87"/>
      <c r="J219" s="578">
        <f>J218+H219</f>
        <v>166512.100553</v>
      </c>
      <c r="K219" s="11"/>
    </row>
    <row r="220" spans="1:11" ht="13.5" thickBot="1">
      <c r="A220" s="559">
        <v>45818</v>
      </c>
      <c r="B220" s="475" t="s">
        <v>1828</v>
      </c>
      <c r="C220" s="644">
        <v>-20</v>
      </c>
      <c r="D220" s="373">
        <f t="shared" si="7"/>
        <v>177</v>
      </c>
      <c r="E220" s="80"/>
      <c r="F220" s="397">
        <f t="shared" si="5"/>
        <v>0</v>
      </c>
      <c r="G220" s="649">
        <v>1043.4576589999999</v>
      </c>
      <c r="H220" s="542"/>
      <c r="I220" s="642">
        <f>G220*C220</f>
        <v>-20869.153179999998</v>
      </c>
      <c r="J220" s="578">
        <f t="shared" si="6"/>
        <v>145642.947373</v>
      </c>
      <c r="K220" s="11"/>
    </row>
    <row r="221" spans="1:11">
      <c r="A221" s="559"/>
      <c r="B221" s="79" t="s">
        <v>1732</v>
      </c>
      <c r="C221" s="538"/>
      <c r="D221" s="373">
        <f t="shared" si="7"/>
        <v>177</v>
      </c>
      <c r="E221" s="80"/>
      <c r="F221" s="397">
        <f t="shared" si="5"/>
        <v>0</v>
      </c>
      <c r="G221" s="649">
        <v>1043.4576589999999</v>
      </c>
      <c r="H221" s="525">
        <v>-342.39</v>
      </c>
      <c r="I221" s="87"/>
      <c r="J221" s="578">
        <f>J220+H221</f>
        <v>145300.55737299999</v>
      </c>
      <c r="K221" s="11"/>
    </row>
    <row r="222" spans="1:11">
      <c r="A222" s="559">
        <v>45841</v>
      </c>
      <c r="B222" s="79" t="s">
        <v>2022</v>
      </c>
      <c r="C222" s="538"/>
      <c r="D222" s="373"/>
      <c r="E222" s="80"/>
      <c r="F222" s="397"/>
      <c r="G222" s="649"/>
      <c r="H222" s="525">
        <v>-31.57</v>
      </c>
      <c r="I222" s="87"/>
      <c r="J222" s="578">
        <f>J221+H222</f>
        <v>145268.98737299998</v>
      </c>
      <c r="K222" s="11"/>
    </row>
    <row r="223" spans="1:11" ht="13.5" thickBot="1">
      <c r="A223" s="559">
        <v>45841</v>
      </c>
      <c r="B223" s="79" t="s">
        <v>2023</v>
      </c>
      <c r="C223" s="538"/>
      <c r="D223" s="373"/>
      <c r="E223" s="80"/>
      <c r="F223" s="397"/>
      <c r="G223" s="649"/>
      <c r="H223" s="525">
        <v>-1.58</v>
      </c>
      <c r="I223" s="87"/>
      <c r="J223" s="578">
        <f>J222+H223</f>
        <v>145267.40737299999</v>
      </c>
      <c r="K223" s="11"/>
    </row>
    <row r="224" spans="1:11" ht="13.5" thickBot="1">
      <c r="A224" s="559">
        <v>45846</v>
      </c>
      <c r="B224" s="475" t="s">
        <v>1829</v>
      </c>
      <c r="C224" s="644">
        <v>-19</v>
      </c>
      <c r="D224" s="373">
        <f>D221+C224</f>
        <v>158</v>
      </c>
      <c r="E224" s="543"/>
      <c r="F224" s="397">
        <f t="shared" si="5"/>
        <v>0</v>
      </c>
      <c r="G224" s="649">
        <v>1080.914657</v>
      </c>
      <c r="H224" s="542"/>
      <c r="I224" s="642">
        <f>G224*C224</f>
        <v>-20537.378483</v>
      </c>
      <c r="J224" s="578">
        <f t="shared" si="6"/>
        <v>124730.02888999999</v>
      </c>
      <c r="K224" s="11"/>
    </row>
    <row r="225" spans="1:11">
      <c r="A225" s="559"/>
      <c r="B225" s="79" t="s">
        <v>1732</v>
      </c>
      <c r="C225" s="538"/>
      <c r="D225" s="373">
        <f t="shared" si="7"/>
        <v>158</v>
      </c>
      <c r="E225" s="543"/>
      <c r="F225" s="397">
        <f t="shared" si="5"/>
        <v>0</v>
      </c>
      <c r="G225" s="649">
        <v>1080</v>
      </c>
      <c r="H225" s="525">
        <v>-396.44</v>
      </c>
      <c r="I225" s="87"/>
      <c r="J225" s="578">
        <f>J224+H225</f>
        <v>124333.58888999998</v>
      </c>
      <c r="K225" s="11"/>
    </row>
    <row r="226" spans="1:11">
      <c r="A226" s="559"/>
      <c r="B226" s="79" t="s">
        <v>2022</v>
      </c>
      <c r="C226" s="538"/>
      <c r="D226" s="373"/>
      <c r="E226" s="543"/>
      <c r="F226" s="397"/>
      <c r="G226" s="649"/>
      <c r="H226" s="525">
        <v>-168.43</v>
      </c>
      <c r="I226" s="87"/>
      <c r="J226" s="578">
        <f>J225+H226</f>
        <v>124165.15888999999</v>
      </c>
      <c r="K226" s="11"/>
    </row>
    <row r="227" spans="1:11" ht="13.5" thickBot="1">
      <c r="A227" s="559"/>
      <c r="B227" s="79" t="s">
        <v>2023</v>
      </c>
      <c r="C227" s="538"/>
      <c r="D227" s="373"/>
      <c r="E227" s="543"/>
      <c r="F227" s="397"/>
      <c r="G227" s="649"/>
      <c r="H227" s="525">
        <v>-8.42</v>
      </c>
      <c r="I227" s="87"/>
      <c r="J227" s="578">
        <f>J226+H227</f>
        <v>124156.73888999999</v>
      </c>
      <c r="K227" s="11"/>
    </row>
    <row r="228" spans="1:11" ht="13.5" thickBot="1">
      <c r="A228" s="559">
        <v>45855</v>
      </c>
      <c r="B228" s="475" t="s">
        <v>1893</v>
      </c>
      <c r="C228" s="644">
        <v>-30</v>
      </c>
      <c r="D228" s="373">
        <f>D225+C228</f>
        <v>128</v>
      </c>
      <c r="E228" s="543"/>
      <c r="F228" s="397">
        <f t="shared" si="5"/>
        <v>0</v>
      </c>
      <c r="G228" s="649">
        <v>1093.412452</v>
      </c>
      <c r="H228" s="542"/>
      <c r="I228" s="642">
        <f>G228*C228</f>
        <v>-32802.37356</v>
      </c>
      <c r="J228" s="578">
        <f t="shared" si="6"/>
        <v>91354.365330000001</v>
      </c>
      <c r="K228" s="11"/>
    </row>
    <row r="229" spans="1:11" ht="13.5" thickBot="1">
      <c r="A229" s="559">
        <v>45867</v>
      </c>
      <c r="B229" s="475" t="s">
        <v>2021</v>
      </c>
      <c r="C229" s="538"/>
      <c r="D229" s="373">
        <f>D228+C229</f>
        <v>128</v>
      </c>
      <c r="E229" s="543"/>
      <c r="F229" s="397">
        <f t="shared" si="5"/>
        <v>0</v>
      </c>
      <c r="G229" s="649">
        <v>1109.5565340000001</v>
      </c>
      <c r="H229" s="525">
        <v>-663.45</v>
      </c>
      <c r="I229" s="87"/>
      <c r="J229" s="578">
        <f>J228+H229</f>
        <v>90690.915330000003</v>
      </c>
      <c r="K229" s="542"/>
    </row>
    <row r="230" spans="1:11" ht="13.5" thickBot="1">
      <c r="A230" s="559">
        <v>45903</v>
      </c>
      <c r="B230" s="544" t="s">
        <v>1831</v>
      </c>
      <c r="C230" s="645">
        <v>-18</v>
      </c>
      <c r="D230" s="87">
        <f t="shared" si="7"/>
        <v>110</v>
      </c>
      <c r="E230" s="393"/>
      <c r="F230" s="397">
        <f t="shared" si="5"/>
        <v>0</v>
      </c>
      <c r="G230" s="649">
        <v>1155.9289100000001</v>
      </c>
      <c r="H230" s="649"/>
      <c r="I230" s="642">
        <f>G230*C230</f>
        <v>-20806.720380000002</v>
      </c>
      <c r="J230" s="578">
        <f t="shared" si="6"/>
        <v>69884.194950000005</v>
      </c>
      <c r="K230" s="542"/>
    </row>
    <row r="231" spans="1:11">
      <c r="A231" s="559">
        <v>45903</v>
      </c>
      <c r="B231" s="79" t="s">
        <v>1732</v>
      </c>
      <c r="C231" s="377"/>
      <c r="D231" s="87">
        <f t="shared" si="7"/>
        <v>110</v>
      </c>
      <c r="E231" s="393"/>
      <c r="F231" s="397">
        <f t="shared" si="5"/>
        <v>0</v>
      </c>
      <c r="G231" s="649"/>
      <c r="H231" s="525">
        <v>-500.89</v>
      </c>
      <c r="I231" s="87"/>
      <c r="J231" s="578">
        <f>J230+H231</f>
        <v>69383.304950000005</v>
      </c>
      <c r="K231" s="542"/>
    </row>
    <row r="232" spans="1:11">
      <c r="A232" s="559">
        <v>45934</v>
      </c>
      <c r="B232" s="79" t="s">
        <v>2022</v>
      </c>
      <c r="C232" s="377"/>
      <c r="D232" s="87"/>
      <c r="E232" s="393"/>
      <c r="F232" s="397"/>
      <c r="G232" s="649"/>
      <c r="H232" s="525">
        <v>-150</v>
      </c>
      <c r="I232" s="87"/>
      <c r="J232" s="578">
        <f>J231+H232</f>
        <v>69233.304950000005</v>
      </c>
      <c r="K232" s="542"/>
    </row>
    <row r="233" spans="1:11" ht="13.5" thickBot="1">
      <c r="A233" s="559">
        <v>45934</v>
      </c>
      <c r="B233" s="79" t="s">
        <v>2023</v>
      </c>
      <c r="C233" s="377"/>
      <c r="D233" s="87"/>
      <c r="E233" s="393"/>
      <c r="F233" s="397"/>
      <c r="G233" s="649"/>
      <c r="H233" s="525">
        <v>-7.5</v>
      </c>
      <c r="I233" s="87"/>
      <c r="J233" s="578">
        <f>J232+H233</f>
        <v>69225.804950000005</v>
      </c>
      <c r="K233" s="542"/>
    </row>
    <row r="234" spans="1:11" ht="13.5" thickBot="1">
      <c r="A234" s="559">
        <v>45944</v>
      </c>
      <c r="B234" s="544" t="s">
        <v>1832</v>
      </c>
      <c r="C234" s="645">
        <v>-17</v>
      </c>
      <c r="D234" s="87">
        <f>D231+C234</f>
        <v>93</v>
      </c>
      <c r="E234" s="393"/>
      <c r="F234" s="397">
        <f t="shared" si="5"/>
        <v>0</v>
      </c>
      <c r="G234" s="649">
        <v>1208.756531</v>
      </c>
      <c r="H234" s="649"/>
      <c r="I234" s="642">
        <f>G234*C234</f>
        <v>-20548.861026999999</v>
      </c>
      <c r="J234" s="578">
        <f t="shared" si="6"/>
        <v>48676.943923000006</v>
      </c>
      <c r="K234" s="542"/>
    </row>
    <row r="235" spans="1:11">
      <c r="A235" s="559">
        <v>45944</v>
      </c>
      <c r="B235" s="79" t="s">
        <v>2024</v>
      </c>
      <c r="C235" s="377"/>
      <c r="D235" s="87">
        <f t="shared" si="7"/>
        <v>93</v>
      </c>
      <c r="E235" s="393"/>
      <c r="F235" s="397">
        <f t="shared" si="5"/>
        <v>0</v>
      </c>
      <c r="G235" s="649"/>
      <c r="H235" s="525">
        <v>-562.87</v>
      </c>
      <c r="I235" s="87"/>
      <c r="J235" s="578">
        <f>J234+H235</f>
        <v>48114.073923000004</v>
      </c>
      <c r="K235" s="542"/>
    </row>
    <row r="236" spans="1:11" ht="13.5" thickBot="1">
      <c r="A236" s="559">
        <v>45964</v>
      </c>
      <c r="B236" s="79" t="s">
        <v>2024</v>
      </c>
      <c r="C236" s="377"/>
      <c r="D236" s="87">
        <f>D235+C236</f>
        <v>93</v>
      </c>
      <c r="E236" s="391">
        <v>1234.7104059999999</v>
      </c>
      <c r="F236" s="397">
        <f>E236*D236</f>
        <v>114828.06775799999</v>
      </c>
      <c r="G236" s="649"/>
      <c r="H236" s="525">
        <v>-1053.83</v>
      </c>
      <c r="I236" s="87"/>
      <c r="J236" s="578">
        <f>J235+H236</f>
        <v>47060.243923000002</v>
      </c>
      <c r="K236" s="542"/>
    </row>
    <row r="237" spans="1:11" ht="13.5" thickBot="1">
      <c r="A237" s="662">
        <v>45964</v>
      </c>
      <c r="B237" s="663" t="s">
        <v>1833</v>
      </c>
      <c r="C237" s="664">
        <v>-17</v>
      </c>
      <c r="D237" s="665">
        <f>D236+C237</f>
        <v>76</v>
      </c>
      <c r="E237" s="666">
        <v>1234.7104059999999</v>
      </c>
      <c r="F237" s="667">
        <f t="shared" si="5"/>
        <v>93837.990855999989</v>
      </c>
      <c r="G237" s="666">
        <v>1234.7104059999999</v>
      </c>
      <c r="H237" s="666"/>
      <c r="I237" s="642">
        <f>G237*C237</f>
        <v>-20990.076901999997</v>
      </c>
      <c r="J237" s="668">
        <f>J236+I237</f>
        <v>26070.167021000005</v>
      </c>
      <c r="K237" s="542"/>
    </row>
    <row r="238" spans="1:11">
      <c r="A238" s="655"/>
      <c r="B238" s="544"/>
      <c r="C238" s="669"/>
      <c r="D238" s="428"/>
      <c r="E238" s="649"/>
      <c r="F238" s="660"/>
      <c r="G238" s="649"/>
      <c r="H238" s="571">
        <f ca="1">SUM(H213:H247)</f>
        <v>-4735.1900000000005</v>
      </c>
      <c r="I238" s="571">
        <f>SUM(I213:I237)</f>
        <v>-176792.52297900003</v>
      </c>
      <c r="J238" s="428">
        <f ca="1">SUM(H238:I238)</f>
        <v>-181527.71297900003</v>
      </c>
      <c r="K238" s="542"/>
    </row>
    <row r="239" spans="1:11">
      <c r="A239" s="655"/>
      <c r="B239" s="544"/>
      <c r="C239" s="670"/>
      <c r="D239" s="525"/>
      <c r="E239" s="649"/>
      <c r="F239" s="660"/>
      <c r="G239" s="649"/>
      <c r="H239" s="526"/>
      <c r="I239" s="526"/>
      <c r="J239" s="428"/>
      <c r="K239" s="542"/>
    </row>
    <row r="240" spans="1:11">
      <c r="A240" s="655"/>
      <c r="B240" s="544"/>
      <c r="C240" s="670"/>
      <c r="D240" s="525"/>
      <c r="E240" s="649"/>
      <c r="F240" s="660"/>
      <c r="G240" s="649" t="s">
        <v>2037</v>
      </c>
      <c r="H240" s="525"/>
      <c r="I240" s="393"/>
      <c r="J240" s="578"/>
      <c r="K240" s="542"/>
    </row>
    <row r="241" spans="1:11">
      <c r="A241" s="655"/>
      <c r="B241" s="544"/>
      <c r="C241" s="670"/>
      <c r="D241" s="525"/>
      <c r="E241" s="649"/>
      <c r="F241" s="660"/>
      <c r="G241" s="672" t="s">
        <v>2038</v>
      </c>
      <c r="H241" s="525"/>
      <c r="I241" s="393"/>
      <c r="J241" s="578"/>
      <c r="K241" s="542"/>
    </row>
    <row r="242" spans="1:11">
      <c r="A242" s="655"/>
      <c r="B242" s="544"/>
      <c r="C242" s="670"/>
      <c r="D242" s="525"/>
      <c r="E242" s="649"/>
      <c r="F242" s="660"/>
      <c r="G242" s="649"/>
      <c r="H242" s="525"/>
      <c r="I242" s="393"/>
      <c r="J242" s="578"/>
      <c r="K242" s="542"/>
    </row>
    <row r="243" spans="1:11">
      <c r="A243" s="655"/>
      <c r="B243" s="544"/>
      <c r="C243" s="670"/>
      <c r="D243" s="525"/>
      <c r="E243" s="649"/>
      <c r="F243" s="660"/>
      <c r="G243" s="649"/>
      <c r="H243" s="525"/>
      <c r="I243" s="393"/>
      <c r="J243" s="578"/>
      <c r="K243" s="542"/>
    </row>
    <row r="244" spans="1:11">
      <c r="A244" s="655"/>
      <c r="B244" s="544"/>
      <c r="C244" s="670"/>
      <c r="D244" s="525"/>
      <c r="E244" s="649"/>
      <c r="F244" s="660"/>
      <c r="G244" s="649"/>
      <c r="H244" s="525"/>
      <c r="I244" s="393"/>
      <c r="J244" s="578"/>
      <c r="K244" s="542"/>
    </row>
    <row r="245" spans="1:11" ht="13.5" thickBot="1">
      <c r="A245" s="445">
        <v>45964</v>
      </c>
      <c r="B245" s="544" t="s">
        <v>2029</v>
      </c>
      <c r="C245" s="645">
        <v>-12</v>
      </c>
      <c r="D245" s="87">
        <f t="shared" ref="D245" si="8">D237+C245</f>
        <v>64</v>
      </c>
      <c r="E245" s="393"/>
      <c r="F245" s="397">
        <f t="shared" ref="F245:F246" si="9">E245*D245</f>
        <v>0</v>
      </c>
      <c r="G245" s="649">
        <v>1234.7104059999999</v>
      </c>
      <c r="H245" s="649"/>
      <c r="I245" s="661">
        <f>G245*C245</f>
        <v>-14816.524871999998</v>
      </c>
      <c r="J245" s="578">
        <f t="shared" ref="J245" si="10">J237+I245</f>
        <v>11253.642149000007</v>
      </c>
      <c r="K245" s="542"/>
    </row>
    <row r="246" spans="1:11" ht="13.5" thickBot="1">
      <c r="A246" s="445">
        <v>45964</v>
      </c>
      <c r="B246" s="544" t="s">
        <v>2028</v>
      </c>
      <c r="C246" s="659">
        <v>-9</v>
      </c>
      <c r="D246" s="393">
        <f>D245+C246</f>
        <v>55</v>
      </c>
      <c r="E246" s="649">
        <v>1234.7104059999999</v>
      </c>
      <c r="F246" s="397">
        <f t="shared" si="9"/>
        <v>67909.072329999995</v>
      </c>
      <c r="G246" s="649">
        <v>1234.7104059999999</v>
      </c>
      <c r="H246" s="649"/>
      <c r="I246" s="658">
        <f>G246*C246</f>
        <v>-11112.393654</v>
      </c>
      <c r="J246" s="578">
        <f>J245+I246</f>
        <v>141.2484950000071</v>
      </c>
      <c r="K246" s="542"/>
    </row>
    <row r="247" spans="1:11">
      <c r="A247" s="445"/>
      <c r="B247" s="395"/>
      <c r="C247" s="646"/>
      <c r="D247" s="393"/>
      <c r="E247" s="425"/>
      <c r="F247" s="397"/>
      <c r="G247" s="649"/>
      <c r="H247" s="525"/>
      <c r="I247" s="87"/>
      <c r="J247" s="578"/>
      <c r="K247" s="542"/>
    </row>
    <row r="248" spans="1:11">
      <c r="A248" s="445"/>
      <c r="B248" s="395"/>
      <c r="C248" s="646"/>
      <c r="D248" s="393"/>
      <c r="E248" s="425"/>
      <c r="F248" s="397"/>
      <c r="G248" s="649"/>
      <c r="H248" s="525"/>
      <c r="I248" s="87"/>
      <c r="J248" s="578"/>
      <c r="K248" s="542"/>
    </row>
    <row r="249" spans="1:11">
      <c r="A249" s="445">
        <v>45964</v>
      </c>
      <c r="B249" s="544" t="s">
        <v>2025</v>
      </c>
      <c r="C249" s="646"/>
      <c r="D249" s="393"/>
      <c r="E249" s="425"/>
      <c r="F249" s="397"/>
      <c r="G249" s="649"/>
      <c r="H249" s="525"/>
      <c r="I249" s="87"/>
      <c r="J249" s="578"/>
      <c r="K249" s="542"/>
    </row>
    <row r="250" spans="1:11">
      <c r="A250" s="445">
        <v>45966</v>
      </c>
      <c r="B250" s="395" t="s">
        <v>2026</v>
      </c>
      <c r="C250" s="646"/>
      <c r="D250" s="393"/>
      <c r="E250" s="425"/>
      <c r="F250" s="397"/>
      <c r="G250" s="649"/>
      <c r="H250" s="525"/>
      <c r="I250" s="87"/>
      <c r="J250" s="578"/>
      <c r="K250" s="542"/>
    </row>
    <row r="251" spans="1:11">
      <c r="A251" s="445"/>
      <c r="B251" s="671" t="s">
        <v>2039</v>
      </c>
      <c r="C251" s="646"/>
      <c r="D251" s="393"/>
      <c r="E251" s="425"/>
      <c r="F251" s="397"/>
      <c r="G251" s="649"/>
      <c r="H251" s="525"/>
      <c r="I251" s="87"/>
      <c r="J251" s="578"/>
      <c r="K251" s="542"/>
    </row>
    <row r="252" spans="1:11">
      <c r="A252" s="445"/>
      <c r="B252" s="395" t="s">
        <v>2027</v>
      </c>
      <c r="C252" s="646"/>
      <c r="D252" s="393"/>
      <c r="E252" s="425"/>
      <c r="F252" s="397"/>
      <c r="G252" s="649"/>
      <c r="H252" s="525"/>
      <c r="I252" s="87"/>
      <c r="J252" s="578"/>
      <c r="K252" s="542"/>
    </row>
    <row r="253" spans="1:1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542"/>
    </row>
    <row r="254" spans="1:11">
      <c r="A254" s="11"/>
      <c r="B254" s="11"/>
      <c r="C254" s="11"/>
      <c r="D254" s="11"/>
      <c r="E254" s="11"/>
      <c r="F254" s="11"/>
      <c r="G254" s="11"/>
      <c r="H254" s="11"/>
      <c r="I254" s="11"/>
      <c r="J254" s="75">
        <f ca="1">J238</f>
        <v>0</v>
      </c>
      <c r="K254" s="542"/>
    </row>
    <row r="255" spans="1:11">
      <c r="A255" s="375">
        <v>45966</v>
      </c>
      <c r="B255" s="395" t="s">
        <v>2032</v>
      </c>
      <c r="C255" s="646"/>
      <c r="D255" s="87"/>
      <c r="E255" s="649"/>
      <c r="F255" s="660"/>
      <c r="G255" s="649"/>
      <c r="H255" s="649"/>
      <c r="I255" s="526"/>
      <c r="J255" s="660"/>
      <c r="K255" s="542"/>
    </row>
    <row r="256" spans="1:11">
      <c r="A256" s="445">
        <v>45966</v>
      </c>
      <c r="B256" s="395" t="s">
        <v>2033</v>
      </c>
      <c r="C256" s="646"/>
      <c r="D256" s="87">
        <v>21</v>
      </c>
      <c r="E256" s="649">
        <v>1234.7104059999999</v>
      </c>
      <c r="F256" s="660">
        <f t="shared" ref="F256:F257" si="11">E256*D256</f>
        <v>25928.918525999998</v>
      </c>
      <c r="G256" s="649"/>
      <c r="H256" s="649"/>
      <c r="I256" s="526">
        <f>G256*C256</f>
        <v>0</v>
      </c>
      <c r="J256" s="578">
        <f>F256</f>
        <v>25928.918525999998</v>
      </c>
      <c r="K256" s="542"/>
    </row>
    <row r="257" spans="1:14">
      <c r="A257" s="445">
        <v>45966</v>
      </c>
      <c r="B257" s="395" t="s">
        <v>2032</v>
      </c>
      <c r="C257" s="646">
        <v>55</v>
      </c>
      <c r="D257" s="87">
        <v>55</v>
      </c>
      <c r="E257" s="649">
        <v>1234.7104059999999</v>
      </c>
      <c r="F257" s="660">
        <f t="shared" si="11"/>
        <v>67909.072329999995</v>
      </c>
      <c r="G257" s="649">
        <v>1234.7104059999999</v>
      </c>
      <c r="H257" s="649"/>
      <c r="I257" s="526">
        <f>G257*C257</f>
        <v>67909.072329999995</v>
      </c>
      <c r="J257" s="660">
        <f>J256+I257</f>
        <v>93837.990855999989</v>
      </c>
      <c r="K257" s="542"/>
    </row>
    <row r="258" spans="1:14">
      <c r="A258" s="445">
        <v>45966</v>
      </c>
      <c r="B258" s="395" t="s">
        <v>2040</v>
      </c>
      <c r="C258" s="646"/>
      <c r="D258" s="87"/>
      <c r="E258" s="649"/>
      <c r="F258" s="660"/>
      <c r="G258" s="649"/>
      <c r="H258" s="649"/>
      <c r="I258" s="526">
        <v>-20000</v>
      </c>
      <c r="J258" s="578">
        <f t="shared" ref="J258:J268" si="12">J257+I258</f>
        <v>73837.990855999989</v>
      </c>
      <c r="K258" s="542"/>
    </row>
    <row r="259" spans="1:14">
      <c r="A259" s="445">
        <v>45996</v>
      </c>
      <c r="B259" s="395" t="s">
        <v>2042</v>
      </c>
      <c r="C259" s="646"/>
      <c r="D259" s="87"/>
      <c r="E259" s="649"/>
      <c r="F259" s="660"/>
      <c r="G259" s="649"/>
      <c r="H259" s="649"/>
      <c r="I259" s="526">
        <v>70850.58</v>
      </c>
      <c r="J259" s="578">
        <f t="shared" si="12"/>
        <v>144688.57085600001</v>
      </c>
      <c r="K259" s="542"/>
    </row>
    <row r="260" spans="1:14">
      <c r="A260" s="655">
        <v>46003</v>
      </c>
      <c r="B260" s="395" t="s">
        <v>2041</v>
      </c>
      <c r="C260" s="656"/>
      <c r="D260" s="87"/>
      <c r="E260" s="649"/>
      <c r="F260" s="526"/>
      <c r="G260" s="649"/>
      <c r="H260" s="649"/>
      <c r="I260" s="526">
        <v>-20000</v>
      </c>
      <c r="J260" s="578">
        <f t="shared" si="12"/>
        <v>124688.57085600001</v>
      </c>
      <c r="K260" s="657"/>
    </row>
    <row r="261" spans="1:14" s="11" customFormat="1">
      <c r="A261" s="655"/>
      <c r="B261" s="395"/>
      <c r="C261" s="656"/>
      <c r="D261" s="87"/>
      <c r="E261" s="649"/>
      <c r="F261" s="526"/>
      <c r="G261" s="649"/>
      <c r="H261" s="649"/>
      <c r="I261" s="526"/>
      <c r="J261" s="578"/>
      <c r="K261" s="657"/>
      <c r="L261" s="75"/>
      <c r="M261" s="75"/>
      <c r="N261" s="75"/>
    </row>
    <row r="262" spans="1:14" s="11" customFormat="1">
      <c r="A262" s="655"/>
      <c r="B262" s="395"/>
      <c r="C262" s="656"/>
      <c r="D262" s="87"/>
      <c r="E262" s="649"/>
      <c r="F262" s="526"/>
      <c r="G262" s="649"/>
      <c r="H262" s="649"/>
      <c r="I262" s="526"/>
      <c r="J262" s="673">
        <v>2026</v>
      </c>
      <c r="K262" s="657"/>
      <c r="L262" s="75"/>
      <c r="M262" s="75"/>
      <c r="N262" s="75"/>
    </row>
    <row r="263" spans="1:14">
      <c r="A263" s="655"/>
      <c r="B263" s="454" t="s">
        <v>2113</v>
      </c>
      <c r="C263" s="656"/>
      <c r="D263" s="87"/>
      <c r="E263" s="649"/>
      <c r="F263" s="526"/>
      <c r="G263" s="649"/>
      <c r="H263" s="649"/>
      <c r="I263" s="526"/>
      <c r="J263" s="578">
        <f>J260+I263</f>
        <v>124688.57085600001</v>
      </c>
      <c r="K263" s="657"/>
    </row>
    <row r="264" spans="1:14">
      <c r="A264" s="655"/>
      <c r="B264" s="454" t="s">
        <v>2114</v>
      </c>
      <c r="C264" s="656"/>
      <c r="D264" s="87"/>
      <c r="E264" s="649"/>
      <c r="F264" s="526"/>
      <c r="G264" s="649"/>
      <c r="H264" s="649"/>
      <c r="I264" s="526"/>
      <c r="J264" s="578">
        <f t="shared" si="12"/>
        <v>124688.57085600001</v>
      </c>
      <c r="K264" s="657"/>
    </row>
    <row r="265" spans="1:14">
      <c r="A265" s="655"/>
      <c r="B265" s="454" t="s">
        <v>2115</v>
      </c>
      <c r="C265" s="656"/>
      <c r="D265" s="525"/>
      <c r="E265" s="649"/>
      <c r="F265" s="526"/>
      <c r="G265" s="649"/>
      <c r="H265" s="649"/>
      <c r="I265" s="526"/>
      <c r="J265" s="578">
        <f t="shared" si="12"/>
        <v>124688.57085600001</v>
      </c>
      <c r="K265" s="657"/>
    </row>
    <row r="266" spans="1:14">
      <c r="A266" s="655"/>
      <c r="B266" s="454" t="s">
        <v>2116</v>
      </c>
      <c r="C266" s="656"/>
      <c r="D266" s="525"/>
      <c r="E266" s="525"/>
      <c r="F266" s="526"/>
      <c r="G266" s="649"/>
      <c r="H266" s="649"/>
      <c r="I266" s="526"/>
      <c r="J266" s="578">
        <f t="shared" si="12"/>
        <v>124688.57085600001</v>
      </c>
      <c r="K266" s="657"/>
    </row>
    <row r="267" spans="1:14">
      <c r="A267" s="655"/>
      <c r="B267" s="454" t="s">
        <v>2117</v>
      </c>
      <c r="C267" s="656"/>
      <c r="D267" s="525"/>
      <c r="E267" s="525"/>
      <c r="F267" s="526"/>
      <c r="G267" s="649"/>
      <c r="H267" s="649"/>
      <c r="I267" s="526"/>
      <c r="J267" s="578">
        <f t="shared" si="12"/>
        <v>124688.57085600001</v>
      </c>
      <c r="K267" s="657"/>
    </row>
    <row r="268" spans="1:14">
      <c r="A268" s="655"/>
      <c r="B268" s="454"/>
      <c r="C268" s="656"/>
      <c r="D268" s="525"/>
      <c r="E268" s="525"/>
      <c r="F268" s="526"/>
      <c r="G268" s="649"/>
      <c r="H268" s="649"/>
      <c r="I268" s="525"/>
      <c r="J268" s="578">
        <f t="shared" si="12"/>
        <v>124688.57085600001</v>
      </c>
      <c r="K268" s="657"/>
    </row>
    <row r="269" spans="1:14">
      <c r="A269" s="655"/>
      <c r="B269" s="544"/>
      <c r="C269" s="656"/>
      <c r="D269" s="525"/>
      <c r="E269" s="525"/>
      <c r="F269" s="526"/>
      <c r="G269" s="649"/>
      <c r="H269" s="649"/>
      <c r="I269" s="526"/>
      <c r="J269" s="578"/>
      <c r="K269" s="454"/>
    </row>
    <row r="270" spans="1:14">
      <c r="A270" s="655"/>
      <c r="B270" s="454"/>
      <c r="C270" s="656"/>
      <c r="D270" s="525"/>
      <c r="E270" s="525"/>
      <c r="F270" s="526"/>
      <c r="G270" s="649"/>
      <c r="H270" s="649"/>
      <c r="I270" s="525"/>
      <c r="J270" s="578"/>
      <c r="K270" s="454"/>
    </row>
  </sheetData>
  <conditionalFormatting sqref="F190:F192">
    <cfRule type="cellIs" dxfId="128" priority="4" operator="lessThan">
      <formula>D190</formula>
    </cfRule>
  </conditionalFormatting>
  <conditionalFormatting sqref="F172:F174 F161">
    <cfRule type="cellIs" dxfId="127" priority="14" operator="lessThan">
      <formula>D161</formula>
    </cfRule>
  </conditionalFormatting>
  <conditionalFormatting sqref="F167:F169">
    <cfRule type="cellIs" dxfId="126" priority="15" operator="lessThan">
      <formula>D167</formula>
    </cfRule>
  </conditionalFormatting>
  <conditionalFormatting sqref="F165">
    <cfRule type="cellIs" dxfId="125" priority="13" operator="lessThan">
      <formula>D165</formula>
    </cfRule>
  </conditionalFormatting>
  <conditionalFormatting sqref="F166">
    <cfRule type="cellIs" dxfId="124" priority="11" operator="lessThan">
      <formula>D166</formula>
    </cfRule>
  </conditionalFormatting>
  <conditionalFormatting sqref="F162">
    <cfRule type="cellIs" dxfId="123" priority="10" operator="lessThan">
      <formula>D162</formula>
    </cfRule>
  </conditionalFormatting>
  <conditionalFormatting sqref="F186:F187">
    <cfRule type="cellIs" dxfId="122" priority="9" operator="lessThan">
      <formula>D186</formula>
    </cfRule>
  </conditionalFormatting>
  <conditionalFormatting sqref="F188:F189 F193 F196:F197">
    <cfRule type="cellIs" dxfId="121" priority="5" operator="lessThan">
      <formula>D188</formula>
    </cfRule>
  </conditionalFormatting>
  <conditionalFormatting sqref="F194">
    <cfRule type="cellIs" dxfId="120" priority="3" operator="lessThan">
      <formula>D194</formula>
    </cfRule>
  </conditionalFormatting>
  <conditionalFormatting sqref="F195">
    <cfRule type="cellIs" dxfId="119" priority="2" operator="lessThan">
      <formula>D195</formula>
    </cfRule>
  </conditionalFormatting>
  <conditionalFormatting sqref="F177">
    <cfRule type="cellIs" dxfId="118" priority="1" operator="lessThan">
      <formula>D177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O199"/>
  <sheetViews>
    <sheetView topLeftCell="A95" zoomScale="145" zoomScaleNormal="145" workbookViewId="0">
      <selection activeCell="G15" sqref="G15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5" width="13.42578125" style="74" customWidth="1"/>
    <col min="6" max="6" width="12.28515625" style="393"/>
    <col min="7" max="7" width="14" style="74" customWidth="1"/>
    <col min="8" max="8" width="9" style="87" bestFit="1" customWidth="1"/>
    <col min="9" max="9" width="12.28515625" style="74"/>
    <col min="11" max="11" width="10.5703125" bestFit="1" customWidth="1"/>
    <col min="12" max="12" width="6.140625" style="75" customWidth="1"/>
    <col min="13" max="13" width="14.5703125" style="75" customWidth="1"/>
    <col min="14" max="15" width="12.28515625" style="75"/>
    <col min="1025" max="1025" width="9.140625" customWidth="1"/>
  </cols>
  <sheetData>
    <row r="1" spans="1:14">
      <c r="F1" s="393" t="s">
        <v>20</v>
      </c>
      <c r="G1" s="74" t="s">
        <v>21</v>
      </c>
      <c r="I1" s="74" t="s">
        <v>3</v>
      </c>
    </row>
    <row r="2" spans="1:14">
      <c r="A2" s="3" t="s">
        <v>2018</v>
      </c>
      <c r="C2" s="76" t="s">
        <v>59</v>
      </c>
      <c r="D2" s="74">
        <f>SUM(D4:D16)</f>
        <v>17494.509999999998</v>
      </c>
      <c r="E2" s="74">
        <f ca="1">SUM(E4:E16)</f>
        <v>-73331.92</v>
      </c>
      <c r="F2" s="393">
        <f>SUM(F4:F16)</f>
        <v>17564.53</v>
      </c>
      <c r="G2" s="74">
        <f ca="1">SUM(G4:G16)</f>
        <v>-20914.86</v>
      </c>
      <c r="I2" s="74">
        <f ca="1">F2+G2</f>
        <v>-20914.86</v>
      </c>
    </row>
    <row r="3" spans="1:14">
      <c r="B3" s="15"/>
    </row>
    <row r="4" spans="1:14">
      <c r="B4" s="38"/>
      <c r="I4" s="74">
        <f>I3+F4+G4</f>
        <v>0</v>
      </c>
    </row>
    <row r="5" spans="1:14">
      <c r="B5" s="38"/>
      <c r="I5" s="74">
        <f>I4+F5+G5</f>
        <v>0</v>
      </c>
    </row>
    <row r="6" spans="1:14">
      <c r="A6" s="77">
        <v>45964</v>
      </c>
      <c r="B6" s="78" t="s">
        <v>2019</v>
      </c>
      <c r="C6" s="79"/>
      <c r="D6" s="80"/>
      <c r="E6" s="80"/>
      <c r="G6" s="74">
        <v>-10000</v>
      </c>
      <c r="I6" s="74">
        <f>I5+F6+G6</f>
        <v>-10000</v>
      </c>
    </row>
    <row r="7" spans="1:14">
      <c r="A7" s="81">
        <v>45965</v>
      </c>
      <c r="B7" s="78" t="s">
        <v>60</v>
      </c>
      <c r="C7" s="82"/>
      <c r="D7" s="83"/>
      <c r="E7" s="83">
        <f>E19</f>
        <v>-21799.29</v>
      </c>
      <c r="F7" s="411"/>
      <c r="G7" s="84">
        <f>E7</f>
        <v>-21799.29</v>
      </c>
      <c r="H7" s="84"/>
      <c r="I7" s="87">
        <f>I6+F7+G7</f>
        <v>-31799.29</v>
      </c>
    </row>
    <row r="8" spans="1:14">
      <c r="A8" s="77"/>
      <c r="B8" s="78" t="s">
        <v>61</v>
      </c>
      <c r="C8" s="82"/>
      <c r="D8" s="83"/>
      <c r="E8" s="83">
        <f ca="1">E69</f>
        <v>0</v>
      </c>
      <c r="F8" s="411"/>
      <c r="G8" s="84">
        <f ca="1">E8</f>
        <v>0</v>
      </c>
      <c r="H8" s="84"/>
      <c r="I8" s="87">
        <f t="shared" ref="I8:I15" ca="1" si="0">I7+F8+G8</f>
        <v>-31799.29</v>
      </c>
    </row>
    <row r="9" spans="1:14">
      <c r="B9" s="88" t="s">
        <v>64</v>
      </c>
      <c r="C9" s="89"/>
      <c r="D9" s="87"/>
      <c r="E9" s="87">
        <v>0</v>
      </c>
      <c r="I9" s="87">
        <f t="shared" ca="1" si="0"/>
        <v>-31799.29</v>
      </c>
    </row>
    <row r="10" spans="1:14" s="75" customFormat="1">
      <c r="A10" s="85"/>
      <c r="B10" s="512" t="s">
        <v>65</v>
      </c>
      <c r="C10" s="512"/>
      <c r="D10" s="373"/>
      <c r="E10" s="373">
        <v>-1000</v>
      </c>
      <c r="F10" s="393"/>
      <c r="G10" s="74">
        <v>-1195</v>
      </c>
      <c r="H10" s="87"/>
      <c r="I10" s="87">
        <f t="shared" ca="1" si="0"/>
        <v>-31799.29</v>
      </c>
    </row>
    <row r="11" spans="1:14" s="75" customFormat="1">
      <c r="A11" s="85"/>
      <c r="B11" s="512" t="s">
        <v>66</v>
      </c>
      <c r="C11" s="512"/>
      <c r="D11" s="373"/>
      <c r="E11" s="373">
        <v>-200</v>
      </c>
      <c r="F11" s="393"/>
      <c r="G11" s="74">
        <v>-45</v>
      </c>
      <c r="H11" s="87"/>
      <c r="I11" s="87">
        <f t="shared" ca="1" si="0"/>
        <v>-31799.29</v>
      </c>
    </row>
    <row r="12" spans="1:14" s="75" customFormat="1">
      <c r="A12" s="85"/>
      <c r="B12" s="403" t="s">
        <v>68</v>
      </c>
      <c r="C12" s="403"/>
      <c r="D12" s="373">
        <v>17494.509999999998</v>
      </c>
      <c r="E12" s="373"/>
      <c r="F12" s="393">
        <v>17564.53</v>
      </c>
      <c r="G12" s="74"/>
      <c r="H12" s="87"/>
      <c r="I12" s="87">
        <f t="shared" ca="1" si="0"/>
        <v>-31799.29</v>
      </c>
      <c r="K12" s="90"/>
      <c r="L12" s="90"/>
      <c r="M12" s="91"/>
      <c r="N12" s="92"/>
    </row>
    <row r="13" spans="1:14" s="75" customFormat="1">
      <c r="B13" s="403" t="s">
        <v>70</v>
      </c>
      <c r="C13" s="403"/>
      <c r="D13" s="373"/>
      <c r="E13" s="373">
        <v>-7500</v>
      </c>
      <c r="F13" s="393"/>
      <c r="G13" s="74">
        <v>-9000</v>
      </c>
      <c r="H13" s="87"/>
      <c r="I13" s="87">
        <f t="shared" ca="1" si="0"/>
        <v>-31799.29</v>
      </c>
      <c r="K13" s="90"/>
      <c r="L13" s="90"/>
      <c r="M13" s="91"/>
      <c r="N13" s="92"/>
    </row>
    <row r="14" spans="1:14" s="75" customFormat="1">
      <c r="B14" s="89" t="s">
        <v>71</v>
      </c>
      <c r="C14" s="89"/>
      <c r="D14" s="87"/>
      <c r="E14" s="87">
        <v>-7500</v>
      </c>
      <c r="F14" s="393"/>
      <c r="G14" s="74"/>
      <c r="H14" s="87"/>
      <c r="I14" s="87">
        <f t="shared" ca="1" si="0"/>
        <v>-31799.29</v>
      </c>
      <c r="K14" s="90"/>
      <c r="L14" s="90"/>
      <c r="M14" s="91"/>
      <c r="N14" s="92"/>
    </row>
    <row r="15" spans="1:14" s="75" customFormat="1">
      <c r="H15" s="87"/>
      <c r="I15" s="87">
        <f t="shared" ca="1" si="0"/>
        <v>-31799.29</v>
      </c>
      <c r="K15" s="90"/>
      <c r="L15" s="90"/>
      <c r="M15" s="91"/>
      <c r="N15" s="92"/>
    </row>
    <row r="16" spans="1:14" s="75" customFormat="1">
      <c r="D16" s="74"/>
      <c r="E16" s="74"/>
      <c r="F16" s="393"/>
      <c r="G16" s="74"/>
      <c r="H16" s="87"/>
      <c r="I16" s="87"/>
    </row>
    <row r="17" spans="1:15" s="74" customFormat="1">
      <c r="A17" s="85"/>
      <c r="B17" s="75"/>
      <c r="C17" s="75"/>
      <c r="F17" s="393"/>
      <c r="H17" s="87"/>
      <c r="J17" s="75"/>
      <c r="K17" s="75"/>
      <c r="L17" s="75"/>
      <c r="M17" s="75"/>
      <c r="N17" s="75"/>
      <c r="O17" s="75"/>
    </row>
    <row r="18" spans="1:15" s="74" customFormat="1">
      <c r="B18" s="98"/>
      <c r="F18" s="393"/>
      <c r="H18" s="87"/>
      <c r="L18" s="75"/>
      <c r="M18" s="75"/>
      <c r="N18" s="75"/>
      <c r="O18" s="75"/>
    </row>
    <row r="19" spans="1:15">
      <c r="A19" s="99"/>
      <c r="B19" s="100" t="s">
        <v>75</v>
      </c>
      <c r="C19" s="99"/>
      <c r="E19" s="74">
        <f>SUM(E20:E66)</f>
        <v>-21799.29</v>
      </c>
      <c r="J19" s="74"/>
      <c r="K19" s="74"/>
    </row>
    <row r="20" spans="1:15" s="74" customFormat="1">
      <c r="A20"/>
      <c r="B20"/>
      <c r="C20"/>
      <c r="F20" s="393"/>
      <c r="H20" s="87"/>
      <c r="J20"/>
      <c r="K20"/>
      <c r="L20" s="75"/>
      <c r="M20" s="75"/>
      <c r="N20" s="75"/>
      <c r="O20" s="75"/>
    </row>
    <row r="21" spans="1:15" s="87" customFormat="1">
      <c r="A21" s="85">
        <v>45817</v>
      </c>
      <c r="B21" s="87" t="s">
        <v>1850</v>
      </c>
      <c r="D21" s="87" t="s">
        <v>1891</v>
      </c>
      <c r="E21" s="87">
        <v>-406.67</v>
      </c>
      <c r="F21" s="393"/>
      <c r="J21" s="11"/>
      <c r="K21" s="11"/>
      <c r="L21" s="75"/>
      <c r="M21" s="75"/>
      <c r="N21" s="75"/>
      <c r="O21" s="75"/>
    </row>
    <row r="22" spans="1:15" s="87" customFormat="1">
      <c r="A22" s="96">
        <v>45790</v>
      </c>
      <c r="B22" s="103" t="s">
        <v>330</v>
      </c>
      <c r="C22" s="87">
        <v>1407.46</v>
      </c>
      <c r="D22" s="87" t="s">
        <v>469</v>
      </c>
      <c r="E22" s="87">
        <v>-234.56</v>
      </c>
      <c r="F22" s="393"/>
      <c r="L22" s="75"/>
      <c r="M22" s="75"/>
      <c r="N22" s="75"/>
      <c r="O22" s="75"/>
    </row>
    <row r="23" spans="1:15" s="74" customFormat="1">
      <c r="A23" s="96">
        <v>45880</v>
      </c>
      <c r="B23" s="103" t="s">
        <v>1927</v>
      </c>
      <c r="C23" s="102">
        <v>5126</v>
      </c>
      <c r="D23" s="87" t="s">
        <v>1889</v>
      </c>
      <c r="E23" s="87">
        <v>-854.33</v>
      </c>
      <c r="F23" s="393"/>
      <c r="H23" s="87"/>
      <c r="L23" s="75"/>
      <c r="M23" s="75"/>
      <c r="N23" s="75"/>
      <c r="O23" s="75"/>
    </row>
    <row r="24" spans="1:15">
      <c r="A24" s="96">
        <v>45880</v>
      </c>
      <c r="B24" s="103" t="s">
        <v>1928</v>
      </c>
      <c r="C24" s="102">
        <v>16598.900000000001</v>
      </c>
      <c r="D24" s="87" t="s">
        <v>1946</v>
      </c>
      <c r="E24" s="87">
        <v>-1844.32</v>
      </c>
      <c r="J24" s="74"/>
      <c r="K24" s="74"/>
    </row>
    <row r="25" spans="1:15" s="74" customFormat="1">
      <c r="A25" s="96">
        <v>45901</v>
      </c>
      <c r="B25" s="103" t="s">
        <v>1992</v>
      </c>
      <c r="C25" s="102">
        <v>2307</v>
      </c>
      <c r="D25" s="87" t="s">
        <v>1887</v>
      </c>
      <c r="E25" s="87">
        <v>-384.5</v>
      </c>
      <c r="F25" s="393"/>
      <c r="H25" s="87"/>
      <c r="J25"/>
      <c r="K25"/>
      <c r="L25" s="75"/>
      <c r="M25" s="75"/>
      <c r="N25" s="75"/>
      <c r="O25" s="75"/>
    </row>
    <row r="26" spans="1:15" s="74" customFormat="1">
      <c r="A26" s="96"/>
      <c r="B26" s="102"/>
      <c r="C26" s="102"/>
      <c r="F26" s="393"/>
      <c r="H26" s="87"/>
      <c r="L26" s="75"/>
      <c r="M26" s="75"/>
      <c r="N26" s="75"/>
      <c r="O26" s="75"/>
    </row>
    <row r="27" spans="1:15" s="74" customFormat="1">
      <c r="A27" s="96">
        <v>45925</v>
      </c>
      <c r="B27" s="102" t="s">
        <v>2005</v>
      </c>
      <c r="C27" s="102"/>
      <c r="E27" s="74">
        <v>-250</v>
      </c>
      <c r="F27" s="393"/>
      <c r="H27" s="87"/>
      <c r="L27" s="75"/>
      <c r="M27" s="75"/>
      <c r="N27" s="75"/>
      <c r="O27" s="75"/>
    </row>
    <row r="28" spans="1:15" s="87" customFormat="1">
      <c r="A28" s="96"/>
      <c r="B28" s="102" t="s">
        <v>1926</v>
      </c>
      <c r="C28" s="102"/>
      <c r="E28" s="87">
        <v>-250</v>
      </c>
      <c r="F28" s="393"/>
      <c r="L28" s="75"/>
      <c r="M28" s="75"/>
      <c r="N28" s="75"/>
      <c r="O28" s="75"/>
    </row>
    <row r="29" spans="1:15" s="87" customFormat="1">
      <c r="A29" s="96"/>
      <c r="B29" s="102" t="s">
        <v>2006</v>
      </c>
      <c r="C29" s="102"/>
      <c r="E29" s="87">
        <v>-2521.0300000000002</v>
      </c>
      <c r="F29" s="393"/>
      <c r="L29" s="75"/>
      <c r="M29" s="75"/>
      <c r="N29" s="75"/>
      <c r="O29" s="75"/>
    </row>
    <row r="30" spans="1:15" s="87" customFormat="1">
      <c r="A30" s="96">
        <v>45926</v>
      </c>
      <c r="B30" s="102" t="s">
        <v>2007</v>
      </c>
      <c r="C30" s="102"/>
      <c r="E30" s="87">
        <v>-165</v>
      </c>
      <c r="F30" s="393"/>
      <c r="L30" s="75"/>
      <c r="M30" s="75"/>
      <c r="N30" s="75"/>
      <c r="O30" s="75"/>
    </row>
    <row r="31" spans="1:15" s="87" customFormat="1">
      <c r="A31" s="96"/>
      <c r="B31" s="102" t="s">
        <v>119</v>
      </c>
      <c r="C31" s="102"/>
      <c r="E31" s="87">
        <v>-80</v>
      </c>
      <c r="F31" s="393"/>
      <c r="L31" s="75"/>
      <c r="M31" s="75"/>
      <c r="N31" s="75"/>
      <c r="O31" s="75"/>
    </row>
    <row r="32" spans="1:15" s="87" customFormat="1">
      <c r="A32" s="96"/>
      <c r="B32" s="102" t="s">
        <v>119</v>
      </c>
      <c r="C32" s="102"/>
      <c r="E32" s="87">
        <v>-52</v>
      </c>
      <c r="F32" s="393"/>
      <c r="L32" s="75"/>
      <c r="M32" s="75"/>
      <c r="N32" s="75"/>
      <c r="O32" s="75"/>
    </row>
    <row r="33" spans="1:15" s="87" customFormat="1">
      <c r="A33" s="96"/>
      <c r="B33" s="102" t="s">
        <v>1603</v>
      </c>
      <c r="C33" s="102"/>
      <c r="E33" s="87">
        <v>-135</v>
      </c>
      <c r="F33" s="393"/>
      <c r="L33" s="75"/>
      <c r="M33" s="75"/>
      <c r="N33" s="75"/>
      <c r="O33" s="75"/>
    </row>
    <row r="34" spans="1:15" s="87" customFormat="1">
      <c r="A34" s="96"/>
      <c r="B34" s="102" t="s">
        <v>2008</v>
      </c>
      <c r="C34" s="102"/>
      <c r="E34" s="87">
        <v>-520</v>
      </c>
      <c r="F34" s="393"/>
      <c r="L34" s="75"/>
      <c r="M34" s="75"/>
      <c r="N34" s="75"/>
      <c r="O34" s="75"/>
    </row>
    <row r="35" spans="1:15" s="87" customFormat="1">
      <c r="A35" s="96"/>
      <c r="B35" s="102" t="s">
        <v>2009</v>
      </c>
      <c r="C35" s="102"/>
      <c r="E35" s="87">
        <v>-100</v>
      </c>
      <c r="F35" s="393"/>
      <c r="L35" s="75"/>
      <c r="M35" s="75"/>
      <c r="N35" s="75"/>
      <c r="O35" s="75"/>
    </row>
    <row r="36" spans="1:15" s="87" customFormat="1">
      <c r="A36" s="96"/>
      <c r="B36" s="102" t="s">
        <v>1603</v>
      </c>
      <c r="C36" s="102"/>
      <c r="E36" s="87">
        <v>-130</v>
      </c>
      <c r="F36" s="393"/>
      <c r="L36" s="75"/>
      <c r="M36" s="75"/>
      <c r="N36" s="75"/>
      <c r="O36" s="75"/>
    </row>
    <row r="37" spans="1:15" s="87" customFormat="1">
      <c r="A37" s="96">
        <v>45931</v>
      </c>
      <c r="B37" s="102" t="s">
        <v>2010</v>
      </c>
      <c r="C37" s="102"/>
      <c r="E37" s="87">
        <v>-2869.34</v>
      </c>
      <c r="F37" s="393"/>
      <c r="L37" s="75"/>
      <c r="M37" s="75"/>
      <c r="N37" s="75"/>
      <c r="O37" s="75"/>
    </row>
    <row r="38" spans="1:15" s="87" customFormat="1">
      <c r="A38" s="96"/>
      <c r="B38" s="102" t="s">
        <v>1603</v>
      </c>
      <c r="C38" s="102"/>
      <c r="E38" s="87">
        <v>-90</v>
      </c>
      <c r="F38" s="393"/>
      <c r="L38" s="75"/>
      <c r="M38" s="75"/>
      <c r="N38" s="75"/>
      <c r="O38" s="75"/>
    </row>
    <row r="39" spans="1:15" s="87" customFormat="1">
      <c r="A39" s="96"/>
      <c r="B39" s="102" t="s">
        <v>1763</v>
      </c>
      <c r="C39" s="102"/>
      <c r="E39" s="87">
        <v>-120</v>
      </c>
      <c r="F39" s="393"/>
      <c r="L39" s="75"/>
      <c r="M39" s="75"/>
      <c r="N39" s="75"/>
      <c r="O39" s="75"/>
    </row>
    <row r="40" spans="1:15" s="87" customFormat="1">
      <c r="A40" s="96"/>
      <c r="B40" s="102" t="s">
        <v>2007</v>
      </c>
      <c r="C40" s="102"/>
      <c r="E40" s="87">
        <v>-165</v>
      </c>
      <c r="F40" s="393"/>
      <c r="L40" s="75"/>
      <c r="M40" s="75"/>
      <c r="N40" s="75"/>
      <c r="O40" s="75"/>
    </row>
    <row r="41" spans="1:15" s="87" customFormat="1">
      <c r="A41" s="96"/>
      <c r="B41" s="102" t="s">
        <v>119</v>
      </c>
      <c r="C41" s="102"/>
      <c r="E41" s="87">
        <v>-162.5</v>
      </c>
      <c r="F41" s="393"/>
      <c r="L41" s="75"/>
      <c r="M41" s="75"/>
      <c r="N41" s="75"/>
      <c r="O41" s="75"/>
    </row>
    <row r="42" spans="1:15" s="87" customFormat="1">
      <c r="A42" s="96"/>
      <c r="B42" s="102" t="s">
        <v>119</v>
      </c>
      <c r="C42" s="102"/>
      <c r="E42" s="87">
        <v>-80</v>
      </c>
      <c r="F42" s="393"/>
      <c r="L42" s="75"/>
      <c r="M42" s="75"/>
      <c r="N42" s="75"/>
      <c r="O42" s="75"/>
    </row>
    <row r="43" spans="1:15" s="87" customFormat="1">
      <c r="A43" s="96"/>
      <c r="B43" s="102" t="s">
        <v>119</v>
      </c>
      <c r="C43" s="102"/>
      <c r="E43" s="87">
        <v>-590.26</v>
      </c>
      <c r="F43" s="393"/>
      <c r="L43" s="75"/>
      <c r="M43" s="75"/>
      <c r="N43" s="75"/>
      <c r="O43" s="75"/>
    </row>
    <row r="44" spans="1:15" s="87" customFormat="1">
      <c r="A44" s="96"/>
      <c r="B44" s="102" t="s">
        <v>2005</v>
      </c>
      <c r="C44" s="102"/>
      <c r="E44" s="87">
        <v>-250</v>
      </c>
      <c r="F44" s="393"/>
      <c r="L44" s="75"/>
      <c r="M44" s="75"/>
      <c r="N44" s="75"/>
      <c r="O44" s="75"/>
    </row>
    <row r="45" spans="1:15" s="87" customFormat="1">
      <c r="A45" s="96"/>
      <c r="B45" s="102" t="s">
        <v>124</v>
      </c>
      <c r="C45" s="102"/>
      <c r="E45" s="87">
        <v>-500</v>
      </c>
      <c r="F45" s="393"/>
      <c r="L45" s="75"/>
      <c r="M45" s="75"/>
      <c r="N45" s="75"/>
      <c r="O45" s="75"/>
    </row>
    <row r="46" spans="1:15" s="87" customFormat="1">
      <c r="A46" s="96">
        <v>45936</v>
      </c>
      <c r="B46" s="102" t="s">
        <v>121</v>
      </c>
      <c r="C46" s="102"/>
      <c r="D46" s="87">
        <v>29005.360000000001</v>
      </c>
      <c r="F46" s="393"/>
      <c r="L46" s="75"/>
      <c r="M46" s="75"/>
      <c r="N46" s="75"/>
      <c r="O46" s="75"/>
    </row>
    <row r="47" spans="1:15" s="87" customFormat="1">
      <c r="A47" s="96"/>
      <c r="B47" s="102" t="s">
        <v>2011</v>
      </c>
      <c r="C47" s="102"/>
      <c r="E47" s="87">
        <v>-1390</v>
      </c>
      <c r="F47" s="393"/>
      <c r="L47" s="75"/>
      <c r="M47" s="75"/>
      <c r="N47" s="75"/>
      <c r="O47" s="75"/>
    </row>
    <row r="48" spans="1:15" s="87" customFormat="1">
      <c r="A48" s="96"/>
      <c r="B48" s="102" t="s">
        <v>1910</v>
      </c>
      <c r="C48" s="102"/>
      <c r="E48" s="87">
        <v>-375</v>
      </c>
      <c r="F48" s="393"/>
      <c r="L48" s="75"/>
      <c r="M48" s="75"/>
      <c r="N48" s="75"/>
      <c r="O48" s="75"/>
    </row>
    <row r="49" spans="1:15" s="87" customFormat="1">
      <c r="A49" s="96"/>
      <c r="B49" s="102" t="s">
        <v>1603</v>
      </c>
      <c r="C49" s="102"/>
      <c r="E49" s="87">
        <v>-90</v>
      </c>
      <c r="F49" s="393"/>
      <c r="L49" s="75"/>
      <c r="M49" s="75"/>
      <c r="N49" s="75"/>
      <c r="O49" s="75"/>
    </row>
    <row r="50" spans="1:15" s="87" customFormat="1">
      <c r="A50" s="96"/>
      <c r="B50" s="102" t="s">
        <v>124</v>
      </c>
      <c r="C50" s="102"/>
      <c r="E50" s="87">
        <v>-1000</v>
      </c>
      <c r="F50" s="393"/>
      <c r="L50" s="75"/>
      <c r="M50" s="75"/>
      <c r="N50" s="75"/>
      <c r="O50" s="75"/>
    </row>
    <row r="51" spans="1:15" s="87" customFormat="1">
      <c r="A51" s="96"/>
      <c r="B51" s="102" t="s">
        <v>1661</v>
      </c>
      <c r="C51" s="102"/>
      <c r="E51" s="87">
        <v>-350</v>
      </c>
      <c r="F51" s="393"/>
      <c r="L51" s="75"/>
      <c r="M51" s="75"/>
      <c r="N51" s="75"/>
      <c r="O51" s="75"/>
    </row>
    <row r="52" spans="1:15" s="87" customFormat="1">
      <c r="A52" s="96"/>
      <c r="B52" s="102" t="s">
        <v>119</v>
      </c>
      <c r="C52" s="102"/>
      <c r="E52" s="87">
        <v>-138.4</v>
      </c>
      <c r="F52" s="393"/>
      <c r="L52" s="75"/>
      <c r="M52" s="75"/>
      <c r="N52" s="75"/>
      <c r="O52" s="75"/>
    </row>
    <row r="53" spans="1:15" s="87" customFormat="1">
      <c r="A53" s="96"/>
      <c r="B53" s="102" t="s">
        <v>2012</v>
      </c>
      <c r="C53" s="102"/>
      <c r="E53" s="87">
        <v>-216.95</v>
      </c>
      <c r="F53" s="393"/>
      <c r="L53" s="75"/>
      <c r="M53" s="75"/>
      <c r="N53" s="75"/>
      <c r="O53" s="75"/>
    </row>
    <row r="54" spans="1:15" s="87" customFormat="1">
      <c r="A54" s="96"/>
      <c r="B54" s="102" t="s">
        <v>2013</v>
      </c>
      <c r="C54" s="102"/>
      <c r="E54" s="87">
        <v>-450</v>
      </c>
      <c r="F54" s="393"/>
      <c r="L54" s="75"/>
      <c r="M54" s="75"/>
      <c r="N54" s="75"/>
      <c r="O54" s="75"/>
    </row>
    <row r="55" spans="1:15" s="87" customFormat="1">
      <c r="A55" s="96"/>
      <c r="B55" s="102" t="s">
        <v>2014</v>
      </c>
      <c r="C55" s="102"/>
      <c r="E55" s="87">
        <v>-1900</v>
      </c>
      <c r="F55" s="393"/>
      <c r="L55" s="75"/>
      <c r="M55" s="75"/>
      <c r="N55" s="75"/>
      <c r="O55" s="75"/>
    </row>
    <row r="56" spans="1:15" s="87" customFormat="1">
      <c r="A56" s="96"/>
      <c r="B56" s="102" t="s">
        <v>2015</v>
      </c>
      <c r="C56" s="102"/>
      <c r="E56" s="87">
        <v>-200</v>
      </c>
      <c r="F56" s="393"/>
      <c r="L56" s="75"/>
      <c r="M56" s="75"/>
      <c r="N56" s="75"/>
      <c r="O56" s="75"/>
    </row>
    <row r="57" spans="1:15" s="74" customFormat="1">
      <c r="A57" s="96"/>
      <c r="B57" s="103" t="s">
        <v>2016</v>
      </c>
      <c r="C57" s="102"/>
      <c r="E57" s="74">
        <v>-570</v>
      </c>
      <c r="F57" s="393"/>
      <c r="H57" s="87"/>
      <c r="L57" s="75"/>
      <c r="M57" s="75"/>
      <c r="N57" s="75"/>
      <c r="O57" s="75"/>
    </row>
    <row r="58" spans="1:15" s="74" customFormat="1">
      <c r="A58" s="96"/>
      <c r="B58" s="103" t="s">
        <v>124</v>
      </c>
      <c r="C58" s="102"/>
      <c r="E58" s="74">
        <v>-1000</v>
      </c>
      <c r="F58" s="393"/>
      <c r="H58" s="87"/>
      <c r="L58" s="75"/>
      <c r="M58" s="75"/>
      <c r="N58" s="75"/>
      <c r="O58" s="75"/>
    </row>
    <row r="59" spans="1:15" s="74" customFormat="1">
      <c r="A59" s="96"/>
      <c r="B59" s="103" t="s">
        <v>119</v>
      </c>
      <c r="E59" s="74">
        <v>-40</v>
      </c>
      <c r="F59" s="393"/>
      <c r="H59" s="87"/>
      <c r="L59" s="75"/>
      <c r="M59" s="75"/>
      <c r="N59" s="75"/>
      <c r="O59" s="75"/>
    </row>
    <row r="60" spans="1:15" s="74" customFormat="1">
      <c r="A60" s="96"/>
      <c r="B60" s="103" t="s">
        <v>1910</v>
      </c>
      <c r="C60" s="102"/>
      <c r="E60" s="74">
        <v>-440</v>
      </c>
      <c r="F60" s="393"/>
      <c r="H60" s="87"/>
      <c r="L60" s="75"/>
      <c r="M60" s="75"/>
      <c r="N60" s="75"/>
      <c r="O60" s="75"/>
    </row>
    <row r="61" spans="1:15" s="74" customFormat="1">
      <c r="A61" s="96"/>
      <c r="B61" s="3" t="s">
        <v>2017</v>
      </c>
      <c r="E61" s="74">
        <v>-400</v>
      </c>
      <c r="F61" s="393"/>
      <c r="H61" s="87"/>
      <c r="L61" s="75"/>
      <c r="M61" s="75"/>
      <c r="N61" s="75"/>
      <c r="O61" s="75"/>
    </row>
    <row r="62" spans="1:15" s="74" customFormat="1">
      <c r="A62" s="96"/>
      <c r="B62" s="102" t="s">
        <v>1603</v>
      </c>
      <c r="C62" s="102"/>
      <c r="E62" s="74">
        <v>-90</v>
      </c>
      <c r="F62" s="393"/>
      <c r="H62" s="87"/>
      <c r="L62" s="75"/>
      <c r="M62" s="75"/>
      <c r="N62" s="75"/>
      <c r="O62" s="75"/>
    </row>
    <row r="63" spans="1:15" s="74" customFormat="1">
      <c r="B63" s="74" t="s">
        <v>119</v>
      </c>
      <c r="E63" s="74">
        <v>-272.13</v>
      </c>
      <c r="F63" s="393"/>
      <c r="H63" s="87"/>
      <c r="L63" s="75"/>
      <c r="M63" s="75"/>
      <c r="N63" s="75"/>
      <c r="O63" s="75"/>
    </row>
    <row r="64" spans="1:15" s="74" customFormat="1">
      <c r="A64" s="96"/>
      <c r="B64" s="102" t="s">
        <v>119</v>
      </c>
      <c r="C64" s="102"/>
      <c r="E64" s="74">
        <v>-60.3</v>
      </c>
      <c r="F64" s="393"/>
      <c r="H64" s="87"/>
      <c r="L64" s="75"/>
      <c r="M64" s="75"/>
      <c r="N64" s="75"/>
      <c r="O64" s="75"/>
    </row>
    <row r="65" spans="1:15" s="74" customFormat="1">
      <c r="A65" s="96"/>
      <c r="B65" s="102" t="s">
        <v>119</v>
      </c>
      <c r="C65" s="102"/>
      <c r="E65" s="74">
        <v>-62</v>
      </c>
      <c r="F65" s="393"/>
      <c r="H65" s="87"/>
      <c r="L65" s="75"/>
      <c r="M65" s="75"/>
      <c r="N65" s="75"/>
      <c r="O65" s="75"/>
    </row>
    <row r="66" spans="1:15" s="74" customFormat="1" ht="15">
      <c r="A66" s="96"/>
      <c r="B66" s="3"/>
      <c r="C66" s="102"/>
      <c r="E66" s="101" t="s">
        <v>76</v>
      </c>
      <c r="F66" s="393"/>
      <c r="H66" s="87"/>
      <c r="L66" s="75"/>
      <c r="M66" s="75"/>
      <c r="N66" s="75"/>
      <c r="O66" s="75"/>
    </row>
    <row r="67" spans="1:15" s="74" customFormat="1">
      <c r="A67" s="96"/>
      <c r="B67" s="3"/>
      <c r="C67" s="102"/>
      <c r="F67" s="393"/>
      <c r="H67" s="87"/>
      <c r="L67" s="75"/>
      <c r="M67" s="75"/>
      <c r="N67" s="75"/>
      <c r="O67" s="75"/>
    </row>
    <row r="68" spans="1:15" s="74" customFormat="1">
      <c r="A68" s="96"/>
      <c r="B68" s="3"/>
      <c r="C68" s="102"/>
      <c r="F68" s="393"/>
      <c r="H68" s="87"/>
      <c r="L68" s="75"/>
      <c r="M68" s="75"/>
      <c r="N68" s="75"/>
      <c r="O68" s="75"/>
    </row>
    <row r="69" spans="1:15" s="74" customFormat="1">
      <c r="A69" s="99"/>
      <c r="B69" s="100" t="s">
        <v>77</v>
      </c>
      <c r="C69" s="99"/>
      <c r="E69" s="74">
        <f ca="1">SUM(E64:E82)</f>
        <v>0</v>
      </c>
      <c r="F69" s="393"/>
      <c r="H69" s="87"/>
      <c r="L69" s="75"/>
      <c r="M69" s="75"/>
      <c r="N69" s="75"/>
      <c r="O69" s="75"/>
    </row>
    <row r="70" spans="1:15" s="74" customFormat="1">
      <c r="A70" s="96"/>
      <c r="B70" s="3"/>
      <c r="C70" s="102"/>
      <c r="F70" s="393"/>
      <c r="H70" s="87"/>
      <c r="L70" s="75"/>
      <c r="M70" s="75"/>
      <c r="N70" s="75"/>
      <c r="O70" s="75"/>
    </row>
    <row r="71" spans="1:15" s="74" customFormat="1">
      <c r="A71" s="96"/>
      <c r="B71" s="3"/>
      <c r="C71" s="102"/>
      <c r="F71" s="393"/>
      <c r="H71" s="87"/>
      <c r="L71" s="75"/>
      <c r="M71" s="75"/>
      <c r="N71" s="75"/>
      <c r="O71" s="75"/>
    </row>
    <row r="72" spans="1:15" s="74" customFormat="1">
      <c r="A72" s="96"/>
      <c r="B72" s="3"/>
      <c r="C72" s="102"/>
      <c r="F72" s="393"/>
      <c r="H72" s="87"/>
      <c r="L72" s="75"/>
      <c r="M72" s="75"/>
      <c r="N72" s="75"/>
      <c r="O72" s="75"/>
    </row>
    <row r="73" spans="1:15" s="74" customFormat="1">
      <c r="A73" s="96"/>
      <c r="B73" s="3"/>
      <c r="C73" s="102"/>
      <c r="F73" s="393"/>
      <c r="H73" s="87"/>
      <c r="L73" s="75"/>
      <c r="M73" s="75"/>
      <c r="N73" s="75"/>
      <c r="O73" s="75"/>
    </row>
    <row r="74" spans="1:15" s="74" customFormat="1">
      <c r="A74" s="96"/>
      <c r="B74" s="3"/>
      <c r="C74" s="102"/>
      <c r="F74" s="393"/>
      <c r="H74" s="87"/>
      <c r="L74" s="75"/>
      <c r="M74" s="75"/>
      <c r="N74" s="75"/>
      <c r="O74" s="75"/>
    </row>
    <row r="75" spans="1:15" s="74" customFormat="1">
      <c r="A75" s="96"/>
      <c r="B75" s="3"/>
      <c r="C75" s="102"/>
      <c r="F75" s="393"/>
      <c r="H75" s="87"/>
      <c r="L75" s="75"/>
      <c r="M75" s="75"/>
      <c r="N75" s="75"/>
      <c r="O75" s="75"/>
    </row>
    <row r="76" spans="1:15" s="74" customFormat="1">
      <c r="A76" s="96"/>
      <c r="B76" s="3"/>
      <c r="C76" s="102"/>
      <c r="F76" s="393"/>
      <c r="H76" s="87"/>
      <c r="L76" s="75"/>
      <c r="M76" s="75"/>
      <c r="N76" s="75"/>
      <c r="O76" s="75"/>
    </row>
    <row r="77" spans="1:15" s="74" customFormat="1" ht="15">
      <c r="A77" s="96"/>
      <c r="B77" s="3"/>
      <c r="C77" s="102"/>
      <c r="E77" s="101" t="s">
        <v>76</v>
      </c>
      <c r="F77" s="393"/>
      <c r="H77" s="87"/>
      <c r="L77" s="75"/>
      <c r="M77" s="75"/>
      <c r="N77" s="75"/>
      <c r="O77" s="75"/>
    </row>
    <row r="78" spans="1:15" s="74" customFormat="1">
      <c r="A78" s="96"/>
      <c r="B78" s="3"/>
      <c r="C78" s="102"/>
      <c r="F78" s="393"/>
      <c r="H78" s="87"/>
      <c r="L78" s="75"/>
      <c r="M78" s="75"/>
      <c r="N78" s="75"/>
      <c r="O78" s="75"/>
    </row>
    <row r="79" spans="1:15" s="74" customFormat="1">
      <c r="A79" s="96"/>
      <c r="B79" s="3"/>
      <c r="C79" s="102"/>
      <c r="F79" s="393"/>
      <c r="H79" s="87"/>
      <c r="L79" s="75"/>
      <c r="M79" s="75"/>
      <c r="N79" s="75"/>
      <c r="O79" s="75"/>
    </row>
    <row r="80" spans="1:15" s="74" customFormat="1">
      <c r="A80" s="96"/>
      <c r="B80" s="3"/>
      <c r="C80" s="102"/>
      <c r="F80" s="393"/>
      <c r="H80" s="87"/>
      <c r="L80" s="75"/>
      <c r="M80" s="75"/>
      <c r="N80" s="75"/>
      <c r="O80" s="75"/>
    </row>
    <row r="81" spans="1:15" s="74" customFormat="1">
      <c r="A81" s="96"/>
      <c r="B81" s="3"/>
      <c r="C81" s="102"/>
      <c r="F81" s="393"/>
      <c r="H81" s="87"/>
      <c r="L81" s="75"/>
      <c r="M81" s="75"/>
      <c r="N81" s="75"/>
      <c r="O81" s="75"/>
    </row>
    <row r="82" spans="1:15" s="74" customFormat="1">
      <c r="A82" s="96"/>
      <c r="B82" s="3"/>
      <c r="C82" s="102"/>
      <c r="F82" s="393"/>
      <c r="H82" s="87"/>
      <c r="L82" s="75"/>
      <c r="M82" s="75"/>
      <c r="N82" s="75"/>
      <c r="O82" s="75"/>
    </row>
    <row r="83" spans="1:15" s="74" customFormat="1">
      <c r="A83" s="96"/>
      <c r="B83" s="3"/>
      <c r="F83" s="393"/>
      <c r="H83" s="87"/>
      <c r="L83" s="75"/>
      <c r="M83" s="75"/>
      <c r="N83" s="75"/>
      <c r="O83" s="75"/>
    </row>
    <row r="84" spans="1:15" s="74" customFormat="1">
      <c r="A84" s="555" t="s">
        <v>2020</v>
      </c>
      <c r="B84" s="100" t="s">
        <v>128</v>
      </c>
      <c r="C84" s="99">
        <v>2025</v>
      </c>
      <c r="D84" s="87"/>
      <c r="E84" s="87"/>
      <c r="F84" s="393"/>
      <c r="G84" s="87">
        <f>SUM(G88:G109)</f>
        <v>496797.87999999995</v>
      </c>
      <c r="H84" s="87"/>
      <c r="I84" s="87"/>
      <c r="J84" s="87"/>
      <c r="K84" s="542"/>
      <c r="L84" s="75"/>
      <c r="M84" s="75"/>
      <c r="N84" s="75"/>
      <c r="O84" s="75"/>
    </row>
    <row r="85" spans="1:15" s="74" customFormat="1">
      <c r="A85" s="555"/>
      <c r="B85" s="100"/>
      <c r="C85" s="99"/>
      <c r="D85" s="87"/>
      <c r="E85" s="87"/>
      <c r="F85" s="393"/>
      <c r="G85" s="87"/>
      <c r="H85" s="87"/>
      <c r="I85" s="87"/>
      <c r="J85" s="87"/>
      <c r="K85" s="542"/>
      <c r="L85" s="75"/>
      <c r="M85" s="75"/>
      <c r="N85" s="75"/>
      <c r="O85" s="75"/>
    </row>
    <row r="86" spans="1:15">
      <c r="A86" s="555"/>
      <c r="B86" s="100"/>
      <c r="C86" s="99"/>
      <c r="D86" s="87"/>
      <c r="E86" s="87" t="s">
        <v>129</v>
      </c>
      <c r="G86" s="87"/>
      <c r="I86" s="87"/>
      <c r="J86" s="87"/>
      <c r="K86" s="542"/>
    </row>
    <row r="87" spans="1:15">
      <c r="A87" s="94"/>
      <c r="B87" s="87"/>
      <c r="C87" s="87"/>
      <c r="D87" s="87"/>
      <c r="E87" s="87"/>
      <c r="G87" s="87"/>
      <c r="I87" s="87"/>
      <c r="J87" s="87"/>
      <c r="K87" s="542"/>
    </row>
    <row r="88" spans="1:15">
      <c r="A88" s="556">
        <v>45929</v>
      </c>
      <c r="B88" s="87" t="s">
        <v>131</v>
      </c>
      <c r="C88" s="12"/>
      <c r="D88" s="12"/>
      <c r="E88" s="87"/>
      <c r="G88" s="14">
        <v>21812.77</v>
      </c>
      <c r="H88" s="14"/>
      <c r="I88" s="87"/>
      <c r="J88" s="87"/>
      <c r="K88" s="542"/>
    </row>
    <row r="89" spans="1:15">
      <c r="A89" s="556"/>
      <c r="B89" s="87"/>
      <c r="C89" s="12"/>
      <c r="D89" s="12"/>
      <c r="E89" s="87"/>
      <c r="G89" s="14"/>
      <c r="H89" s="14"/>
      <c r="I89" s="87"/>
      <c r="J89" s="87"/>
      <c r="K89" s="542"/>
    </row>
    <row r="90" spans="1:15">
      <c r="A90" s="94"/>
      <c r="B90" s="87"/>
      <c r="C90" s="12"/>
      <c r="D90" s="12"/>
      <c r="E90" s="87"/>
      <c r="G90" s="14"/>
      <c r="H90" s="14"/>
      <c r="I90" s="87" t="s">
        <v>1954</v>
      </c>
      <c r="J90" s="11"/>
      <c r="K90" s="542"/>
    </row>
    <row r="91" spans="1:15">
      <c r="A91" s="94">
        <v>45659</v>
      </c>
      <c r="B91" s="79" t="s">
        <v>1594</v>
      </c>
      <c r="C91" s="110">
        <v>2400</v>
      </c>
      <c r="D91" s="111">
        <v>30.86</v>
      </c>
      <c r="E91" s="112">
        <f t="shared" ref="E91:E92" si="1">D91*C91</f>
        <v>74064</v>
      </c>
      <c r="F91" s="393">
        <v>67.61</v>
      </c>
      <c r="G91" s="14">
        <f t="shared" ref="G91:G92" si="2">F91*C91</f>
        <v>162264</v>
      </c>
      <c r="H91" s="14"/>
      <c r="I91" s="87">
        <f>G91-E91</f>
        <v>88200</v>
      </c>
      <c r="J91" s="407">
        <f>SUM(G91:G91)</f>
        <v>162264</v>
      </c>
      <c r="K91" s="11"/>
    </row>
    <row r="92" spans="1:15" ht="13.5" thickBot="1">
      <c r="A92" s="94">
        <v>45659</v>
      </c>
      <c r="B92" s="79" t="s">
        <v>1594</v>
      </c>
      <c r="C92" s="110">
        <v>1100</v>
      </c>
      <c r="D92" s="111">
        <v>30.86</v>
      </c>
      <c r="E92" s="112">
        <f t="shared" si="1"/>
        <v>33946</v>
      </c>
      <c r="F92" s="393">
        <v>67.61</v>
      </c>
      <c r="G92" s="14">
        <f t="shared" si="2"/>
        <v>74371</v>
      </c>
      <c r="H92" s="14"/>
      <c r="I92" s="87">
        <f>G92-E92</f>
        <v>40425</v>
      </c>
      <c r="J92" s="407">
        <f>SUM(G92:G92)</f>
        <v>74371</v>
      </c>
      <c r="K92" s="11"/>
    </row>
    <row r="93" spans="1:15" ht="13.5" thickBot="1">
      <c r="A93" s="94"/>
      <c r="B93" s="87"/>
      <c r="C93" s="12"/>
      <c r="D93" s="12"/>
      <c r="E93" s="87">
        <f>SUM(E91:E92)</f>
        <v>108010</v>
      </c>
      <c r="G93" s="87"/>
      <c r="I93" s="113">
        <f>SUM(I91:I92)</f>
        <v>128625</v>
      </c>
      <c r="J93" s="568">
        <f>(SUM(G91:G92))-(SUM(E91:E92))</f>
        <v>128625</v>
      </c>
      <c r="K93" s="640">
        <f>SUM(G91:G92)</f>
        <v>236635</v>
      </c>
    </row>
    <row r="94" spans="1:15">
      <c r="A94" s="94"/>
      <c r="B94" s="87"/>
      <c r="C94" s="12"/>
      <c r="D94" s="12"/>
      <c r="E94" s="87"/>
      <c r="G94" s="87"/>
      <c r="I94" s="87"/>
      <c r="J94" s="87"/>
      <c r="K94" s="11"/>
    </row>
    <row r="95" spans="1:15">
      <c r="A95" s="94">
        <v>45345</v>
      </c>
      <c r="B95" s="79" t="s">
        <v>135</v>
      </c>
      <c r="C95" s="114">
        <v>35000</v>
      </c>
      <c r="D95" s="391">
        <v>1.064435</v>
      </c>
      <c r="E95" s="112">
        <f>D95*C95</f>
        <v>37255.224999999999</v>
      </c>
      <c r="F95" s="425">
        <v>1.049566</v>
      </c>
      <c r="G95" s="14">
        <f>F95*C95</f>
        <v>36734.81</v>
      </c>
      <c r="H95" s="14"/>
      <c r="I95" s="87">
        <f>G95-E95</f>
        <v>-520.41500000000087</v>
      </c>
      <c r="J95" s="87"/>
      <c r="K95" s="11"/>
    </row>
    <row r="96" spans="1:15">
      <c r="A96" s="557"/>
      <c r="B96" s="434"/>
      <c r="C96" s="565"/>
      <c r="D96" s="566"/>
      <c r="E96" s="437"/>
      <c r="F96" s="425"/>
      <c r="G96" s="14"/>
      <c r="H96" s="14"/>
      <c r="I96" s="87"/>
      <c r="J96" s="87"/>
      <c r="K96" s="11"/>
    </row>
    <row r="97" spans="1:11">
      <c r="A97" s="94">
        <v>45400</v>
      </c>
      <c r="B97" s="79" t="s">
        <v>136</v>
      </c>
      <c r="C97" s="110">
        <v>10</v>
      </c>
      <c r="D97" s="80">
        <v>135</v>
      </c>
      <c r="E97" s="112">
        <f>D97*C97</f>
        <v>1350</v>
      </c>
      <c r="F97" s="393">
        <v>148</v>
      </c>
      <c r="G97" s="14">
        <f>F97*C97</f>
        <v>1480</v>
      </c>
      <c r="H97" s="14"/>
      <c r="I97" s="87">
        <f>G97-E97</f>
        <v>130</v>
      </c>
      <c r="J97" s="87"/>
      <c r="K97" s="11"/>
    </row>
    <row r="98" spans="1:11">
      <c r="A98" s="94">
        <v>45418</v>
      </c>
      <c r="B98" s="79" t="s">
        <v>137</v>
      </c>
      <c r="C98" s="110">
        <v>38</v>
      </c>
      <c r="D98" s="80">
        <v>30.5</v>
      </c>
      <c r="E98" s="112">
        <f>D98*C98</f>
        <v>1159</v>
      </c>
      <c r="F98" s="393">
        <v>17.73</v>
      </c>
      <c r="G98" s="14">
        <f>F98*C98</f>
        <v>673.74</v>
      </c>
      <c r="H98" s="14"/>
      <c r="I98" s="87">
        <f>G98-E98</f>
        <v>-485.26</v>
      </c>
      <c r="J98" s="87"/>
      <c r="K98" s="11"/>
    </row>
    <row r="99" spans="1:11" ht="13.5" thickBot="1">
      <c r="A99" s="94">
        <v>45418</v>
      </c>
      <c r="B99" s="79" t="s">
        <v>138</v>
      </c>
      <c r="C99" s="110">
        <v>26</v>
      </c>
      <c r="D99" s="80">
        <v>37.115000000000002</v>
      </c>
      <c r="E99" s="112">
        <f>D99*C99</f>
        <v>964.99</v>
      </c>
      <c r="F99" s="393">
        <v>30.06</v>
      </c>
      <c r="G99" s="14">
        <f>F99*C99</f>
        <v>781.56</v>
      </c>
      <c r="H99" s="14"/>
      <c r="I99" s="87">
        <f>G99-E99</f>
        <v>-183.43000000000006</v>
      </c>
      <c r="J99" s="407">
        <f>SUM(G95:G99)</f>
        <v>39670.109999999993</v>
      </c>
      <c r="K99" s="11"/>
    </row>
    <row r="100" spans="1:11" ht="13.5" thickBot="1">
      <c r="A100" s="94"/>
      <c r="B100" s="87"/>
      <c r="C100" s="12"/>
      <c r="D100" s="12"/>
      <c r="E100" s="87">
        <f>SUM(E95:E99)</f>
        <v>40729.214999999997</v>
      </c>
      <c r="G100" s="87"/>
      <c r="I100" s="87">
        <f>K100-E100</f>
        <v>-1059.1050000000032</v>
      </c>
      <c r="J100" s="568">
        <f>(SUM(G95:G99))-(SUM(E95:E99))</f>
        <v>-1059.1050000000032</v>
      </c>
      <c r="K100" s="640">
        <f>SUM(G95:G99)</f>
        <v>39670.109999999993</v>
      </c>
    </row>
    <row r="101" spans="1:11">
      <c r="A101" s="94"/>
      <c r="B101" s="87"/>
      <c r="C101" s="87"/>
      <c r="D101" s="87"/>
      <c r="E101" s="14"/>
      <c r="G101" s="87"/>
      <c r="I101" s="87"/>
      <c r="J101" s="87"/>
      <c r="K101" s="11"/>
    </row>
    <row r="102" spans="1:11">
      <c r="A102" s="94">
        <v>45509</v>
      </c>
      <c r="B102" s="79" t="s">
        <v>1722</v>
      </c>
      <c r="C102" s="110">
        <v>1</v>
      </c>
      <c r="D102" s="80">
        <v>2500</v>
      </c>
      <c r="E102" s="112">
        <f>D102*C102</f>
        <v>2500</v>
      </c>
      <c r="F102" s="393">
        <v>5300</v>
      </c>
      <c r="G102" s="14">
        <f>C102*F102</f>
        <v>5300</v>
      </c>
      <c r="H102" s="14"/>
      <c r="I102" s="87">
        <f>G102-E102</f>
        <v>2800</v>
      </c>
      <c r="J102" s="87"/>
      <c r="K102" s="11"/>
    </row>
    <row r="103" spans="1:11">
      <c r="A103" s="94">
        <v>45509</v>
      </c>
      <c r="B103" s="79" t="s">
        <v>140</v>
      </c>
      <c r="C103" s="110">
        <v>16</v>
      </c>
      <c r="D103" s="80">
        <v>4100</v>
      </c>
      <c r="E103" s="112">
        <f>D103*C103</f>
        <v>65600</v>
      </c>
      <c r="F103" s="393">
        <f>F102*1.73</f>
        <v>9169</v>
      </c>
      <c r="G103" s="14">
        <f>C103*F103</f>
        <v>146704</v>
      </c>
      <c r="H103" s="14"/>
      <c r="I103" s="87">
        <f>G103-E103</f>
        <v>81104</v>
      </c>
      <c r="J103" s="87"/>
      <c r="K103" s="11"/>
    </row>
    <row r="104" spans="1:11" ht="13.5" thickBot="1">
      <c r="A104" s="94">
        <v>45509</v>
      </c>
      <c r="B104" s="79" t="s">
        <v>141</v>
      </c>
      <c r="C104" s="110">
        <v>1</v>
      </c>
      <c r="D104" s="80">
        <v>16200</v>
      </c>
      <c r="E104" s="112">
        <f>D104*C104</f>
        <v>16200</v>
      </c>
      <c r="F104" s="393">
        <f>F103*4</f>
        <v>36676</v>
      </c>
      <c r="G104" s="14">
        <f>C104*F104</f>
        <v>36676</v>
      </c>
      <c r="H104" s="14"/>
      <c r="I104" s="87">
        <f>G104-E104</f>
        <v>20476</v>
      </c>
      <c r="J104" s="407">
        <f>SUM(G102:G104)</f>
        <v>188680</v>
      </c>
      <c r="K104" s="11"/>
    </row>
    <row r="105" spans="1:11" ht="13.5" thickBot="1">
      <c r="A105" s="94"/>
      <c r="B105" s="87"/>
      <c r="C105" s="12"/>
      <c r="D105" s="12"/>
      <c r="E105" s="87">
        <f>SUM(E102:E104)</f>
        <v>84300</v>
      </c>
      <c r="G105" s="87"/>
      <c r="I105" s="87"/>
      <c r="J105" s="568">
        <f>(SUM(G102:G104))-(SUM(E102:E104))</f>
        <v>104380</v>
      </c>
      <c r="K105" s="640">
        <f>SUM(G99:G104)</f>
        <v>189461.56</v>
      </c>
    </row>
    <row r="106" spans="1:11">
      <c r="A106" s="94"/>
      <c r="B106" s="87" t="s">
        <v>142</v>
      </c>
      <c r="C106" s="116">
        <v>33.250599999999999</v>
      </c>
      <c r="D106" s="12"/>
      <c r="E106" s="87"/>
      <c r="G106" s="14"/>
      <c r="H106" s="14"/>
      <c r="I106" s="87"/>
      <c r="J106" s="87"/>
      <c r="K106" s="542"/>
    </row>
    <row r="107" spans="1:11">
      <c r="A107" s="94"/>
      <c r="B107" s="87" t="s">
        <v>143</v>
      </c>
      <c r="C107" s="116">
        <v>36.854999999999997</v>
      </c>
      <c r="D107" s="12"/>
      <c r="E107" s="87"/>
      <c r="G107" s="14"/>
      <c r="H107" s="14"/>
      <c r="I107" s="87"/>
      <c r="J107" s="87"/>
      <c r="K107" s="542"/>
    </row>
    <row r="108" spans="1:11">
      <c r="A108" s="94"/>
      <c r="B108" s="87" t="s">
        <v>144</v>
      </c>
      <c r="C108" s="12"/>
      <c r="D108" s="12"/>
      <c r="E108" s="87"/>
      <c r="G108" s="14">
        <v>0</v>
      </c>
      <c r="H108" s="14"/>
      <c r="I108" s="87"/>
      <c r="J108" s="87"/>
      <c r="K108" s="542"/>
    </row>
    <row r="109" spans="1:11" ht="13.5" thickBot="1">
      <c r="A109" s="94"/>
      <c r="B109" s="87" t="s">
        <v>145</v>
      </c>
      <c r="C109" s="12"/>
      <c r="D109" s="12"/>
      <c r="E109" s="87"/>
      <c r="G109" s="14">
        <v>10000</v>
      </c>
      <c r="H109" s="14"/>
      <c r="I109" s="87"/>
      <c r="J109" s="87"/>
      <c r="K109" s="542"/>
    </row>
    <row r="110" spans="1:11" ht="13.5" thickBot="1">
      <c r="A110" s="94"/>
      <c r="B110" s="87"/>
      <c r="C110" s="87"/>
      <c r="D110" s="87"/>
      <c r="E110" s="117"/>
      <c r="F110" s="647"/>
      <c r="G110" s="119" t="s">
        <v>146</v>
      </c>
      <c r="H110" s="119"/>
      <c r="I110" s="569">
        <f>J105+J100+J93</f>
        <v>231945.89499999999</v>
      </c>
      <c r="J110" s="87"/>
      <c r="K110" s="542"/>
    </row>
    <row r="111" spans="1:11" ht="13.5" thickBot="1">
      <c r="A111" s="94"/>
      <c r="B111" s="87"/>
      <c r="C111" s="120"/>
      <c r="D111" s="89"/>
      <c r="E111" s="87"/>
      <c r="G111" s="120"/>
      <c r="H111" s="120"/>
      <c r="I111" s="87"/>
      <c r="J111" s="87"/>
      <c r="K111" s="542"/>
    </row>
    <row r="112" spans="1:11" ht="13.5" thickBot="1">
      <c r="A112" s="94"/>
      <c r="B112" s="87"/>
      <c r="C112" s="120"/>
      <c r="D112" s="15" t="s">
        <v>147</v>
      </c>
      <c r="E112" s="87"/>
      <c r="G112" s="470">
        <f>SUM(G88:G109)</f>
        <v>496797.87999999995</v>
      </c>
      <c r="H112" s="653"/>
      <c r="I112" s="87"/>
      <c r="J112" s="87"/>
      <c r="K112" s="542"/>
    </row>
    <row r="113" spans="1:11">
      <c r="A113" s="94"/>
      <c r="B113" s="563"/>
      <c r="C113" s="564" t="str">
        <f>A84</f>
        <v>ARALIK  2025 e</v>
      </c>
      <c r="D113" s="564" t="s">
        <v>148</v>
      </c>
      <c r="E113" s="87"/>
      <c r="G113" s="123"/>
      <c r="H113" s="123"/>
      <c r="I113" s="87"/>
      <c r="J113" s="87"/>
      <c r="K113" s="542"/>
    </row>
    <row r="114" spans="1:11">
      <c r="A114" s="94"/>
      <c r="B114" s="11"/>
      <c r="C114" s="426"/>
      <c r="D114" s="427"/>
      <c r="E114" s="393"/>
      <c r="G114" s="397"/>
      <c r="H114" s="397"/>
      <c r="I114" s="87"/>
      <c r="J114" s="87"/>
      <c r="K114" s="542"/>
    </row>
    <row r="115" spans="1:11">
      <c r="A115" s="418"/>
      <c r="B115" s="87" t="s">
        <v>1676</v>
      </c>
      <c r="C115" s="87"/>
      <c r="D115" s="87"/>
      <c r="E115" s="87"/>
      <c r="G115" s="87"/>
      <c r="I115" s="87"/>
      <c r="J115" s="11"/>
      <c r="K115" s="542"/>
    </row>
    <row r="116" spans="1:11">
      <c r="A116" s="94"/>
      <c r="B116" s="79"/>
      <c r="C116" s="114"/>
      <c r="D116" s="391"/>
      <c r="E116" s="112"/>
      <c r="F116" s="425"/>
      <c r="G116" s="14"/>
      <c r="H116" s="14"/>
      <c r="I116" s="87"/>
      <c r="J116" s="11"/>
      <c r="K116" s="542"/>
    </row>
    <row r="117" spans="1:11">
      <c r="A117" s="94"/>
      <c r="B117" s="79"/>
      <c r="C117" s="562"/>
      <c r="D117" s="111"/>
      <c r="E117" s="112"/>
      <c r="G117" s="14"/>
      <c r="H117" s="14"/>
      <c r="I117" s="87"/>
      <c r="J117" s="11"/>
      <c r="K117" s="542"/>
    </row>
    <row r="118" spans="1:11">
      <c r="A118" s="94"/>
      <c r="B118" s="79"/>
      <c r="C118" s="114"/>
      <c r="D118" s="391"/>
      <c r="E118" s="112"/>
      <c r="F118" s="425"/>
      <c r="G118" s="14"/>
      <c r="H118" s="14"/>
      <c r="I118" s="87"/>
      <c r="J118" s="11"/>
      <c r="K118" s="542"/>
    </row>
    <row r="119" spans="1:11">
      <c r="A119" s="94"/>
      <c r="B119" s="79"/>
      <c r="C119" s="562"/>
      <c r="D119" s="111"/>
      <c r="E119" s="112"/>
      <c r="G119" s="14"/>
      <c r="H119" s="14"/>
      <c r="I119" s="87"/>
      <c r="J119" s="11"/>
      <c r="K119" s="542"/>
    </row>
    <row r="120" spans="1:11" ht="13.5" thickBot="1">
      <c r="A120" s="94"/>
      <c r="B120" s="79"/>
      <c r="C120" s="110"/>
      <c r="D120" s="80"/>
      <c r="E120" s="112"/>
      <c r="G120" s="14"/>
      <c r="H120" s="14"/>
      <c r="I120" s="87"/>
      <c r="J120" s="11"/>
      <c r="K120" s="542"/>
    </row>
    <row r="121" spans="1:11">
      <c r="A121" s="557"/>
      <c r="B121" s="416"/>
      <c r="C121" s="416"/>
      <c r="D121" s="405"/>
      <c r="E121" s="405">
        <f>SUM(E116:E120)</f>
        <v>0</v>
      </c>
      <c r="G121" s="405">
        <f>SUM(G116:G120)</f>
        <v>0</v>
      </c>
      <c r="H121" s="405"/>
      <c r="I121" s="468">
        <f>SUM(I116:I120)</f>
        <v>0</v>
      </c>
      <c r="J121" s="11"/>
      <c r="K121" s="542"/>
    </row>
    <row r="122" spans="1:11">
      <c r="A122" s="94"/>
      <c r="B122" s="11"/>
      <c r="C122" s="11"/>
      <c r="D122" s="87"/>
      <c r="E122" s="87"/>
      <c r="F122" s="393" t="s">
        <v>878</v>
      </c>
      <c r="G122" s="87"/>
      <c r="I122" s="87">
        <f>I121+'10_25'!H116</f>
        <v>110326.59195300008</v>
      </c>
      <c r="J122" s="11"/>
      <c r="K122" s="542"/>
    </row>
    <row r="123" spans="1:11">
      <c r="A123" s="94"/>
      <c r="B123" s="11"/>
      <c r="C123" s="11"/>
      <c r="D123" s="87"/>
      <c r="E123" s="87"/>
      <c r="G123" s="87"/>
      <c r="I123" s="87"/>
      <c r="J123" s="11"/>
      <c r="K123" s="542"/>
    </row>
    <row r="124" spans="1:11">
      <c r="A124" s="94"/>
      <c r="B124" s="11"/>
      <c r="C124" s="11"/>
      <c r="D124" s="87"/>
      <c r="E124" s="87"/>
      <c r="G124" s="87"/>
      <c r="I124" s="87"/>
      <c r="J124" s="11"/>
      <c r="K124" s="542"/>
    </row>
    <row r="125" spans="1:11" ht="18">
      <c r="A125" s="476" t="s">
        <v>1733</v>
      </c>
      <c r="B125" s="11"/>
      <c r="C125" s="11"/>
      <c r="D125" s="87"/>
      <c r="E125" s="87"/>
      <c r="G125" s="87"/>
      <c r="I125" s="87"/>
      <c r="J125" s="11"/>
      <c r="K125" s="542"/>
    </row>
    <row r="126" spans="1:11" ht="15.75">
      <c r="A126" s="94"/>
      <c r="B126" s="464">
        <f>1-76.4616%</f>
        <v>0.23538399999999993</v>
      </c>
      <c r="C126" s="465">
        <v>0.76461599999999996</v>
      </c>
      <c r="D126" s="392"/>
      <c r="E126" s="87"/>
      <c r="G126" s="87"/>
      <c r="I126" s="87"/>
      <c r="J126" s="11"/>
      <c r="K126" s="542"/>
    </row>
    <row r="127" spans="1:11" ht="15.75">
      <c r="A127" s="94"/>
      <c r="B127" s="464" t="s">
        <v>1861</v>
      </c>
      <c r="C127" s="465"/>
      <c r="D127" s="392"/>
      <c r="E127" s="87"/>
      <c r="G127" s="87"/>
      <c r="I127" s="87"/>
      <c r="J127" s="11"/>
      <c r="K127" s="542"/>
    </row>
    <row r="128" spans="1:11" ht="15.75">
      <c r="A128" s="94"/>
      <c r="B128" s="464" t="s">
        <v>1734</v>
      </c>
      <c r="C128" s="465"/>
      <c r="D128" s="392"/>
      <c r="E128" s="87"/>
      <c r="G128" s="87"/>
      <c r="I128" s="87"/>
      <c r="J128" s="11"/>
      <c r="K128" s="542"/>
    </row>
    <row r="129" spans="1:11" ht="15.75">
      <c r="A129" s="94"/>
      <c r="B129" s="464" t="s">
        <v>1737</v>
      </c>
      <c r="C129" s="465"/>
      <c r="D129" s="392"/>
      <c r="E129" s="87"/>
      <c r="G129" s="87"/>
      <c r="I129" s="87"/>
      <c r="J129" s="11"/>
      <c r="K129" s="542"/>
    </row>
    <row r="130" spans="1:11" ht="15.75">
      <c r="A130" s="94"/>
      <c r="B130" s="464" t="s">
        <v>1736</v>
      </c>
      <c r="C130" s="465"/>
      <c r="D130" s="392"/>
      <c r="E130" s="87"/>
      <c r="G130" s="87"/>
      <c r="I130" s="87"/>
      <c r="J130" s="11"/>
      <c r="K130" s="542"/>
    </row>
    <row r="131" spans="1:11" ht="15.75">
      <c r="A131" s="94"/>
      <c r="B131" s="464"/>
      <c r="C131" s="465"/>
      <c r="D131" s="392">
        <v>238</v>
      </c>
      <c r="E131" s="87">
        <v>872.26</v>
      </c>
      <c r="G131" s="87"/>
      <c r="I131" s="87"/>
      <c r="J131" s="480">
        <f>E131*D131</f>
        <v>207597.88</v>
      </c>
      <c r="K131" s="542"/>
    </row>
    <row r="132" spans="1:11" ht="16.5" thickBot="1">
      <c r="A132" s="94"/>
      <c r="B132" s="464"/>
      <c r="C132" s="11" t="s">
        <v>1739</v>
      </c>
      <c r="D132" s="11" t="s">
        <v>1738</v>
      </c>
      <c r="E132" s="87" t="s">
        <v>1730</v>
      </c>
      <c r="F132" s="648">
        <v>138749.76000000001</v>
      </c>
      <c r="G132" s="11" t="s">
        <v>1731</v>
      </c>
      <c r="H132" s="11"/>
      <c r="I132" s="87" t="s">
        <v>3</v>
      </c>
      <c r="J132" s="11"/>
      <c r="K132" s="542"/>
    </row>
    <row r="133" spans="1:11" ht="13.5" thickBot="1">
      <c r="A133" s="94">
        <v>45667</v>
      </c>
      <c r="B133" s="79" t="s">
        <v>1859</v>
      </c>
      <c r="C133" s="114">
        <v>160</v>
      </c>
      <c r="D133" s="373">
        <f>C133</f>
        <v>160</v>
      </c>
      <c r="E133" s="80">
        <v>872.26</v>
      </c>
      <c r="F133" s="397">
        <f>E133*D133</f>
        <v>139561.60000000001</v>
      </c>
      <c r="G133" s="650">
        <v>962.89330700000005</v>
      </c>
      <c r="H133" s="654"/>
      <c r="I133" s="652">
        <f>E133*C133</f>
        <v>139561.60000000001</v>
      </c>
      <c r="J133" s="528">
        <f>J132+I133</f>
        <v>139561.60000000001</v>
      </c>
      <c r="K133" s="542"/>
    </row>
    <row r="134" spans="1:11">
      <c r="A134" s="94">
        <v>45667</v>
      </c>
      <c r="B134" s="79" t="s">
        <v>1858</v>
      </c>
      <c r="C134" s="114">
        <v>78</v>
      </c>
      <c r="D134" s="373">
        <f>D133+C134</f>
        <v>238</v>
      </c>
      <c r="E134" s="80">
        <v>872.26</v>
      </c>
      <c r="F134" s="397">
        <f t="shared" ref="F134:F159" si="3">E134*D134</f>
        <v>207597.88</v>
      </c>
      <c r="G134" s="566">
        <f>G138</f>
        <v>962.89330700000005</v>
      </c>
      <c r="H134" s="566"/>
      <c r="I134" s="652">
        <f>E134*C134</f>
        <v>68036.28</v>
      </c>
      <c r="J134" s="651">
        <f>J133+I134</f>
        <v>207597.88</v>
      </c>
      <c r="K134" s="542"/>
    </row>
    <row r="135" spans="1:11">
      <c r="A135" s="94">
        <v>45755</v>
      </c>
      <c r="B135" s="79" t="s">
        <v>2021</v>
      </c>
      <c r="C135" s="114"/>
      <c r="D135" s="373"/>
      <c r="E135" s="80"/>
      <c r="F135" s="397"/>
      <c r="G135" s="649"/>
      <c r="H135" s="525">
        <v>-190.32</v>
      </c>
      <c r="J135" s="578">
        <f>J134+H135</f>
        <v>207407.56</v>
      </c>
    </row>
    <row r="136" spans="1:11">
      <c r="A136" s="94">
        <v>45755</v>
      </c>
      <c r="B136" s="79" t="s">
        <v>2022</v>
      </c>
      <c r="C136" s="114"/>
      <c r="D136" s="373"/>
      <c r="E136" s="80"/>
      <c r="F136" s="397"/>
      <c r="G136" s="649"/>
      <c r="H136" s="525">
        <v>-200</v>
      </c>
      <c r="J136" s="578">
        <f>J135+H136</f>
        <v>207207.56</v>
      </c>
    </row>
    <row r="137" spans="1:11" ht="13.5" thickBot="1">
      <c r="A137" s="94">
        <v>45755</v>
      </c>
      <c r="B137" s="79" t="s">
        <v>2023</v>
      </c>
      <c r="C137" s="114"/>
      <c r="D137" s="373"/>
      <c r="E137" s="80"/>
      <c r="F137" s="397"/>
      <c r="G137" s="649"/>
      <c r="H137" s="525">
        <v>-10</v>
      </c>
      <c r="J137" s="578">
        <f>J136+H137</f>
        <v>207197.56</v>
      </c>
    </row>
    <row r="138" spans="1:11" ht="13.5" thickBot="1">
      <c r="A138" s="558">
        <v>45755</v>
      </c>
      <c r="B138" s="475" t="s">
        <v>1826</v>
      </c>
      <c r="C138" s="641">
        <v>-21</v>
      </c>
      <c r="D138" s="373">
        <f>D134+C138</f>
        <v>217</v>
      </c>
      <c r="E138" s="80"/>
      <c r="F138" s="397">
        <f t="shared" si="3"/>
        <v>0</v>
      </c>
      <c r="G138" s="649">
        <f>G133</f>
        <v>962.89330700000005</v>
      </c>
      <c r="H138" s="542"/>
      <c r="I138" s="642">
        <f>G138*C138</f>
        <v>-20220.759447</v>
      </c>
      <c r="J138" s="578">
        <f t="shared" ref="J138:J156" si="4">J137+I138</f>
        <v>186976.80055300001</v>
      </c>
    </row>
    <row r="139" spans="1:11" ht="13.5" thickBot="1">
      <c r="A139" s="559"/>
      <c r="B139" s="79" t="s">
        <v>1732</v>
      </c>
      <c r="C139" s="538"/>
      <c r="D139" s="373">
        <f t="shared" ref="D139:D157" si="5">D138+C139</f>
        <v>217</v>
      </c>
      <c r="E139" s="80"/>
      <c r="F139" s="397">
        <f t="shared" si="3"/>
        <v>0</v>
      </c>
      <c r="G139" s="649">
        <f>G134</f>
        <v>962.89330700000005</v>
      </c>
      <c r="H139" s="525">
        <v>-190.32</v>
      </c>
      <c r="J139" s="578">
        <f>J138+H139</f>
        <v>186786.480553</v>
      </c>
    </row>
    <row r="140" spans="1:11" ht="13.5" thickBot="1">
      <c r="A140" s="558">
        <v>45786</v>
      </c>
      <c r="B140" s="475" t="s">
        <v>1827</v>
      </c>
      <c r="C140" s="643">
        <v>-20</v>
      </c>
      <c r="D140" s="373">
        <f t="shared" si="5"/>
        <v>197</v>
      </c>
      <c r="E140" s="80"/>
      <c r="F140" s="397">
        <f t="shared" si="3"/>
        <v>0</v>
      </c>
      <c r="G140" s="649">
        <v>1000.86</v>
      </c>
      <c r="H140" s="542"/>
      <c r="I140" s="642">
        <f>G140*C140</f>
        <v>-20017.2</v>
      </c>
      <c r="J140" s="578">
        <f t="shared" si="4"/>
        <v>166769.28055299999</v>
      </c>
    </row>
    <row r="141" spans="1:11" ht="13.5" thickBot="1">
      <c r="A141" s="558"/>
      <c r="B141" s="79" t="s">
        <v>1732</v>
      </c>
      <c r="C141" s="539"/>
      <c r="D141" s="373">
        <f t="shared" si="5"/>
        <v>197</v>
      </c>
      <c r="E141" s="80"/>
      <c r="F141" s="397">
        <f t="shared" si="3"/>
        <v>0</v>
      </c>
      <c r="G141" s="649">
        <v>1000.86</v>
      </c>
      <c r="H141" s="525">
        <v>-257.18</v>
      </c>
      <c r="J141" s="578">
        <f>J140+H141</f>
        <v>166512.100553</v>
      </c>
    </row>
    <row r="142" spans="1:11" ht="13.5" thickBot="1">
      <c r="A142" s="559">
        <v>45818</v>
      </c>
      <c r="B142" s="475" t="s">
        <v>1828</v>
      </c>
      <c r="C142" s="644">
        <v>-20</v>
      </c>
      <c r="D142" s="373">
        <f t="shared" si="5"/>
        <v>177</v>
      </c>
      <c r="E142" s="80"/>
      <c r="F142" s="397">
        <f t="shared" si="3"/>
        <v>0</v>
      </c>
      <c r="G142" s="649">
        <v>1043.4576589999999</v>
      </c>
      <c r="H142" s="542"/>
      <c r="I142" s="642">
        <f>G142*C142</f>
        <v>-20869.153179999998</v>
      </c>
      <c r="J142" s="578">
        <f t="shared" si="4"/>
        <v>145642.947373</v>
      </c>
    </row>
    <row r="143" spans="1:11">
      <c r="A143" s="559"/>
      <c r="B143" s="79" t="s">
        <v>1732</v>
      </c>
      <c r="C143" s="538"/>
      <c r="D143" s="373">
        <f t="shared" si="5"/>
        <v>177</v>
      </c>
      <c r="E143" s="80"/>
      <c r="F143" s="397">
        <f t="shared" si="3"/>
        <v>0</v>
      </c>
      <c r="G143" s="649">
        <v>1043.4576589999999</v>
      </c>
      <c r="H143" s="525">
        <v>-342.39</v>
      </c>
      <c r="J143" s="578">
        <f>J142+H143</f>
        <v>145300.55737299999</v>
      </c>
    </row>
    <row r="144" spans="1:11">
      <c r="A144" s="559">
        <v>45841</v>
      </c>
      <c r="B144" s="79" t="s">
        <v>2022</v>
      </c>
      <c r="C144" s="538"/>
      <c r="D144" s="373"/>
      <c r="E144" s="80"/>
      <c r="F144" s="397"/>
      <c r="G144" s="649"/>
      <c r="H144" s="525">
        <v>-31.57</v>
      </c>
      <c r="J144" s="578">
        <f>J143+H144</f>
        <v>145268.98737299998</v>
      </c>
    </row>
    <row r="145" spans="1:15" ht="13.5" thickBot="1">
      <c r="A145" s="559">
        <v>45841</v>
      </c>
      <c r="B145" s="79" t="s">
        <v>2023</v>
      </c>
      <c r="C145" s="538"/>
      <c r="D145" s="373"/>
      <c r="E145" s="80"/>
      <c r="F145" s="397"/>
      <c r="G145" s="649"/>
      <c r="H145" s="525">
        <v>-1.58</v>
      </c>
      <c r="J145" s="578">
        <f>J144+H145</f>
        <v>145267.40737299999</v>
      </c>
    </row>
    <row r="146" spans="1:15" ht="13.5" thickBot="1">
      <c r="A146" s="559">
        <v>45846</v>
      </c>
      <c r="B146" s="475" t="s">
        <v>1829</v>
      </c>
      <c r="C146" s="644">
        <v>-19</v>
      </c>
      <c r="D146" s="373">
        <f>D143+C146</f>
        <v>158</v>
      </c>
      <c r="E146" s="543"/>
      <c r="F146" s="397">
        <f t="shared" si="3"/>
        <v>0</v>
      </c>
      <c r="G146" s="649">
        <v>1080.914657</v>
      </c>
      <c r="H146" s="542"/>
      <c r="I146" s="642">
        <f>G146*C146</f>
        <v>-20537.378483</v>
      </c>
      <c r="J146" s="578">
        <f t="shared" si="4"/>
        <v>124730.02888999999</v>
      </c>
    </row>
    <row r="147" spans="1:15">
      <c r="A147" s="559"/>
      <c r="B147" s="79" t="s">
        <v>1732</v>
      </c>
      <c r="C147" s="538"/>
      <c r="D147" s="373">
        <f t="shared" si="5"/>
        <v>158</v>
      </c>
      <c r="E147" s="543"/>
      <c r="F147" s="397">
        <f t="shared" si="3"/>
        <v>0</v>
      </c>
      <c r="G147" s="649">
        <v>1080</v>
      </c>
      <c r="H147" s="525">
        <v>-396.44</v>
      </c>
      <c r="J147" s="578">
        <f>J146+H147</f>
        <v>124333.58888999998</v>
      </c>
    </row>
    <row r="148" spans="1:15">
      <c r="A148" s="559"/>
      <c r="B148" s="79" t="s">
        <v>2022</v>
      </c>
      <c r="C148" s="538"/>
      <c r="D148" s="373"/>
      <c r="E148" s="543"/>
      <c r="F148" s="397"/>
      <c r="G148" s="649"/>
      <c r="H148" s="525">
        <v>-168.43</v>
      </c>
      <c r="J148" s="578">
        <f>J147+H148</f>
        <v>124165.15888999999</v>
      </c>
    </row>
    <row r="149" spans="1:15" ht="13.5" thickBot="1">
      <c r="A149" s="559"/>
      <c r="B149" s="79" t="s">
        <v>2023</v>
      </c>
      <c r="C149" s="538"/>
      <c r="D149" s="373"/>
      <c r="E149" s="543"/>
      <c r="F149" s="397"/>
      <c r="G149" s="649"/>
      <c r="H149" s="525">
        <v>-8.42</v>
      </c>
      <c r="J149" s="578">
        <f>J148+H149</f>
        <v>124156.73888999999</v>
      </c>
    </row>
    <row r="150" spans="1:15" ht="13.5" thickBot="1">
      <c r="A150" s="559">
        <v>45855</v>
      </c>
      <c r="B150" s="475" t="s">
        <v>1893</v>
      </c>
      <c r="C150" s="644">
        <v>-30</v>
      </c>
      <c r="D150" s="373">
        <f>D147+C150</f>
        <v>128</v>
      </c>
      <c r="E150" s="543"/>
      <c r="F150" s="397">
        <f t="shared" si="3"/>
        <v>0</v>
      </c>
      <c r="G150" s="649">
        <v>1093.412452</v>
      </c>
      <c r="H150" s="542"/>
      <c r="I150" s="642">
        <f>G150*C150</f>
        <v>-32802.37356</v>
      </c>
      <c r="J150" s="578">
        <f t="shared" si="4"/>
        <v>91354.365330000001</v>
      </c>
    </row>
    <row r="151" spans="1:15" ht="13.5" thickBot="1">
      <c r="A151" s="559">
        <v>45867</v>
      </c>
      <c r="B151" s="475" t="s">
        <v>2021</v>
      </c>
      <c r="C151" s="538"/>
      <c r="D151" s="373">
        <f>D150+C151</f>
        <v>128</v>
      </c>
      <c r="E151" s="543"/>
      <c r="F151" s="397">
        <f t="shared" si="3"/>
        <v>0</v>
      </c>
      <c r="G151" s="649">
        <v>1109.5565340000001</v>
      </c>
      <c r="H151" s="525">
        <v>-663.45</v>
      </c>
      <c r="J151" s="578">
        <f>J150+H151</f>
        <v>90690.915330000003</v>
      </c>
      <c r="K151" s="542"/>
    </row>
    <row r="152" spans="1:15" ht="13.5" thickBot="1">
      <c r="A152" s="559">
        <v>45903</v>
      </c>
      <c r="B152" s="544" t="s">
        <v>1831</v>
      </c>
      <c r="C152" s="645">
        <v>-18</v>
      </c>
      <c r="D152" s="87">
        <f t="shared" si="5"/>
        <v>110</v>
      </c>
      <c r="E152" s="393"/>
      <c r="F152" s="397">
        <f t="shared" si="3"/>
        <v>0</v>
      </c>
      <c r="G152" s="649">
        <v>1155.9289100000001</v>
      </c>
      <c r="H152" s="649"/>
      <c r="I152" s="642">
        <f>G152*C152</f>
        <v>-20806.720380000002</v>
      </c>
      <c r="J152" s="578">
        <f t="shared" si="4"/>
        <v>69884.194950000005</v>
      </c>
      <c r="K152" s="542"/>
    </row>
    <row r="153" spans="1:15">
      <c r="A153" s="559">
        <v>45903</v>
      </c>
      <c r="B153" s="79" t="s">
        <v>1732</v>
      </c>
      <c r="C153" s="377"/>
      <c r="D153" s="87">
        <f t="shared" si="5"/>
        <v>110</v>
      </c>
      <c r="E153" s="393"/>
      <c r="F153" s="397">
        <f t="shared" si="3"/>
        <v>0</v>
      </c>
      <c r="G153" s="649"/>
      <c r="H153" s="525">
        <v>-500.89</v>
      </c>
      <c r="J153" s="578">
        <f>J152+H153</f>
        <v>69383.304950000005</v>
      </c>
      <c r="K153" s="542"/>
    </row>
    <row r="154" spans="1:15">
      <c r="A154" s="559">
        <v>45934</v>
      </c>
      <c r="B154" s="79" t="s">
        <v>2022</v>
      </c>
      <c r="C154" s="377"/>
      <c r="D154" s="87"/>
      <c r="E154" s="393"/>
      <c r="F154" s="397"/>
      <c r="G154" s="649"/>
      <c r="H154" s="525">
        <v>-150</v>
      </c>
      <c r="J154" s="578">
        <f>J153+H154</f>
        <v>69233.304950000005</v>
      </c>
      <c r="K154" s="542"/>
    </row>
    <row r="155" spans="1:15" ht="13.5" thickBot="1">
      <c r="A155" s="559">
        <v>45934</v>
      </c>
      <c r="B155" s="79" t="s">
        <v>2023</v>
      </c>
      <c r="C155" s="377"/>
      <c r="D155" s="87"/>
      <c r="E155" s="393"/>
      <c r="F155" s="397"/>
      <c r="G155" s="649"/>
      <c r="H155" s="525">
        <v>-7.5</v>
      </c>
      <c r="J155" s="578">
        <f>J154+H155</f>
        <v>69225.804950000005</v>
      </c>
      <c r="K155" s="542"/>
    </row>
    <row r="156" spans="1:15" ht="13.5" thickBot="1">
      <c r="A156" s="559">
        <v>45944</v>
      </c>
      <c r="B156" s="544" t="s">
        <v>1832</v>
      </c>
      <c r="C156" s="645">
        <v>-17</v>
      </c>
      <c r="D156" s="87">
        <f>D153+C156</f>
        <v>93</v>
      </c>
      <c r="E156" s="393"/>
      <c r="F156" s="397">
        <f t="shared" si="3"/>
        <v>0</v>
      </c>
      <c r="G156" s="649">
        <v>1208.756531</v>
      </c>
      <c r="H156" s="649"/>
      <c r="I156" s="642">
        <f>G156*C156</f>
        <v>-20548.861026999999</v>
      </c>
      <c r="J156" s="578">
        <f t="shared" si="4"/>
        <v>48676.943923000006</v>
      </c>
      <c r="K156" s="542"/>
    </row>
    <row r="157" spans="1:15">
      <c r="A157" s="559">
        <v>45944</v>
      </c>
      <c r="B157" s="79" t="s">
        <v>2024</v>
      </c>
      <c r="C157" s="377"/>
      <c r="D157" s="87">
        <f t="shared" si="5"/>
        <v>93</v>
      </c>
      <c r="E157" s="393"/>
      <c r="F157" s="397">
        <f t="shared" si="3"/>
        <v>0</v>
      </c>
      <c r="G157" s="649"/>
      <c r="H157" s="525">
        <v>-562.87</v>
      </c>
      <c r="J157" s="578">
        <f>J156+H157</f>
        <v>48114.073923000004</v>
      </c>
      <c r="K157" s="542"/>
    </row>
    <row r="158" spans="1:15" s="11" customFormat="1" ht="13.5" thickBot="1">
      <c r="A158" s="559">
        <v>45964</v>
      </c>
      <c r="B158" s="79" t="s">
        <v>2024</v>
      </c>
      <c r="C158" s="377"/>
      <c r="D158" s="87">
        <f>D157+C158</f>
        <v>93</v>
      </c>
      <c r="E158" s="391">
        <v>1234.7104059999999</v>
      </c>
      <c r="F158" s="397">
        <f>E158*D158</f>
        <v>114828.06775799999</v>
      </c>
      <c r="G158" s="649"/>
      <c r="H158" s="525">
        <v>-1053.83</v>
      </c>
      <c r="I158" s="74"/>
      <c r="J158" s="578">
        <f>J157+H158</f>
        <v>47060.243923000002</v>
      </c>
      <c r="K158" s="542"/>
      <c r="L158" s="75"/>
      <c r="M158" s="75"/>
      <c r="N158" s="75"/>
      <c r="O158" s="75"/>
    </row>
    <row r="159" spans="1:15" ht="13.5" thickBot="1">
      <c r="A159" s="662">
        <v>45964</v>
      </c>
      <c r="B159" s="663" t="s">
        <v>1833</v>
      </c>
      <c r="C159" s="664">
        <v>-17</v>
      </c>
      <c r="D159" s="665">
        <f>D158+C159</f>
        <v>76</v>
      </c>
      <c r="E159" s="666">
        <v>1234.7104059999999</v>
      </c>
      <c r="F159" s="667">
        <f t="shared" si="3"/>
        <v>93837.990855999989</v>
      </c>
      <c r="G159" s="666">
        <v>1234.7104059999999</v>
      </c>
      <c r="H159" s="666"/>
      <c r="I159" s="642">
        <f>G159*C159</f>
        <v>-20990.076901999997</v>
      </c>
      <c r="J159" s="668">
        <f>J158+I159</f>
        <v>26070.167021000005</v>
      </c>
      <c r="K159" s="542"/>
    </row>
    <row r="160" spans="1:15" s="11" customFormat="1">
      <c r="A160" s="655"/>
      <c r="B160" s="544"/>
      <c r="C160" s="669"/>
      <c r="D160" s="428"/>
      <c r="E160" s="649"/>
      <c r="F160" s="660"/>
      <c r="G160" s="649"/>
      <c r="H160" s="571">
        <f ca="1">SUM(H135:H169)</f>
        <v>-4735.1900000000005</v>
      </c>
      <c r="I160" s="571">
        <f>SUM(I135:I159)</f>
        <v>-176792.52297900003</v>
      </c>
      <c r="J160" s="428">
        <f ca="1">SUM(H160:I160)</f>
        <v>-181527.71297900003</v>
      </c>
      <c r="K160" s="542"/>
      <c r="L160" s="75"/>
      <c r="M160" s="75"/>
      <c r="N160" s="75"/>
      <c r="O160" s="75"/>
    </row>
    <row r="161" spans="1:15" s="11" customFormat="1">
      <c r="A161" s="655"/>
      <c r="B161" s="544"/>
      <c r="C161" s="670"/>
      <c r="D161" s="525"/>
      <c r="E161" s="649"/>
      <c r="F161" s="660"/>
      <c r="G161" s="649"/>
      <c r="H161" s="526"/>
      <c r="I161" s="526"/>
      <c r="J161" s="428"/>
      <c r="K161" s="542"/>
      <c r="L161" s="75"/>
      <c r="M161" s="75"/>
      <c r="N161" s="75"/>
      <c r="O161" s="75"/>
    </row>
    <row r="162" spans="1:15" s="11" customFormat="1">
      <c r="A162" s="655"/>
      <c r="B162" s="544"/>
      <c r="C162" s="670"/>
      <c r="D162" s="525"/>
      <c r="E162" s="649"/>
      <c r="F162" s="660"/>
      <c r="G162" s="649" t="s">
        <v>2037</v>
      </c>
      <c r="H162" s="525"/>
      <c r="I162" s="393"/>
      <c r="J162" s="578"/>
      <c r="K162" s="542"/>
      <c r="L162" s="75"/>
      <c r="M162" s="75"/>
      <c r="N162" s="75"/>
      <c r="O162" s="75"/>
    </row>
    <row r="163" spans="1:15" s="11" customFormat="1">
      <c r="A163" s="655"/>
      <c r="B163" s="544"/>
      <c r="C163" s="670"/>
      <c r="D163" s="525"/>
      <c r="E163" s="649"/>
      <c r="F163" s="660"/>
      <c r="G163" s="649" t="s">
        <v>2038</v>
      </c>
      <c r="H163" s="525"/>
      <c r="I163" s="393"/>
      <c r="J163" s="578"/>
      <c r="K163" s="542"/>
      <c r="L163" s="75"/>
      <c r="M163" s="75"/>
      <c r="N163" s="75"/>
      <c r="O163" s="75"/>
    </row>
    <row r="164" spans="1:15" s="11" customFormat="1">
      <c r="A164" s="655"/>
      <c r="B164" s="544"/>
      <c r="C164" s="670"/>
      <c r="D164" s="525"/>
      <c r="E164" s="649"/>
      <c r="F164" s="660"/>
      <c r="G164" s="649"/>
      <c r="H164" s="525"/>
      <c r="I164" s="393"/>
      <c r="J164" s="578"/>
      <c r="K164" s="542"/>
      <c r="L164" s="75"/>
      <c r="M164" s="75"/>
      <c r="N164" s="75"/>
      <c r="O164" s="75"/>
    </row>
    <row r="165" spans="1:15" s="11" customFormat="1">
      <c r="A165" s="655"/>
      <c r="B165" s="544"/>
      <c r="C165" s="670"/>
      <c r="D165" s="525"/>
      <c r="E165" s="649"/>
      <c r="F165" s="660"/>
      <c r="G165" s="649"/>
      <c r="H165" s="525"/>
      <c r="I165" s="393"/>
      <c r="J165" s="578"/>
      <c r="K165" s="542"/>
      <c r="L165" s="75"/>
      <c r="M165" s="75"/>
      <c r="N165" s="75"/>
      <c r="O165" s="75"/>
    </row>
    <row r="166" spans="1:15" s="11" customFormat="1">
      <c r="A166" s="655"/>
      <c r="B166" s="544"/>
      <c r="C166" s="670"/>
      <c r="D166" s="525"/>
      <c r="E166" s="649"/>
      <c r="F166" s="660"/>
      <c r="G166" s="649"/>
      <c r="H166" s="525"/>
      <c r="I166" s="393"/>
      <c r="J166" s="578"/>
      <c r="K166" s="542"/>
      <c r="L166" s="75"/>
      <c r="M166" s="75"/>
      <c r="N166" s="75"/>
      <c r="O166" s="75"/>
    </row>
    <row r="167" spans="1:15" s="11" customFormat="1" ht="13.5" thickBot="1">
      <c r="A167" s="445">
        <v>45964</v>
      </c>
      <c r="B167" s="544" t="s">
        <v>2029</v>
      </c>
      <c r="C167" s="645">
        <v>-12</v>
      </c>
      <c r="D167" s="87">
        <f t="shared" ref="D167" si="6">D159+C167</f>
        <v>64</v>
      </c>
      <c r="E167" s="393"/>
      <c r="F167" s="397">
        <f t="shared" ref="F167" si="7">E167*D167</f>
        <v>0</v>
      </c>
      <c r="G167" s="649">
        <v>1234.7104059999999</v>
      </c>
      <c r="H167" s="649"/>
      <c r="I167" s="661">
        <f>G167*C167</f>
        <v>-14816.524871999998</v>
      </c>
      <c r="J167" s="578">
        <f t="shared" ref="J167" si="8">J159+I167</f>
        <v>11253.642149000007</v>
      </c>
      <c r="K167" s="542"/>
      <c r="L167" s="75"/>
      <c r="M167" s="75"/>
      <c r="N167" s="75"/>
      <c r="O167" s="75"/>
    </row>
    <row r="168" spans="1:15" s="11" customFormat="1" ht="13.5" thickBot="1">
      <c r="A168" s="445">
        <v>45964</v>
      </c>
      <c r="B168" s="544" t="s">
        <v>2028</v>
      </c>
      <c r="C168" s="659">
        <v>-9</v>
      </c>
      <c r="D168" s="393">
        <f>D167+C168</f>
        <v>55</v>
      </c>
      <c r="E168" s="649">
        <v>1234.7104059999999</v>
      </c>
      <c r="F168" s="397">
        <f t="shared" ref="F168" si="9">E168*D168</f>
        <v>67909.072329999995</v>
      </c>
      <c r="G168" s="649">
        <v>1234.7104059999999</v>
      </c>
      <c r="H168" s="649"/>
      <c r="I168" s="658">
        <f>G168*C168</f>
        <v>-11112.393654</v>
      </c>
      <c r="J168" s="578">
        <f>J167+I168</f>
        <v>141.2484950000071</v>
      </c>
      <c r="K168" s="542"/>
      <c r="L168" s="75"/>
      <c r="M168" s="75"/>
      <c r="N168" s="75"/>
      <c r="O168" s="75"/>
    </row>
    <row r="169" spans="1:15" s="11" customFormat="1">
      <c r="A169" s="445"/>
      <c r="B169" s="395"/>
      <c r="C169" s="646"/>
      <c r="D169" s="393"/>
      <c r="E169" s="425"/>
      <c r="F169" s="397"/>
      <c r="G169" s="649"/>
      <c r="H169" s="525"/>
      <c r="I169" s="87"/>
      <c r="J169" s="578"/>
      <c r="K169" s="542"/>
      <c r="L169" s="75"/>
      <c r="M169" s="75"/>
      <c r="N169" s="75"/>
      <c r="O169" s="75"/>
    </row>
    <row r="170" spans="1:15" s="11" customFormat="1">
      <c r="A170" s="445"/>
      <c r="B170" s="395"/>
      <c r="C170" s="646"/>
      <c r="D170" s="393"/>
      <c r="E170" s="425"/>
      <c r="F170" s="397"/>
      <c r="K170" s="542"/>
      <c r="L170" s="75"/>
      <c r="M170" s="75"/>
      <c r="N170" s="75"/>
      <c r="O170" s="75"/>
    </row>
    <row r="171" spans="1:15" s="11" customFormat="1">
      <c r="C171" s="646"/>
      <c r="D171" s="393"/>
      <c r="E171" s="425"/>
      <c r="F171" s="397"/>
      <c r="K171" s="542"/>
      <c r="L171" s="75"/>
      <c r="M171" s="75"/>
      <c r="N171" s="75"/>
      <c r="O171" s="75"/>
    </row>
    <row r="172" spans="1:15" s="11" customFormat="1">
      <c r="C172" s="646"/>
      <c r="D172" s="393"/>
      <c r="E172" s="425"/>
      <c r="F172" s="397"/>
      <c r="K172" s="542"/>
      <c r="L172" s="75"/>
      <c r="M172" s="75"/>
      <c r="N172" s="75"/>
      <c r="O172" s="75"/>
    </row>
    <row r="173" spans="1:15" s="11" customFormat="1">
      <c r="A173" s="445"/>
      <c r="B173" s="395"/>
      <c r="C173" s="646"/>
      <c r="D173" s="393"/>
      <c r="E173" s="425"/>
      <c r="F173" s="397"/>
      <c r="G173" s="649"/>
      <c r="H173" s="525"/>
      <c r="I173" s="87"/>
      <c r="J173" s="578"/>
      <c r="K173" s="542"/>
      <c r="L173" s="75"/>
      <c r="M173" s="75"/>
      <c r="N173" s="75"/>
      <c r="O173" s="75"/>
    </row>
    <row r="174" spans="1:15" s="11" customFormat="1">
      <c r="A174" s="445">
        <v>45964</v>
      </c>
      <c r="B174" s="544" t="s">
        <v>2025</v>
      </c>
      <c r="C174" s="646"/>
      <c r="D174" s="393"/>
      <c r="E174" s="425"/>
      <c r="F174" s="397"/>
      <c r="G174" s="649"/>
      <c r="H174" s="525"/>
      <c r="I174" s="87"/>
      <c r="J174" s="578"/>
      <c r="K174" s="542"/>
      <c r="L174" s="75"/>
      <c r="M174" s="75"/>
      <c r="N174" s="75"/>
      <c r="O174" s="75"/>
    </row>
    <row r="175" spans="1:15" s="11" customFormat="1">
      <c r="A175" s="445">
        <v>45966</v>
      </c>
      <c r="B175" s="395" t="s">
        <v>2026</v>
      </c>
      <c r="C175" s="646"/>
      <c r="D175" s="393"/>
      <c r="E175" s="425"/>
      <c r="F175" s="397"/>
      <c r="G175" s="649"/>
      <c r="H175" s="525"/>
      <c r="I175" s="87"/>
      <c r="J175" s="578"/>
      <c r="K175" s="542"/>
      <c r="L175" s="75"/>
      <c r="M175" s="75"/>
      <c r="N175" s="75"/>
      <c r="O175" s="75"/>
    </row>
    <row r="176" spans="1:15" s="11" customFormat="1">
      <c r="A176" s="445"/>
      <c r="B176" s="395" t="s">
        <v>2039</v>
      </c>
      <c r="C176" s="646"/>
      <c r="D176" s="393"/>
      <c r="E176" s="425"/>
      <c r="F176" s="397"/>
      <c r="G176" s="649"/>
      <c r="H176" s="525"/>
      <c r="I176" s="87"/>
      <c r="J176" s="578"/>
      <c r="K176" s="542"/>
      <c r="L176" s="75"/>
      <c r="M176" s="75"/>
      <c r="N176" s="75"/>
      <c r="O176" s="75"/>
    </row>
    <row r="177" spans="1:15" s="11" customFormat="1">
      <c r="A177" s="445"/>
      <c r="B177" s="395" t="s">
        <v>2027</v>
      </c>
      <c r="C177" s="646"/>
      <c r="D177" s="393"/>
      <c r="E177" s="425"/>
      <c r="F177" s="397"/>
      <c r="G177" s="649"/>
      <c r="H177" s="525"/>
      <c r="I177" s="87"/>
      <c r="J177" s="578"/>
      <c r="K177" s="542"/>
      <c r="L177" s="75"/>
      <c r="M177" s="75"/>
      <c r="N177" s="75"/>
      <c r="O177" s="75"/>
    </row>
    <row r="178" spans="1:15" s="11" customFormat="1">
      <c r="K178" s="542"/>
      <c r="L178" s="75"/>
      <c r="M178" s="75"/>
      <c r="N178" s="75"/>
      <c r="O178" s="75"/>
    </row>
    <row r="179" spans="1:15" s="11" customFormat="1">
      <c r="J179" s="75">
        <f ca="1">J160</f>
        <v>0</v>
      </c>
      <c r="K179" s="542"/>
      <c r="L179" s="75"/>
      <c r="M179" s="75"/>
      <c r="N179" s="75"/>
      <c r="O179" s="75"/>
    </row>
    <row r="180" spans="1:15" s="11" customFormat="1">
      <c r="A180" s="375">
        <v>45966</v>
      </c>
      <c r="B180" s="395" t="s">
        <v>2032</v>
      </c>
      <c r="C180" s="646"/>
      <c r="D180" s="87"/>
      <c r="E180" s="649"/>
      <c r="F180" s="660"/>
      <c r="G180" s="649"/>
      <c r="H180" s="649"/>
      <c r="I180" s="526"/>
      <c r="J180" s="660"/>
      <c r="K180" s="542"/>
      <c r="L180" s="75"/>
      <c r="M180" s="75"/>
      <c r="N180" s="75"/>
      <c r="O180" s="75"/>
    </row>
    <row r="181" spans="1:15" s="11" customFormat="1">
      <c r="A181" s="445">
        <v>45966</v>
      </c>
      <c r="B181" s="395" t="s">
        <v>2033</v>
      </c>
      <c r="C181" s="646"/>
      <c r="D181" s="87">
        <v>21</v>
      </c>
      <c r="E181" s="649">
        <v>1234.7104059999999</v>
      </c>
      <c r="F181" s="660">
        <f t="shared" ref="F181" si="10">E181*D181</f>
        <v>25928.918525999998</v>
      </c>
      <c r="G181" s="649"/>
      <c r="H181" s="649"/>
      <c r="I181" s="526">
        <f>G181*C181</f>
        <v>0</v>
      </c>
      <c r="J181" s="578">
        <f>F181</f>
        <v>25928.918525999998</v>
      </c>
      <c r="K181" s="542"/>
      <c r="L181" s="75"/>
      <c r="M181" s="75"/>
      <c r="N181" s="75"/>
      <c r="O181" s="75"/>
    </row>
    <row r="182" spans="1:15" s="11" customFormat="1">
      <c r="A182" s="445">
        <v>45966</v>
      </c>
      <c r="B182" s="395" t="s">
        <v>2032</v>
      </c>
      <c r="C182" s="646">
        <v>55</v>
      </c>
      <c r="D182" s="87">
        <v>55</v>
      </c>
      <c r="E182" s="649">
        <v>1234.7104059999999</v>
      </c>
      <c r="F182" s="660">
        <f t="shared" ref="F182" si="11">E182*D182</f>
        <v>67909.072329999995</v>
      </c>
      <c r="G182" s="649">
        <v>1234.7104059999999</v>
      </c>
      <c r="H182" s="649"/>
      <c r="I182" s="526">
        <f>G182*C182</f>
        <v>67909.072329999995</v>
      </c>
      <c r="J182" s="660">
        <f>J181+I182</f>
        <v>93837.990855999989</v>
      </c>
      <c r="K182" s="542"/>
      <c r="L182" s="75"/>
      <c r="M182" s="75"/>
      <c r="N182" s="75"/>
      <c r="O182" s="75"/>
    </row>
    <row r="183" spans="1:15" s="11" customFormat="1">
      <c r="A183" s="445">
        <v>45966</v>
      </c>
      <c r="B183" s="395" t="s">
        <v>2040</v>
      </c>
      <c r="C183" s="646"/>
      <c r="D183" s="87"/>
      <c r="E183" s="649"/>
      <c r="F183" s="660"/>
      <c r="G183" s="649"/>
      <c r="H183" s="649"/>
      <c r="I183" s="526">
        <v>-20000</v>
      </c>
      <c r="J183" s="578">
        <f t="shared" ref="J183:J191" si="12">J182+I183</f>
        <v>73837.990855999989</v>
      </c>
      <c r="K183" s="542"/>
      <c r="L183" s="75"/>
      <c r="M183" s="75"/>
      <c r="N183" s="75"/>
      <c r="O183" s="75"/>
    </row>
    <row r="184" spans="1:15" s="11" customFormat="1">
      <c r="A184" s="445"/>
      <c r="B184" s="395" t="s">
        <v>2042</v>
      </c>
      <c r="C184" s="646"/>
      <c r="D184" s="87"/>
      <c r="E184" s="649"/>
      <c r="F184" s="660"/>
      <c r="G184" s="649"/>
      <c r="H184" s="649"/>
      <c r="I184" s="526">
        <v>70850.58</v>
      </c>
      <c r="J184" s="578">
        <f t="shared" si="12"/>
        <v>144688.57085600001</v>
      </c>
      <c r="K184" s="542"/>
      <c r="L184" s="75"/>
      <c r="M184" s="75"/>
      <c r="N184" s="75"/>
      <c r="O184" s="75"/>
    </row>
    <row r="185" spans="1:15" s="11" customFormat="1">
      <c r="A185" s="655"/>
      <c r="B185" s="395" t="s">
        <v>2041</v>
      </c>
      <c r="C185" s="656"/>
      <c r="D185" s="87"/>
      <c r="E185" s="649"/>
      <c r="F185" s="526"/>
      <c r="G185" s="649"/>
      <c r="H185" s="649"/>
      <c r="I185" s="526">
        <v>-20000</v>
      </c>
      <c r="J185" s="578">
        <f t="shared" si="12"/>
        <v>124688.57085600001</v>
      </c>
      <c r="K185" s="657"/>
      <c r="L185" s="75"/>
      <c r="M185" s="75"/>
      <c r="N185" s="75"/>
      <c r="O185" s="75"/>
    </row>
    <row r="186" spans="1:15" s="11" customFormat="1">
      <c r="A186" s="655"/>
      <c r="B186" s="454" t="s">
        <v>2034</v>
      </c>
      <c r="C186" s="656"/>
      <c r="D186" s="87"/>
      <c r="E186" s="649"/>
      <c r="F186" s="526">
        <f t="shared" ref="F186" si="13">E186*D186</f>
        <v>0</v>
      </c>
      <c r="G186" s="649"/>
      <c r="H186" s="649"/>
      <c r="I186" s="526">
        <v>-30000</v>
      </c>
      <c r="J186" s="578">
        <f t="shared" si="12"/>
        <v>94688.570856000006</v>
      </c>
      <c r="K186" s="657"/>
      <c r="L186" s="75"/>
      <c r="M186" s="75"/>
      <c r="N186" s="75"/>
      <c r="O186" s="75"/>
    </row>
    <row r="187" spans="1:15" s="11" customFormat="1">
      <c r="A187" s="655"/>
      <c r="B187" s="454" t="s">
        <v>2036</v>
      </c>
      <c r="C187" s="656"/>
      <c r="D187" s="87"/>
      <c r="E187" s="649"/>
      <c r="F187" s="526"/>
      <c r="G187" s="649"/>
      <c r="H187" s="649"/>
      <c r="I187" s="526">
        <v>-30000</v>
      </c>
      <c r="J187" s="578">
        <f t="shared" si="12"/>
        <v>64688.570856000006</v>
      </c>
      <c r="K187" s="657"/>
      <c r="L187" s="75"/>
      <c r="M187" s="75"/>
      <c r="N187" s="75"/>
      <c r="O187" s="75"/>
    </row>
    <row r="188" spans="1:15">
      <c r="A188" s="655"/>
      <c r="B188" s="454" t="s">
        <v>2035</v>
      </c>
      <c r="C188" s="656"/>
      <c r="D188" s="525"/>
      <c r="E188" s="649"/>
      <c r="F188" s="526"/>
      <c r="G188" s="649"/>
      <c r="H188" s="649"/>
      <c r="I188" s="526">
        <v>-30000</v>
      </c>
      <c r="J188" s="578">
        <f t="shared" si="12"/>
        <v>34688.570856000006</v>
      </c>
      <c r="K188" s="657"/>
    </row>
    <row r="189" spans="1:15">
      <c r="A189" s="655"/>
      <c r="B189" s="454" t="s">
        <v>2043</v>
      </c>
      <c r="C189" s="656"/>
      <c r="D189" s="525"/>
      <c r="E189" s="525"/>
      <c r="F189" s="526"/>
      <c r="G189" s="649"/>
      <c r="H189" s="649"/>
      <c r="I189" s="526">
        <v>-30000</v>
      </c>
      <c r="J189" s="578">
        <f t="shared" si="12"/>
        <v>4688.5708560000057</v>
      </c>
      <c r="K189" s="657"/>
    </row>
    <row r="190" spans="1:15">
      <c r="A190" s="655"/>
      <c r="B190" s="544"/>
      <c r="C190" s="656"/>
      <c r="D190" s="525"/>
      <c r="E190" s="525"/>
      <c r="F190" s="526"/>
      <c r="G190" s="649"/>
      <c r="H190" s="649"/>
      <c r="I190" s="526"/>
      <c r="J190" s="578">
        <f t="shared" si="12"/>
        <v>4688.5708560000057</v>
      </c>
      <c r="K190" s="657"/>
    </row>
    <row r="191" spans="1:15">
      <c r="A191" s="655"/>
      <c r="B191" s="454"/>
      <c r="C191" s="656"/>
      <c r="D191" s="525"/>
      <c r="E191" s="525"/>
      <c r="F191" s="526"/>
      <c r="G191" s="649"/>
      <c r="H191" s="649"/>
      <c r="I191" s="525"/>
      <c r="J191" s="578">
        <f t="shared" si="12"/>
        <v>4688.5708560000057</v>
      </c>
      <c r="K191" s="657"/>
    </row>
    <row r="192" spans="1:15">
      <c r="A192" s="655"/>
      <c r="B192" s="544"/>
      <c r="C192" s="656"/>
      <c r="D192" s="525"/>
      <c r="E192" s="525"/>
      <c r="F192" s="526"/>
      <c r="G192" s="649"/>
      <c r="H192" s="649"/>
      <c r="I192" s="526"/>
      <c r="J192" s="578"/>
      <c r="K192" s="454"/>
    </row>
    <row r="193" spans="1:11">
      <c r="A193" s="655"/>
      <c r="B193" s="454"/>
      <c r="C193" s="656"/>
      <c r="D193" s="525"/>
      <c r="E193" s="525"/>
      <c r="F193" s="526"/>
      <c r="G193" s="649"/>
      <c r="H193" s="649"/>
      <c r="I193" s="525"/>
      <c r="J193" s="578"/>
      <c r="K193" s="454"/>
    </row>
    <row r="194" spans="1:11">
      <c r="A194" s="655"/>
      <c r="B194" s="544"/>
      <c r="C194" s="656"/>
      <c r="D194" s="525"/>
      <c r="E194" s="525"/>
      <c r="F194" s="526"/>
      <c r="G194" s="649"/>
      <c r="H194" s="649"/>
      <c r="I194" s="526"/>
      <c r="J194" s="578"/>
      <c r="K194" s="454"/>
    </row>
    <row r="195" spans="1:11">
      <c r="A195" s="655"/>
      <c r="B195" s="454"/>
      <c r="C195" s="656"/>
      <c r="D195" s="525"/>
      <c r="E195" s="525"/>
      <c r="F195" s="526"/>
      <c r="G195" s="649"/>
      <c r="H195" s="649"/>
      <c r="I195" s="525"/>
      <c r="J195" s="578"/>
      <c r="K195" s="454"/>
    </row>
    <row r="196" spans="1:11">
      <c r="A196" s="94"/>
      <c r="B196" s="395"/>
      <c r="C196" s="377"/>
      <c r="D196" s="87"/>
      <c r="E196" s="393"/>
      <c r="F196" s="397"/>
      <c r="G196" s="425"/>
      <c r="H196" s="425"/>
      <c r="I196" s="87"/>
      <c r="J196" s="12"/>
    </row>
    <row r="197" spans="1:11">
      <c r="A197" s="560"/>
      <c r="B197" s="454"/>
      <c r="C197" s="524">
        <f>SUM(C138:C196)</f>
        <v>-128</v>
      </c>
      <c r="D197" s="525"/>
      <c r="E197" s="393"/>
      <c r="F197" s="397"/>
      <c r="G197" s="525"/>
    </row>
    <row r="198" spans="1:11">
      <c r="A198" s="561"/>
      <c r="B198" s="395"/>
      <c r="C198" s="396"/>
      <c r="D198" s="393"/>
      <c r="E198" s="393"/>
      <c r="G198" s="393"/>
      <c r="H198" s="393" t="s">
        <v>2030</v>
      </c>
      <c r="I198" s="397" t="s">
        <v>2031</v>
      </c>
      <c r="J198" s="87"/>
    </row>
    <row r="199" spans="1:11">
      <c r="A199" s="94"/>
      <c r="B199" s="87" t="s">
        <v>1860</v>
      </c>
      <c r="C199" s="426"/>
      <c r="D199" s="427"/>
      <c r="E199" s="393"/>
      <c r="G199" s="397"/>
      <c r="H199" s="397"/>
      <c r="I199" s="87"/>
      <c r="J199" s="87"/>
    </row>
  </sheetData>
  <phoneticPr fontId="59" type="noConversion"/>
  <conditionalFormatting sqref="F118 F120">
    <cfRule type="cellIs" dxfId="117" priority="1" operator="lessThan">
      <formula>D118</formula>
    </cfRule>
  </conditionalFormatting>
  <conditionalFormatting sqref="F102:F104 F91">
    <cfRule type="cellIs" dxfId="116" priority="9" operator="lessThan">
      <formula>D91</formula>
    </cfRule>
  </conditionalFormatting>
  <conditionalFormatting sqref="F97:F99">
    <cfRule type="cellIs" dxfId="115" priority="10" operator="lessThan">
      <formula>D97</formula>
    </cfRule>
  </conditionalFormatting>
  <conditionalFormatting sqref="F95">
    <cfRule type="cellIs" dxfId="114" priority="8" operator="lessThan">
      <formula>D95</formula>
    </cfRule>
  </conditionalFormatting>
  <conditionalFormatting sqref="F117 F119">
    <cfRule type="cellIs" dxfId="113" priority="7" operator="lessThan">
      <formula>D117</formula>
    </cfRule>
  </conditionalFormatting>
  <conditionalFormatting sqref="F96">
    <cfRule type="cellIs" dxfId="112" priority="6" operator="lessThan">
      <formula>D96</formula>
    </cfRule>
  </conditionalFormatting>
  <conditionalFormatting sqref="F92">
    <cfRule type="cellIs" dxfId="111" priority="5" operator="lessThan">
      <formula>D92</formula>
    </cfRule>
  </conditionalFormatting>
  <conditionalFormatting sqref="F116">
    <cfRule type="cellIs" dxfId="110" priority="4" operator="lessThan">
      <formula>D116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N166"/>
  <sheetViews>
    <sheetView topLeftCell="A95" zoomScale="145" zoomScaleNormal="145" workbookViewId="0">
      <selection activeCell="A112" sqref="A112:XFD1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6" width="12.28515625" style="74"/>
    <col min="7" max="7" width="15.28515625" style="74" customWidth="1"/>
    <col min="8" max="8" width="12.28515625" style="74"/>
    <col min="10" max="10" width="27.42578125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3" t="s">
        <v>58</v>
      </c>
      <c r="C2" s="76" t="s">
        <v>59</v>
      </c>
      <c r="D2" s="74">
        <f>SUM(D4:D27)</f>
        <v>17494.509999999998</v>
      </c>
      <c r="E2" s="74">
        <f>SUM(E4:E27)</f>
        <v>-54105.36</v>
      </c>
      <c r="F2" s="74">
        <f>SUM(F4:F27)</f>
        <v>17564.53</v>
      </c>
      <c r="G2" s="74">
        <f>SUM(G4:G27)</f>
        <v>-54899.360000000001</v>
      </c>
      <c r="H2" s="74">
        <f>F2+G2</f>
        <v>-37334.83</v>
      </c>
    </row>
    <row r="3" spans="1:14">
      <c r="B3" s="15"/>
    </row>
    <row r="4" spans="1:14">
      <c r="B4" s="38"/>
      <c r="H4" s="74">
        <f t="shared" ref="H4:H27" si="0">H3+F4+G4</f>
        <v>0</v>
      </c>
    </row>
    <row r="5" spans="1:14">
      <c r="A5" s="77"/>
      <c r="B5" s="78"/>
      <c r="C5" s="79"/>
      <c r="D5" s="80"/>
      <c r="E5" s="80"/>
      <c r="H5" s="87">
        <f t="shared" si="0"/>
        <v>0</v>
      </c>
    </row>
    <row r="6" spans="1:14" s="11" customFormat="1">
      <c r="A6" s="77"/>
      <c r="B6" s="78"/>
      <c r="C6" s="79"/>
      <c r="D6" s="80"/>
      <c r="E6" s="80"/>
      <c r="F6" s="87"/>
      <c r="G6" s="87"/>
      <c r="H6" s="87">
        <f t="shared" si="0"/>
        <v>0</v>
      </c>
      <c r="K6" s="75"/>
      <c r="L6" s="75"/>
      <c r="M6" s="75"/>
      <c r="N6" s="75"/>
    </row>
    <row r="7" spans="1:14" s="11" customFormat="1">
      <c r="A7" s="77">
        <v>45934</v>
      </c>
      <c r="B7" s="78" t="s">
        <v>2004</v>
      </c>
      <c r="C7" s="79"/>
      <c r="D7" s="80"/>
      <c r="E7" s="80"/>
      <c r="F7" s="87"/>
      <c r="G7" s="87">
        <v>-157.5</v>
      </c>
      <c r="H7" s="87">
        <f t="shared" si="0"/>
        <v>-157.5</v>
      </c>
      <c r="K7" s="75"/>
      <c r="L7" s="75"/>
      <c r="M7" s="75"/>
      <c r="N7" s="75"/>
    </row>
    <row r="8" spans="1:14" s="11" customFormat="1">
      <c r="A8" s="77"/>
      <c r="B8" s="78"/>
      <c r="C8" s="79"/>
      <c r="D8" s="80"/>
      <c r="E8" s="80"/>
      <c r="F8" s="87"/>
      <c r="G8" s="87"/>
      <c r="H8" s="87">
        <f t="shared" si="0"/>
        <v>-157.5</v>
      </c>
      <c r="K8" s="75"/>
      <c r="L8" s="75"/>
      <c r="M8" s="75"/>
      <c r="N8" s="75"/>
    </row>
    <row r="9" spans="1:14">
      <c r="A9" s="81">
        <v>45936</v>
      </c>
      <c r="B9" s="78" t="s">
        <v>60</v>
      </c>
      <c r="C9" s="82"/>
      <c r="D9" s="83"/>
      <c r="E9" s="83">
        <f>E30</f>
        <v>-29005.360000000001</v>
      </c>
      <c r="F9" s="84"/>
      <c r="G9" s="84">
        <f>E9</f>
        <v>-29005.360000000001</v>
      </c>
      <c r="H9" s="87">
        <f t="shared" si="0"/>
        <v>-29162.86</v>
      </c>
    </row>
    <row r="10" spans="1:14">
      <c r="A10" s="77"/>
      <c r="B10" s="78" t="s">
        <v>61</v>
      </c>
      <c r="C10" s="82"/>
      <c r="D10" s="83"/>
      <c r="E10" s="83">
        <f>E71</f>
        <v>0</v>
      </c>
      <c r="F10" s="84"/>
      <c r="G10" s="84">
        <f>E10</f>
        <v>0</v>
      </c>
      <c r="H10" s="87">
        <f t="shared" si="0"/>
        <v>-29162.86</v>
      </c>
    </row>
    <row r="11" spans="1:14" s="11" customFormat="1">
      <c r="A11" s="77">
        <v>45943</v>
      </c>
      <c r="B11" s="78"/>
      <c r="C11" s="82"/>
      <c r="D11" s="83"/>
      <c r="E11" s="83"/>
      <c r="F11" s="84"/>
      <c r="G11" s="84">
        <v>-130</v>
      </c>
      <c r="H11" s="87">
        <f t="shared" si="0"/>
        <v>-29292.86</v>
      </c>
      <c r="K11" s="75"/>
      <c r="L11" s="75"/>
      <c r="M11" s="75"/>
      <c r="N11" s="75"/>
    </row>
    <row r="12" spans="1:14">
      <c r="A12" s="410">
        <v>45944</v>
      </c>
      <c r="B12" s="408" t="s">
        <v>2003</v>
      </c>
      <c r="C12" s="408"/>
      <c r="D12" s="373"/>
      <c r="E12" s="373"/>
      <c r="G12" s="84">
        <v>-5750</v>
      </c>
      <c r="H12" s="87">
        <f t="shared" si="0"/>
        <v>-35042.86</v>
      </c>
    </row>
    <row r="13" spans="1:14" s="75" customFormat="1">
      <c r="A13" s="399">
        <v>45947</v>
      </c>
      <c r="B13" s="512" t="s">
        <v>65</v>
      </c>
      <c r="C13" s="512"/>
      <c r="D13" s="373"/>
      <c r="E13" s="373">
        <v>-1000</v>
      </c>
      <c r="F13" s="74"/>
      <c r="G13" s="74">
        <v>-245</v>
      </c>
      <c r="H13" s="87">
        <f t="shared" si="0"/>
        <v>-35287.86</v>
      </c>
    </row>
    <row r="14" spans="1:14" s="75" customFormat="1">
      <c r="A14" s="399">
        <v>45947</v>
      </c>
      <c r="B14" s="512" t="s">
        <v>66</v>
      </c>
      <c r="C14" s="512"/>
      <c r="D14" s="373"/>
      <c r="E14" s="373">
        <v>-200</v>
      </c>
      <c r="F14" s="74"/>
      <c r="G14" s="74">
        <v>-60</v>
      </c>
      <c r="H14" s="87">
        <f t="shared" si="0"/>
        <v>-35347.86</v>
      </c>
    </row>
    <row r="15" spans="1:14" s="75" customFormat="1">
      <c r="A15" s="399"/>
      <c r="B15" s="422"/>
      <c r="C15" s="422"/>
      <c r="D15" s="373"/>
      <c r="E15" s="373"/>
      <c r="F15" s="74"/>
      <c r="G15" s="74"/>
      <c r="H15" s="87">
        <f t="shared" si="0"/>
        <v>-35347.86</v>
      </c>
    </row>
    <row r="16" spans="1:14" s="75" customFormat="1">
      <c r="A16" s="399"/>
      <c r="B16" s="403" t="s">
        <v>68</v>
      </c>
      <c r="C16" s="403"/>
      <c r="D16" s="373">
        <v>17494.509999999998</v>
      </c>
      <c r="E16" s="373"/>
      <c r="F16" s="373">
        <v>17564.53</v>
      </c>
      <c r="G16" s="74"/>
      <c r="H16" s="87">
        <f t="shared" si="0"/>
        <v>-17783.330000000002</v>
      </c>
      <c r="J16" s="90"/>
      <c r="K16" s="90"/>
      <c r="L16" s="91"/>
      <c r="M16" s="92"/>
    </row>
    <row r="17" spans="1:14" s="75" customFormat="1">
      <c r="A17" s="402"/>
      <c r="B17" s="403" t="s">
        <v>69</v>
      </c>
      <c r="C17" s="403"/>
      <c r="D17" s="373"/>
      <c r="E17" s="373">
        <v>-7500</v>
      </c>
      <c r="F17" s="74"/>
      <c r="G17" s="74"/>
      <c r="H17" s="87">
        <f t="shared" si="0"/>
        <v>-17783.330000000002</v>
      </c>
      <c r="J17" s="90"/>
      <c r="K17" s="90"/>
      <c r="L17" s="91"/>
      <c r="M17" s="92"/>
    </row>
    <row r="18" spans="1:14" s="75" customFormat="1">
      <c r="A18" s="402"/>
      <c r="B18" s="403" t="s">
        <v>70</v>
      </c>
      <c r="C18" s="403"/>
      <c r="D18" s="373"/>
      <c r="E18" s="373">
        <v>-7500</v>
      </c>
      <c r="F18" s="74"/>
      <c r="G18" s="74">
        <v>-9000</v>
      </c>
      <c r="H18" s="87">
        <f t="shared" si="0"/>
        <v>-26783.33</v>
      </c>
      <c r="J18" s="90"/>
      <c r="K18" s="90"/>
      <c r="L18" s="91"/>
      <c r="M18" s="92"/>
    </row>
    <row r="19" spans="1:14" s="75" customFormat="1">
      <c r="A19" s="402"/>
      <c r="B19" s="403" t="s">
        <v>71</v>
      </c>
      <c r="C19" s="403"/>
      <c r="D19" s="373"/>
      <c r="E19" s="373">
        <v>-7500</v>
      </c>
      <c r="F19" s="74"/>
      <c r="G19" s="74">
        <v>-9000</v>
      </c>
      <c r="H19" s="87">
        <f t="shared" si="0"/>
        <v>-35783.33</v>
      </c>
      <c r="J19" s="90"/>
      <c r="K19" s="90"/>
      <c r="L19" s="91"/>
      <c r="M19" s="92"/>
    </row>
    <row r="20" spans="1:14" s="75" customFormat="1">
      <c r="A20" s="401">
        <v>45952</v>
      </c>
      <c r="B20" s="403" t="s">
        <v>2002</v>
      </c>
      <c r="C20" s="403"/>
      <c r="D20" s="373"/>
      <c r="E20" s="373"/>
      <c r="F20" s="74"/>
      <c r="G20" s="74">
        <v>-281.5</v>
      </c>
      <c r="H20" s="87">
        <f t="shared" si="0"/>
        <v>-36064.83</v>
      </c>
      <c r="J20" s="90"/>
      <c r="K20" s="90"/>
      <c r="L20" s="91"/>
      <c r="M20" s="92"/>
    </row>
    <row r="21" spans="1:14" s="75" customFormat="1">
      <c r="A21" s="401">
        <v>45957</v>
      </c>
      <c r="B21" s="422" t="s">
        <v>72</v>
      </c>
      <c r="C21" s="422"/>
      <c r="D21" s="373"/>
      <c r="E21" s="373">
        <v>-600</v>
      </c>
      <c r="F21" s="74"/>
      <c r="G21" s="74">
        <v>-515</v>
      </c>
      <c r="H21" s="87">
        <f t="shared" si="0"/>
        <v>-36579.83</v>
      </c>
      <c r="J21" s="90"/>
      <c r="K21" s="90"/>
      <c r="L21" s="91"/>
      <c r="M21" s="92"/>
    </row>
    <row r="22" spans="1:14" s="75" customFormat="1">
      <c r="A22" s="401">
        <v>45957</v>
      </c>
      <c r="B22" s="422" t="s">
        <v>73</v>
      </c>
      <c r="C22" s="422"/>
      <c r="D22" s="373"/>
      <c r="E22" s="373">
        <v>-800</v>
      </c>
      <c r="F22" s="74"/>
      <c r="G22" s="74">
        <v>-755</v>
      </c>
      <c r="H22" s="87">
        <f t="shared" si="0"/>
        <v>-37334.83</v>
      </c>
      <c r="J22" s="90"/>
      <c r="K22" s="90"/>
      <c r="L22" s="91"/>
      <c r="M22" s="92"/>
    </row>
    <row r="23" spans="1:14" s="75" customFormat="1">
      <c r="B23" s="3"/>
      <c r="C23" s="3"/>
      <c r="D23" s="74"/>
      <c r="E23" s="74"/>
      <c r="F23" s="74"/>
      <c r="G23" s="74"/>
      <c r="H23" s="87">
        <f t="shared" si="0"/>
        <v>-37334.83</v>
      </c>
    </row>
    <row r="24" spans="1:14" s="75" customFormat="1">
      <c r="D24" s="74"/>
      <c r="E24" s="74"/>
      <c r="F24" s="74"/>
      <c r="G24" s="74"/>
      <c r="H24" s="87">
        <f t="shared" si="0"/>
        <v>-37334.83</v>
      </c>
    </row>
    <row r="25" spans="1:14">
      <c r="A25" s="96"/>
      <c r="B25" s="97" t="s">
        <v>74</v>
      </c>
      <c r="C25" s="97"/>
      <c r="H25" s="87">
        <f t="shared" si="0"/>
        <v>-37334.83</v>
      </c>
      <c r="I25" s="75"/>
      <c r="J25" s="75"/>
    </row>
    <row r="26" spans="1:14">
      <c r="A26" s="96"/>
      <c r="H26" s="87">
        <f t="shared" si="0"/>
        <v>-37334.83</v>
      </c>
    </row>
    <row r="27" spans="1:14">
      <c r="H27" s="87">
        <f t="shared" si="0"/>
        <v>-37334.83</v>
      </c>
    </row>
    <row r="28" spans="1:14" s="74" customFormat="1">
      <c r="A28" s="85"/>
      <c r="B28" s="75"/>
      <c r="C28" s="75"/>
      <c r="I28" s="75"/>
      <c r="J28" s="75"/>
      <c r="K28" s="75"/>
      <c r="L28" s="75"/>
      <c r="M28" s="75"/>
      <c r="N28" s="75"/>
    </row>
    <row r="29" spans="1:14" s="74" customFormat="1">
      <c r="B29" s="98"/>
      <c r="K29" s="75"/>
      <c r="L29" s="75"/>
      <c r="M29" s="75"/>
      <c r="N29" s="75"/>
    </row>
    <row r="30" spans="1:14">
      <c r="A30" s="99"/>
      <c r="B30" s="100" t="s">
        <v>75</v>
      </c>
      <c r="C30" s="99"/>
      <c r="E30" s="74">
        <f>SUM(E32:E70)</f>
        <v>-29005.360000000001</v>
      </c>
      <c r="I30" s="74"/>
      <c r="J30" s="74"/>
    </row>
    <row r="31" spans="1:14" s="74" customFormat="1">
      <c r="A31"/>
      <c r="B31"/>
      <c r="C31"/>
      <c r="I31"/>
      <c r="J31"/>
      <c r="K31" s="75"/>
      <c r="L31" s="75"/>
      <c r="M31" s="75"/>
      <c r="N31" s="75"/>
    </row>
    <row r="32" spans="1:14" s="74" customFormat="1">
      <c r="A32" s="85">
        <v>45817</v>
      </c>
      <c r="B32" s="87" t="s">
        <v>1850</v>
      </c>
      <c r="C32" s="87"/>
      <c r="D32" s="87" t="s">
        <v>1890</v>
      </c>
      <c r="E32" s="87">
        <v>-406.67</v>
      </c>
      <c r="F32" s="87">
        <v>0</v>
      </c>
      <c r="G32" s="87"/>
      <c r="H32" s="87"/>
      <c r="I32"/>
      <c r="J32"/>
      <c r="K32" s="75"/>
      <c r="L32" s="75"/>
      <c r="M32" s="75"/>
      <c r="N32" s="75"/>
    </row>
    <row r="33" spans="1:14" s="74" customFormat="1">
      <c r="A33" s="96">
        <v>45790</v>
      </c>
      <c r="B33" s="103" t="s">
        <v>330</v>
      </c>
      <c r="C33" s="87">
        <v>1407.46</v>
      </c>
      <c r="D33" s="87" t="s">
        <v>515</v>
      </c>
      <c r="E33" s="87">
        <v>-234.58</v>
      </c>
      <c r="F33" s="87">
        <v>0</v>
      </c>
      <c r="G33" s="87"/>
      <c r="H33" s="87"/>
      <c r="K33" s="75"/>
      <c r="L33" s="75"/>
      <c r="M33" s="75"/>
      <c r="N33" s="75"/>
    </row>
    <row r="34" spans="1:14" s="74" customFormat="1">
      <c r="A34" s="96">
        <v>45880</v>
      </c>
      <c r="B34" s="103" t="s">
        <v>1927</v>
      </c>
      <c r="C34" s="102">
        <v>5126</v>
      </c>
      <c r="D34" s="87" t="s">
        <v>1887</v>
      </c>
      <c r="E34" s="87">
        <v>-854.33</v>
      </c>
      <c r="F34" s="74">
        <v>0</v>
      </c>
      <c r="K34" s="75"/>
      <c r="L34" s="75"/>
      <c r="M34" s="75"/>
      <c r="N34" s="75"/>
    </row>
    <row r="35" spans="1:14" s="74" customFormat="1">
      <c r="A35" s="96">
        <v>45880</v>
      </c>
      <c r="B35" s="103" t="s">
        <v>1928</v>
      </c>
      <c r="C35" s="102">
        <v>16598.900000000001</v>
      </c>
      <c r="D35" s="87" t="s">
        <v>1945</v>
      </c>
      <c r="E35" s="87">
        <v>-1844.32</v>
      </c>
      <c r="F35" s="74">
        <v>0</v>
      </c>
      <c r="K35" s="75"/>
      <c r="L35" s="75"/>
      <c r="M35" s="75"/>
      <c r="N35" s="75"/>
    </row>
    <row r="36" spans="1:14" s="87" customFormat="1">
      <c r="A36" s="96">
        <v>45901</v>
      </c>
      <c r="B36" s="103" t="s">
        <v>1992</v>
      </c>
      <c r="C36" s="102">
        <v>2307</v>
      </c>
      <c r="D36" s="87" t="s">
        <v>1851</v>
      </c>
      <c r="E36" s="87">
        <v>-384.5</v>
      </c>
      <c r="F36" s="87">
        <v>0</v>
      </c>
      <c r="K36" s="75"/>
      <c r="L36" s="75"/>
      <c r="M36" s="75"/>
      <c r="N36" s="75"/>
    </row>
    <row r="37" spans="1:14" s="87" customFormat="1">
      <c r="A37" s="96"/>
      <c r="B37" s="103"/>
      <c r="C37" s="102"/>
      <c r="K37" s="75"/>
      <c r="L37" s="75"/>
      <c r="M37" s="75"/>
      <c r="N37" s="75"/>
    </row>
    <row r="38" spans="1:14" s="87" customFormat="1">
      <c r="A38" s="96"/>
      <c r="B38" s="103"/>
      <c r="C38" s="102"/>
      <c r="K38" s="75"/>
      <c r="L38" s="75"/>
      <c r="M38" s="75"/>
      <c r="N38" s="75"/>
    </row>
    <row r="39" spans="1:14" s="87" customFormat="1">
      <c r="A39" s="96"/>
      <c r="B39" s="103"/>
      <c r="C39" s="102"/>
      <c r="K39" s="75"/>
      <c r="L39" s="75"/>
      <c r="M39" s="75"/>
      <c r="N39" s="75"/>
    </row>
    <row r="40" spans="1:14" s="87" customFormat="1">
      <c r="A40" s="96">
        <v>45894</v>
      </c>
      <c r="B40" s="103" t="s">
        <v>1944</v>
      </c>
      <c r="C40" s="102"/>
      <c r="E40" s="87">
        <v>-900</v>
      </c>
      <c r="K40" s="75"/>
      <c r="L40" s="75"/>
      <c r="M40" s="75"/>
      <c r="N40" s="75"/>
    </row>
    <row r="41" spans="1:14" s="87" customFormat="1">
      <c r="A41" s="96">
        <v>45895</v>
      </c>
      <c r="B41" s="103"/>
      <c r="C41" s="102"/>
      <c r="E41" s="87">
        <v>-100</v>
      </c>
      <c r="K41" s="75"/>
      <c r="L41" s="75"/>
      <c r="M41" s="75"/>
      <c r="N41" s="75"/>
    </row>
    <row r="42" spans="1:14" s="87" customFormat="1">
      <c r="A42" s="96">
        <v>45895</v>
      </c>
      <c r="B42" s="103" t="s">
        <v>1956</v>
      </c>
      <c r="C42" s="102"/>
      <c r="E42" s="87">
        <v>-140</v>
      </c>
      <c r="K42" s="75"/>
      <c r="L42" s="75"/>
      <c r="M42" s="75"/>
      <c r="N42" s="75"/>
    </row>
    <row r="43" spans="1:14" s="87" customFormat="1">
      <c r="A43" s="96"/>
      <c r="B43" s="103" t="s">
        <v>360</v>
      </c>
      <c r="C43" s="102"/>
      <c r="E43" s="87">
        <v>-117.5</v>
      </c>
      <c r="K43" s="75"/>
      <c r="L43" s="75"/>
      <c r="M43" s="75"/>
      <c r="N43" s="75"/>
    </row>
    <row r="44" spans="1:14" s="87" customFormat="1">
      <c r="A44" s="96"/>
      <c r="B44" s="103" t="s">
        <v>1959</v>
      </c>
      <c r="C44" s="102"/>
      <c r="E44" s="87">
        <v>-250</v>
      </c>
      <c r="K44" s="75"/>
      <c r="L44" s="75"/>
      <c r="M44" s="75"/>
      <c r="N44" s="75"/>
    </row>
    <row r="45" spans="1:14" s="87" customFormat="1">
      <c r="A45" s="96">
        <v>45898</v>
      </c>
      <c r="B45" s="103" t="s">
        <v>1958</v>
      </c>
      <c r="C45" s="102"/>
      <c r="E45" s="87">
        <v>-160</v>
      </c>
      <c r="K45" s="75"/>
      <c r="L45" s="75"/>
      <c r="M45" s="75"/>
      <c r="N45" s="75"/>
    </row>
    <row r="46" spans="1:14" s="87" customFormat="1">
      <c r="A46" s="96">
        <v>45901</v>
      </c>
      <c r="B46" s="103" t="s">
        <v>1957</v>
      </c>
      <c r="C46" s="102"/>
      <c r="E46" s="87">
        <v>-775</v>
      </c>
      <c r="K46" s="75"/>
      <c r="L46" s="75"/>
      <c r="M46" s="75"/>
      <c r="N46" s="75"/>
    </row>
    <row r="47" spans="1:14" s="87" customFormat="1">
      <c r="A47" s="96">
        <v>45902</v>
      </c>
      <c r="B47" s="103" t="s">
        <v>360</v>
      </c>
      <c r="C47" s="102"/>
      <c r="E47" s="87">
        <v>-481.18</v>
      </c>
      <c r="K47" s="75"/>
      <c r="L47" s="75"/>
      <c r="M47" s="75"/>
      <c r="N47" s="75"/>
    </row>
    <row r="48" spans="1:14" s="87" customFormat="1">
      <c r="A48" s="96"/>
      <c r="B48" s="103"/>
      <c r="C48" s="102"/>
      <c r="D48" s="87">
        <v>47204.14</v>
      </c>
      <c r="K48" s="75"/>
      <c r="L48" s="75"/>
      <c r="M48" s="75"/>
      <c r="N48" s="75"/>
    </row>
    <row r="49" spans="1:14" s="87" customFormat="1">
      <c r="A49" s="96"/>
      <c r="B49" s="103"/>
      <c r="C49" s="102"/>
      <c r="E49" s="87">
        <v>-887.68</v>
      </c>
      <c r="K49" s="75"/>
      <c r="L49" s="75"/>
      <c r="M49" s="75"/>
      <c r="N49" s="75"/>
    </row>
    <row r="50" spans="1:14" s="87" customFormat="1">
      <c r="A50" s="96"/>
      <c r="B50" s="103" t="s">
        <v>171</v>
      </c>
      <c r="C50" s="102"/>
      <c r="E50" s="87">
        <v>-500</v>
      </c>
      <c r="K50" s="75"/>
      <c r="L50" s="75"/>
      <c r="M50" s="75"/>
      <c r="N50" s="75"/>
    </row>
    <row r="51" spans="1:14" s="87" customFormat="1">
      <c r="A51" s="96"/>
      <c r="B51" s="103" t="s">
        <v>1993</v>
      </c>
      <c r="C51" s="102"/>
      <c r="E51" s="87">
        <v>-140</v>
      </c>
      <c r="K51" s="75"/>
      <c r="L51" s="75"/>
      <c r="M51" s="75"/>
      <c r="N51" s="75"/>
    </row>
    <row r="52" spans="1:14" s="87" customFormat="1">
      <c r="A52" s="96"/>
      <c r="B52" s="103" t="s">
        <v>1994</v>
      </c>
      <c r="C52" s="102"/>
      <c r="E52" s="87">
        <v>-80</v>
      </c>
      <c r="K52" s="75"/>
      <c r="L52" s="75"/>
      <c r="M52" s="75"/>
      <c r="N52" s="75"/>
    </row>
    <row r="53" spans="1:14" s="87" customFormat="1">
      <c r="A53" s="96"/>
      <c r="B53" s="103" t="s">
        <v>119</v>
      </c>
      <c r="C53" s="102"/>
      <c r="E53" s="87">
        <v>-217.4</v>
      </c>
      <c r="K53" s="75"/>
      <c r="L53" s="75"/>
      <c r="M53" s="75"/>
      <c r="N53" s="75"/>
    </row>
    <row r="54" spans="1:14" s="87" customFormat="1">
      <c r="A54" s="96"/>
      <c r="B54" s="103" t="s">
        <v>1995</v>
      </c>
      <c r="C54" s="102"/>
      <c r="E54" s="87">
        <v>-240</v>
      </c>
      <c r="K54" s="75"/>
      <c r="L54" s="75"/>
      <c r="M54" s="75"/>
      <c r="N54" s="75"/>
    </row>
    <row r="55" spans="1:14" s="87" customFormat="1">
      <c r="A55" s="96"/>
      <c r="B55" s="103" t="s">
        <v>1996</v>
      </c>
      <c r="C55" s="102"/>
      <c r="E55" s="87">
        <v>-13000</v>
      </c>
      <c r="K55" s="75"/>
      <c r="L55" s="75"/>
      <c r="M55" s="75"/>
      <c r="N55" s="75"/>
    </row>
    <row r="56" spans="1:14" s="87" customFormat="1">
      <c r="A56" s="96"/>
      <c r="B56" s="103" t="s">
        <v>1998</v>
      </c>
      <c r="C56" s="102"/>
      <c r="E56" s="87">
        <v>-2100</v>
      </c>
      <c r="K56" s="75"/>
      <c r="L56" s="75"/>
      <c r="M56" s="75"/>
      <c r="N56" s="75"/>
    </row>
    <row r="57" spans="1:14" s="87" customFormat="1">
      <c r="A57" s="96">
        <v>45920</v>
      </c>
      <c r="B57" s="103" t="s">
        <v>1997</v>
      </c>
      <c r="C57" s="102"/>
      <c r="E57" s="87">
        <v>-328.57</v>
      </c>
      <c r="K57" s="75"/>
      <c r="L57" s="75"/>
      <c r="M57" s="75"/>
      <c r="N57" s="75"/>
    </row>
    <row r="58" spans="1:14" s="87" customFormat="1">
      <c r="A58" s="96"/>
      <c r="B58" s="103" t="s">
        <v>1999</v>
      </c>
      <c r="C58" s="102"/>
      <c r="E58" s="87">
        <v>-1500</v>
      </c>
      <c r="K58" s="75"/>
      <c r="L58" s="75"/>
      <c r="M58" s="75"/>
      <c r="N58" s="75"/>
    </row>
    <row r="59" spans="1:14" s="87" customFormat="1">
      <c r="A59" s="96"/>
      <c r="B59" s="103" t="s">
        <v>1998</v>
      </c>
      <c r="C59" s="102"/>
      <c r="E59" s="87">
        <v>-2045.13</v>
      </c>
      <c r="K59" s="75"/>
      <c r="L59" s="75"/>
      <c r="M59" s="75"/>
      <c r="N59" s="75"/>
    </row>
    <row r="60" spans="1:14" s="87" customFormat="1">
      <c r="A60" s="96">
        <v>45921</v>
      </c>
      <c r="B60" s="103" t="s">
        <v>2000</v>
      </c>
      <c r="C60" s="102"/>
      <c r="E60" s="87">
        <v>-115</v>
      </c>
      <c r="K60" s="75"/>
      <c r="L60" s="75"/>
      <c r="M60" s="75"/>
      <c r="N60" s="75"/>
    </row>
    <row r="61" spans="1:14" s="87" customFormat="1">
      <c r="A61" s="96"/>
      <c r="B61" s="103" t="s">
        <v>119</v>
      </c>
      <c r="C61" s="102"/>
      <c r="E61" s="87">
        <v>-63.5</v>
      </c>
      <c r="K61" s="75"/>
      <c r="L61" s="75"/>
      <c r="M61" s="75"/>
      <c r="N61" s="75"/>
    </row>
    <row r="62" spans="1:14" s="87" customFormat="1">
      <c r="A62" s="96"/>
      <c r="B62" s="103" t="s">
        <v>2001</v>
      </c>
      <c r="C62" s="102"/>
      <c r="E62" s="87">
        <v>-540</v>
      </c>
      <c r="K62" s="75"/>
      <c r="L62" s="75"/>
      <c r="M62" s="75"/>
      <c r="N62" s="75"/>
    </row>
    <row r="63" spans="1:14" s="87" customFormat="1">
      <c r="A63" s="96">
        <v>45922</v>
      </c>
      <c r="B63" s="103" t="s">
        <v>1604</v>
      </c>
      <c r="C63" s="102"/>
      <c r="E63" s="87">
        <v>-600</v>
      </c>
      <c r="K63" s="75"/>
      <c r="L63" s="75"/>
      <c r="M63" s="75"/>
      <c r="N63" s="75"/>
    </row>
    <row r="64" spans="1:14" s="87" customFormat="1" ht="15">
      <c r="A64" s="96"/>
      <c r="B64" s="103"/>
      <c r="C64" s="102"/>
      <c r="E64" s="101" t="s">
        <v>76</v>
      </c>
      <c r="K64" s="75"/>
      <c r="L64" s="75"/>
      <c r="M64" s="75"/>
      <c r="N64" s="75"/>
    </row>
    <row r="65" spans="1:14" s="87" customFormat="1">
      <c r="A65" s="96"/>
      <c r="B65" s="103"/>
      <c r="C65" s="102"/>
      <c r="K65" s="75"/>
      <c r="L65" s="75"/>
      <c r="M65" s="75"/>
      <c r="N65" s="75"/>
    </row>
    <row r="66" spans="1:14" s="87" customFormat="1">
      <c r="A66" s="96"/>
      <c r="B66" s="103"/>
      <c r="C66" s="102"/>
      <c r="K66" s="75"/>
      <c r="L66" s="75"/>
      <c r="M66" s="75"/>
      <c r="N66" s="75"/>
    </row>
    <row r="67" spans="1:14" s="87" customFormat="1">
      <c r="A67" s="96"/>
      <c r="B67" s="103"/>
      <c r="C67" s="102"/>
      <c r="K67" s="75"/>
      <c r="L67" s="75"/>
      <c r="M67" s="75"/>
      <c r="N67" s="75"/>
    </row>
    <row r="68" spans="1:14" s="87" customFormat="1">
      <c r="A68" s="96"/>
      <c r="B68" s="103"/>
      <c r="C68" s="102"/>
      <c r="K68" s="75"/>
      <c r="L68" s="75"/>
      <c r="M68" s="75"/>
      <c r="N68" s="75"/>
    </row>
    <row r="69" spans="1:14" s="87" customFormat="1">
      <c r="A69" s="96"/>
      <c r="B69" s="103"/>
      <c r="C69" s="102"/>
      <c r="K69" s="75"/>
      <c r="L69" s="75"/>
      <c r="M69" s="75"/>
      <c r="N69" s="75"/>
    </row>
    <row r="70" spans="1:14" s="74" customFormat="1">
      <c r="A70" s="96"/>
      <c r="B70" s="102"/>
      <c r="C70" s="102"/>
      <c r="K70" s="75"/>
      <c r="L70" s="75"/>
      <c r="M70" s="75"/>
      <c r="N70" s="75"/>
    </row>
    <row r="71" spans="1:14" s="74" customFormat="1">
      <c r="A71" s="99"/>
      <c r="B71" s="100" t="s">
        <v>77</v>
      </c>
      <c r="C71" s="99"/>
      <c r="E71" s="74">
        <f>SUM(E72:E78)</f>
        <v>0</v>
      </c>
      <c r="K71" s="75"/>
      <c r="L71" s="75"/>
      <c r="M71" s="75"/>
      <c r="N71" s="75"/>
    </row>
    <row r="72" spans="1:14" s="74" customFormat="1">
      <c r="A72" s="96"/>
      <c r="B72" s="102"/>
      <c r="C72" s="102"/>
      <c r="K72" s="75"/>
      <c r="L72" s="75"/>
      <c r="M72" s="75"/>
      <c r="N72" s="75"/>
    </row>
    <row r="73" spans="1:14" s="74" customFormat="1" ht="15">
      <c r="A73" s="96"/>
      <c r="B73" s="3"/>
      <c r="C73" s="102"/>
      <c r="E73" s="101" t="s">
        <v>76</v>
      </c>
      <c r="K73" s="75"/>
      <c r="L73" s="75"/>
      <c r="M73" s="75"/>
      <c r="N73" s="75"/>
    </row>
    <row r="74" spans="1:14" s="74" customFormat="1">
      <c r="A74" s="96"/>
      <c r="B74" s="3"/>
      <c r="C74" s="102"/>
      <c r="K74" s="75"/>
      <c r="L74" s="75"/>
      <c r="M74" s="75"/>
      <c r="N74" s="75"/>
    </row>
    <row r="75" spans="1:14" s="74" customFormat="1">
      <c r="A75" s="96"/>
      <c r="B75" s="3"/>
      <c r="C75" s="102"/>
      <c r="K75" s="75"/>
      <c r="L75" s="75"/>
      <c r="M75" s="75"/>
      <c r="N75" s="75"/>
    </row>
    <row r="76" spans="1:14" s="74" customFormat="1">
      <c r="A76" s="96"/>
      <c r="B76" s="3"/>
      <c r="C76" s="102"/>
      <c r="K76" s="75"/>
      <c r="L76" s="75"/>
      <c r="M76" s="75"/>
      <c r="N76" s="75"/>
    </row>
    <row r="77" spans="1:14" s="74" customFormat="1">
      <c r="A77" s="96"/>
      <c r="B77" s="3"/>
      <c r="C77" s="102"/>
      <c r="K77" s="75"/>
      <c r="L77" s="75"/>
      <c r="M77" s="75"/>
      <c r="N77" s="75"/>
    </row>
    <row r="78" spans="1:14" s="74" customFormat="1">
      <c r="A78" s="96"/>
      <c r="B78" s="3"/>
      <c r="C78" s="102"/>
      <c r="K78" s="75"/>
      <c r="L78" s="75"/>
      <c r="M78" s="75"/>
      <c r="N78" s="75"/>
    </row>
    <row r="79" spans="1:14" s="74" customFormat="1">
      <c r="A79" s="96"/>
      <c r="B79" s="3"/>
      <c r="K79" s="75"/>
      <c r="L79" s="75"/>
      <c r="M79" s="75"/>
      <c r="N79" s="75"/>
    </row>
    <row r="80" spans="1:14" s="74" customFormat="1">
      <c r="A80" s="555" t="s">
        <v>1991</v>
      </c>
      <c r="B80" s="100" t="s">
        <v>128</v>
      </c>
      <c r="C80" s="99">
        <v>2025</v>
      </c>
      <c r="D80" s="87"/>
      <c r="E80" s="87"/>
      <c r="F80" s="87"/>
      <c r="G80" s="87">
        <f>SUM(G84:G105)</f>
        <v>505732</v>
      </c>
      <c r="H80" s="87"/>
      <c r="I80" s="87"/>
      <c r="J80" s="542"/>
      <c r="K80" s="75"/>
      <c r="L80" s="75"/>
      <c r="M80" s="75"/>
      <c r="N80" s="75"/>
    </row>
    <row r="81" spans="1:14" s="74" customFormat="1">
      <c r="A81" s="555"/>
      <c r="B81" s="100"/>
      <c r="C81" s="99"/>
      <c r="D81" s="87"/>
      <c r="E81" s="87"/>
      <c r="F81" s="87"/>
      <c r="G81" s="87"/>
      <c r="H81" s="87"/>
      <c r="I81" s="87"/>
      <c r="J81" s="542"/>
      <c r="K81" s="75"/>
      <c r="L81" s="75"/>
      <c r="M81" s="75"/>
      <c r="N81" s="75"/>
    </row>
    <row r="82" spans="1:14">
      <c r="A82" s="555"/>
      <c r="B82" s="100"/>
      <c r="C82" s="99"/>
      <c r="D82" s="87"/>
      <c r="E82" s="87" t="s">
        <v>129</v>
      </c>
      <c r="F82" s="87"/>
      <c r="G82" s="87"/>
      <c r="H82" s="87"/>
      <c r="I82" s="87"/>
      <c r="J82" s="542"/>
    </row>
    <row r="83" spans="1:14">
      <c r="A83" s="94"/>
      <c r="B83" s="87"/>
      <c r="C83" s="87"/>
      <c r="D83" s="87"/>
      <c r="E83" s="87"/>
      <c r="F83" s="87"/>
      <c r="G83" s="87"/>
      <c r="H83" s="87"/>
      <c r="I83" s="87"/>
      <c r="J83" s="542"/>
    </row>
    <row r="84" spans="1:14">
      <c r="A84" s="556">
        <v>45929</v>
      </c>
      <c r="B84" s="87" t="s">
        <v>131</v>
      </c>
      <c r="C84" s="12"/>
      <c r="D84" s="12"/>
      <c r="E84" s="87"/>
      <c r="F84" s="87"/>
      <c r="G84" s="14">
        <v>50147</v>
      </c>
      <c r="H84" s="87"/>
      <c r="I84" s="87"/>
      <c r="J84" s="542"/>
    </row>
    <row r="85" spans="1:14">
      <c r="A85" s="556"/>
      <c r="B85" s="87"/>
      <c r="C85" s="12"/>
      <c r="D85" s="12"/>
      <c r="E85" s="87"/>
      <c r="F85" s="87"/>
      <c r="G85" s="14"/>
      <c r="H85" s="87"/>
      <c r="I85" s="87"/>
      <c r="J85" s="542"/>
    </row>
    <row r="86" spans="1:14">
      <c r="A86" s="94"/>
      <c r="B86" s="87"/>
      <c r="C86" s="12"/>
      <c r="D86" s="12"/>
      <c r="E86" s="87"/>
      <c r="F86" s="87"/>
      <c r="G86" s="14"/>
      <c r="H86" s="87" t="s">
        <v>1954</v>
      </c>
      <c r="I86" s="11"/>
      <c r="J86" s="542"/>
    </row>
    <row r="87" spans="1:14">
      <c r="A87" s="94">
        <v>45659</v>
      </c>
      <c r="B87" s="79" t="s">
        <v>1594</v>
      </c>
      <c r="C87" s="110">
        <v>2400</v>
      </c>
      <c r="D87" s="111">
        <v>30.86</v>
      </c>
      <c r="E87" s="112">
        <f t="shared" ref="E87:E88" si="1">D87*C87</f>
        <v>74064</v>
      </c>
      <c r="F87" s="87">
        <v>64</v>
      </c>
      <c r="G87" s="14">
        <f t="shared" ref="G87:G88" si="2">F87*C87</f>
        <v>153600</v>
      </c>
      <c r="H87" s="87">
        <f>G87-E87</f>
        <v>79536</v>
      </c>
      <c r="I87" s="407">
        <f>SUM(G87:G87)</f>
        <v>153600</v>
      </c>
      <c r="J87" s="11"/>
    </row>
    <row r="88" spans="1:14" ht="13.5" thickBot="1">
      <c r="A88" s="94">
        <v>45659</v>
      </c>
      <c r="B88" s="79" t="s">
        <v>1594</v>
      </c>
      <c r="C88" s="110">
        <v>1100</v>
      </c>
      <c r="D88" s="111">
        <v>30.86</v>
      </c>
      <c r="E88" s="112">
        <f t="shared" si="1"/>
        <v>33946</v>
      </c>
      <c r="F88" s="87">
        <v>64</v>
      </c>
      <c r="G88" s="14">
        <f t="shared" si="2"/>
        <v>70400</v>
      </c>
      <c r="H88" s="87">
        <f>G88-E88</f>
        <v>36454</v>
      </c>
      <c r="I88" s="407">
        <f>SUM(G88:G88)</f>
        <v>70400</v>
      </c>
      <c r="J88" s="11"/>
    </row>
    <row r="89" spans="1:14" ht="13.5" thickBot="1">
      <c r="A89" s="94"/>
      <c r="B89" s="87"/>
      <c r="C89" s="12"/>
      <c r="D89" s="12"/>
      <c r="E89" s="87">
        <f>SUM(E87:E88)</f>
        <v>108010</v>
      </c>
      <c r="F89" s="87"/>
      <c r="G89" s="87"/>
      <c r="H89" s="113">
        <f>SUM(H87:H88)</f>
        <v>115990</v>
      </c>
      <c r="I89" s="568">
        <f>(SUM(G87:G88))-(SUM(E87:E88))</f>
        <v>115990</v>
      </c>
      <c r="J89" s="640">
        <f>SUM(G87:G88)</f>
        <v>224000</v>
      </c>
    </row>
    <row r="90" spans="1:14">
      <c r="A90" s="94"/>
      <c r="B90" s="87"/>
      <c r="C90" s="12"/>
      <c r="D90" s="12"/>
      <c r="E90" s="87"/>
      <c r="F90" s="87"/>
      <c r="G90" s="87"/>
      <c r="H90" s="87"/>
      <c r="I90" s="87"/>
      <c r="J90" s="11"/>
    </row>
    <row r="91" spans="1:14">
      <c r="A91" s="94">
        <v>45345</v>
      </c>
      <c r="B91" s="79" t="s">
        <v>135</v>
      </c>
      <c r="C91" s="114">
        <v>35000</v>
      </c>
      <c r="D91" s="391">
        <v>1.064435</v>
      </c>
      <c r="E91" s="112">
        <f>D91*C91</f>
        <v>37255.224999999999</v>
      </c>
      <c r="F91" s="392">
        <v>1.0569999999999999</v>
      </c>
      <c r="G91" s="14">
        <f>F91*C91</f>
        <v>36995</v>
      </c>
      <c r="H91" s="87">
        <f>G91-E91</f>
        <v>-260.22499999999854</v>
      </c>
      <c r="I91" s="87"/>
      <c r="J91" s="11"/>
    </row>
    <row r="92" spans="1:14">
      <c r="A92" s="557"/>
      <c r="B92" s="434"/>
      <c r="C92" s="565"/>
      <c r="D92" s="566"/>
      <c r="E92" s="437"/>
      <c r="F92" s="461"/>
      <c r="G92" s="14"/>
      <c r="H92" s="87"/>
      <c r="I92" s="87"/>
      <c r="J92" s="11"/>
    </row>
    <row r="93" spans="1:14">
      <c r="A93" s="94">
        <v>45400</v>
      </c>
      <c r="B93" s="79" t="s">
        <v>136</v>
      </c>
      <c r="C93" s="110">
        <v>10</v>
      </c>
      <c r="D93" s="80">
        <v>135</v>
      </c>
      <c r="E93" s="112">
        <f>D93*C93</f>
        <v>1350</v>
      </c>
      <c r="F93" s="87">
        <v>149</v>
      </c>
      <c r="G93" s="14">
        <f>F93*C93</f>
        <v>1490</v>
      </c>
      <c r="H93" s="87">
        <f>G93-E93</f>
        <v>140</v>
      </c>
      <c r="I93" s="87"/>
      <c r="J93" s="11"/>
    </row>
    <row r="94" spans="1:14">
      <c r="A94" s="94">
        <v>45418</v>
      </c>
      <c r="B94" s="79" t="s">
        <v>137</v>
      </c>
      <c r="C94" s="110">
        <v>38</v>
      </c>
      <c r="D94" s="80">
        <v>30.5</v>
      </c>
      <c r="E94" s="112">
        <f>D94*C94</f>
        <v>1159</v>
      </c>
      <c r="F94" s="87">
        <v>20</v>
      </c>
      <c r="G94" s="14">
        <f>F94*C94</f>
        <v>760</v>
      </c>
      <c r="H94" s="87">
        <f>G94-E94</f>
        <v>-399</v>
      </c>
      <c r="I94" s="87"/>
      <c r="J94" s="11"/>
    </row>
    <row r="95" spans="1:14" ht="13.5" thickBot="1">
      <c r="A95" s="94">
        <v>45418</v>
      </c>
      <c r="B95" s="79" t="s">
        <v>138</v>
      </c>
      <c r="C95" s="110">
        <v>26</v>
      </c>
      <c r="D95" s="80">
        <v>37.115000000000002</v>
      </c>
      <c r="E95" s="112">
        <f>D95*C95</f>
        <v>964.99</v>
      </c>
      <c r="F95" s="87">
        <v>30</v>
      </c>
      <c r="G95" s="14">
        <f>F95*C95</f>
        <v>780</v>
      </c>
      <c r="H95" s="87">
        <f>G95-E95</f>
        <v>-184.99</v>
      </c>
      <c r="I95" s="407">
        <f>SUM(G91:G95)</f>
        <v>40025</v>
      </c>
      <c r="J95" s="11"/>
    </row>
    <row r="96" spans="1:14" ht="13.5" thickBot="1">
      <c r="A96" s="94"/>
      <c r="B96" s="87"/>
      <c r="C96" s="12"/>
      <c r="D96" s="12"/>
      <c r="E96" s="87">
        <f>SUM(E91:E95)</f>
        <v>40729.214999999997</v>
      </c>
      <c r="F96" s="87"/>
      <c r="G96" s="87"/>
      <c r="H96" s="87">
        <f>J96-E96</f>
        <v>-704.21499999999651</v>
      </c>
      <c r="I96" s="568">
        <f>(SUM(G91:G95))-(SUM(E91:E95))</f>
        <v>-704.21499999999651</v>
      </c>
      <c r="J96" s="640">
        <f>SUM(G91:G95)</f>
        <v>40025</v>
      </c>
    </row>
    <row r="97" spans="1:10">
      <c r="A97" s="94"/>
      <c r="B97" s="87"/>
      <c r="C97" s="87"/>
      <c r="D97" s="87"/>
      <c r="E97" s="14"/>
      <c r="F97" s="87"/>
      <c r="G97" s="87"/>
      <c r="H97" s="87"/>
      <c r="I97" s="87"/>
      <c r="J97" s="11"/>
    </row>
    <row r="98" spans="1:10">
      <c r="A98" s="94">
        <v>45509</v>
      </c>
      <c r="B98" s="79" t="s">
        <v>1722</v>
      </c>
      <c r="C98" s="110">
        <v>1</v>
      </c>
      <c r="D98" s="80">
        <v>2500</v>
      </c>
      <c r="E98" s="112">
        <f>D98*C98</f>
        <v>2500</v>
      </c>
      <c r="F98" s="87">
        <v>5100</v>
      </c>
      <c r="G98" s="14">
        <f>C98*F98</f>
        <v>5100</v>
      </c>
      <c r="H98" s="87">
        <f>G98-E98</f>
        <v>2600</v>
      </c>
      <c r="I98" s="87"/>
      <c r="J98" s="11"/>
    </row>
    <row r="99" spans="1:10">
      <c r="A99" s="94">
        <v>45509</v>
      </c>
      <c r="B99" s="79" t="s">
        <v>140</v>
      </c>
      <c r="C99" s="110">
        <v>16</v>
      </c>
      <c r="D99" s="80">
        <v>4100</v>
      </c>
      <c r="E99" s="112">
        <f>D99*C99</f>
        <v>65600</v>
      </c>
      <c r="F99" s="87">
        <f>F98*1.73</f>
        <v>8823</v>
      </c>
      <c r="G99" s="14">
        <f>C99*F99</f>
        <v>141168</v>
      </c>
      <c r="H99" s="87">
        <f>G99-E99</f>
        <v>75568</v>
      </c>
      <c r="I99" s="87"/>
      <c r="J99" s="11"/>
    </row>
    <row r="100" spans="1:10" ht="13.5" thickBot="1">
      <c r="A100" s="94">
        <v>45509</v>
      </c>
      <c r="B100" s="79" t="s">
        <v>141</v>
      </c>
      <c r="C100" s="110">
        <v>1</v>
      </c>
      <c r="D100" s="80">
        <v>16200</v>
      </c>
      <c r="E100" s="112">
        <f>D100*C100</f>
        <v>16200</v>
      </c>
      <c r="F100" s="87">
        <f>F99*4</f>
        <v>35292</v>
      </c>
      <c r="G100" s="14">
        <f>C100*F100</f>
        <v>35292</v>
      </c>
      <c r="H100" s="87">
        <f>G100-E100</f>
        <v>19092</v>
      </c>
      <c r="I100" s="407">
        <f>SUM(G98:G100)</f>
        <v>181560</v>
      </c>
      <c r="J100" s="11"/>
    </row>
    <row r="101" spans="1:10" ht="13.5" thickBot="1">
      <c r="A101" s="94"/>
      <c r="B101" s="87"/>
      <c r="C101" s="12"/>
      <c r="D101" s="12"/>
      <c r="E101" s="87">
        <f>SUM(E98:E100)</f>
        <v>84300</v>
      </c>
      <c r="F101" s="87"/>
      <c r="G101" s="87"/>
      <c r="H101" s="87"/>
      <c r="I101" s="568">
        <f>(SUM(G98:G100))-(SUM(E98:E100))</f>
        <v>97260</v>
      </c>
      <c r="J101" s="640">
        <f>SUM(G95:G100)</f>
        <v>182340</v>
      </c>
    </row>
    <row r="102" spans="1:10">
      <c r="A102" s="94"/>
      <c r="B102" s="87" t="s">
        <v>142</v>
      </c>
      <c r="C102" s="116">
        <v>33.250599999999999</v>
      </c>
      <c r="D102" s="12"/>
      <c r="E102" s="87"/>
      <c r="F102" s="87"/>
      <c r="G102" s="14"/>
      <c r="H102" s="87"/>
      <c r="I102" s="87"/>
      <c r="J102" s="542"/>
    </row>
    <row r="103" spans="1:10">
      <c r="A103" s="94"/>
      <c r="B103" s="87" t="s">
        <v>143</v>
      </c>
      <c r="C103" s="116">
        <v>36.854999999999997</v>
      </c>
      <c r="D103" s="12"/>
      <c r="E103" s="87"/>
      <c r="F103" s="87"/>
      <c r="G103" s="14"/>
      <c r="H103" s="87"/>
      <c r="I103" s="87"/>
      <c r="J103" s="542"/>
    </row>
    <row r="104" spans="1:10">
      <c r="A104" s="94"/>
      <c r="B104" s="87" t="s">
        <v>144</v>
      </c>
      <c r="C104" s="12"/>
      <c r="D104" s="12"/>
      <c r="E104" s="87"/>
      <c r="F104" s="87"/>
      <c r="G104" s="14">
        <v>0</v>
      </c>
      <c r="H104" s="87"/>
      <c r="I104" s="87"/>
      <c r="J104" s="542"/>
    </row>
    <row r="105" spans="1:10" ht="13.5" thickBot="1">
      <c r="A105" s="94"/>
      <c r="B105" s="87" t="s">
        <v>145</v>
      </c>
      <c r="C105" s="12"/>
      <c r="D105" s="12"/>
      <c r="E105" s="87"/>
      <c r="F105" s="87"/>
      <c r="G105" s="14">
        <v>10000</v>
      </c>
      <c r="H105" s="87"/>
      <c r="I105" s="87"/>
      <c r="J105" s="542"/>
    </row>
    <row r="106" spans="1:10" ht="13.5" thickBot="1">
      <c r="A106" s="94"/>
      <c r="B106" s="87"/>
      <c r="C106" s="87"/>
      <c r="D106" s="87"/>
      <c r="E106" s="117"/>
      <c r="F106" s="118"/>
      <c r="G106" s="119" t="s">
        <v>146</v>
      </c>
      <c r="H106" s="569">
        <f>I101+I96+I89</f>
        <v>212545.785</v>
      </c>
      <c r="I106" s="87"/>
      <c r="J106" s="542"/>
    </row>
    <row r="107" spans="1:10" ht="13.5" thickBot="1">
      <c r="A107" s="94"/>
      <c r="B107" s="87"/>
      <c r="C107" s="120"/>
      <c r="D107" s="89"/>
      <c r="E107" s="87"/>
      <c r="F107" s="87"/>
      <c r="G107" s="120"/>
      <c r="H107" s="87"/>
      <c r="I107" s="87"/>
      <c r="J107" s="542"/>
    </row>
    <row r="108" spans="1:10" ht="13.5" thickBot="1">
      <c r="A108" s="94"/>
      <c r="B108" s="87"/>
      <c r="C108" s="120"/>
      <c r="D108" s="15" t="s">
        <v>147</v>
      </c>
      <c r="E108" s="87"/>
      <c r="F108" s="87"/>
      <c r="G108" s="470">
        <f>SUM(G84:G105)</f>
        <v>505732</v>
      </c>
      <c r="H108" s="87"/>
      <c r="I108" s="87"/>
      <c r="J108" s="542"/>
    </row>
    <row r="109" spans="1:10">
      <c r="A109" s="94"/>
      <c r="B109" s="563"/>
      <c r="C109" s="564" t="str">
        <f>A80</f>
        <v>KASIM  2025 e</v>
      </c>
      <c r="D109" s="564" t="s">
        <v>148</v>
      </c>
      <c r="E109" s="87"/>
      <c r="F109" s="87"/>
      <c r="G109" s="123"/>
      <c r="H109" s="87"/>
      <c r="I109" s="87"/>
      <c r="J109" s="542"/>
    </row>
    <row r="110" spans="1:10">
      <c r="A110" s="94"/>
      <c r="B110" s="11"/>
      <c r="C110" s="426"/>
      <c r="D110" s="427"/>
      <c r="E110" s="393"/>
      <c r="F110" s="393"/>
      <c r="G110" s="397"/>
      <c r="H110" s="87"/>
      <c r="I110" s="87"/>
      <c r="J110" s="542"/>
    </row>
    <row r="111" spans="1:10">
      <c r="A111" s="418"/>
      <c r="B111" s="87" t="s">
        <v>1676</v>
      </c>
      <c r="C111" s="87"/>
      <c r="D111" s="87"/>
      <c r="E111" s="87"/>
      <c r="F111" s="87"/>
      <c r="G111" s="87"/>
      <c r="H111" s="87"/>
      <c r="I111" s="11"/>
      <c r="J111" s="542"/>
    </row>
    <row r="112" spans="1:10">
      <c r="A112" s="94">
        <v>45873</v>
      </c>
      <c r="B112" s="79" t="s">
        <v>1885</v>
      </c>
      <c r="C112" s="562"/>
      <c r="D112" s="111"/>
      <c r="E112" s="112"/>
      <c r="F112" s="87"/>
      <c r="G112" s="14"/>
      <c r="H112" s="87"/>
      <c r="I112" s="11"/>
      <c r="J112" s="542"/>
    </row>
    <row r="113" spans="1:10">
      <c r="A113" s="94"/>
      <c r="B113" s="79"/>
      <c r="C113" s="114"/>
      <c r="D113" s="391"/>
      <c r="E113" s="112"/>
      <c r="F113" s="392"/>
      <c r="G113" s="14"/>
      <c r="H113" s="87"/>
      <c r="I113" s="11"/>
      <c r="J113" s="542"/>
    </row>
    <row r="114" spans="1:10" ht="13.5" thickBot="1">
      <c r="A114" s="94"/>
      <c r="B114" s="79"/>
      <c r="C114" s="110"/>
      <c r="D114" s="80"/>
      <c r="E114" s="112"/>
      <c r="F114" s="87"/>
      <c r="G114" s="14"/>
      <c r="H114" s="87"/>
      <c r="I114" s="11"/>
      <c r="J114" s="542"/>
    </row>
    <row r="115" spans="1:10">
      <c r="A115" s="557"/>
      <c r="B115" s="416"/>
      <c r="C115" s="416"/>
      <c r="D115" s="405"/>
      <c r="E115" s="405">
        <f>SUM(E112:E113)</f>
        <v>0</v>
      </c>
      <c r="F115" s="405"/>
      <c r="G115" s="405">
        <f>SUM(G112:G113)</f>
        <v>0</v>
      </c>
      <c r="H115" s="468">
        <f>SUM(H112:H113)</f>
        <v>0</v>
      </c>
      <c r="I115" s="11"/>
      <c r="J115" s="542"/>
    </row>
    <row r="116" spans="1:10">
      <c r="A116" s="94"/>
      <c r="B116" s="11"/>
      <c r="C116" s="11"/>
      <c r="D116" s="87"/>
      <c r="E116" s="87"/>
      <c r="F116" s="87" t="s">
        <v>878</v>
      </c>
      <c r="G116" s="87"/>
      <c r="H116" s="87">
        <f>H115+'09_25'!H171</f>
        <v>110326.59195300008</v>
      </c>
      <c r="I116" s="11"/>
      <c r="J116" s="542"/>
    </row>
    <row r="117" spans="1:10">
      <c r="A117" s="94"/>
      <c r="B117" s="11"/>
      <c r="C117" s="11"/>
      <c r="D117" s="87"/>
      <c r="E117" s="87"/>
      <c r="F117" s="87"/>
      <c r="G117" s="87"/>
      <c r="H117" s="87"/>
      <c r="I117" s="11"/>
      <c r="J117" s="542"/>
    </row>
    <row r="118" spans="1:10">
      <c r="A118" s="94"/>
      <c r="B118" s="11"/>
      <c r="C118" s="11"/>
      <c r="D118" s="87"/>
      <c r="E118" s="87"/>
      <c r="F118" s="87"/>
      <c r="G118" s="87"/>
      <c r="H118" s="87"/>
      <c r="I118" s="11"/>
      <c r="J118" s="542"/>
    </row>
    <row r="119" spans="1:10" ht="18">
      <c r="A119" s="476" t="s">
        <v>1733</v>
      </c>
      <c r="B119" s="11"/>
      <c r="C119" s="11"/>
      <c r="D119" s="87"/>
      <c r="E119" s="87"/>
      <c r="F119" s="87"/>
      <c r="G119" s="87"/>
      <c r="H119" s="87"/>
      <c r="I119" s="11"/>
      <c r="J119" s="542"/>
    </row>
    <row r="120" spans="1:10" ht="15.75">
      <c r="A120" s="94"/>
      <c r="B120" s="464">
        <f>1-76.4616%</f>
        <v>0.23538399999999993</v>
      </c>
      <c r="C120" s="465">
        <v>0.76461599999999996</v>
      </c>
      <c r="D120" s="392"/>
      <c r="E120" s="87"/>
      <c r="F120" s="87"/>
      <c r="G120" s="87"/>
      <c r="H120" s="87"/>
      <c r="I120" s="11"/>
      <c r="J120" s="542"/>
    </row>
    <row r="121" spans="1:10" ht="15.75">
      <c r="A121" s="94"/>
      <c r="B121" s="464" t="s">
        <v>1861</v>
      </c>
      <c r="C121" s="465"/>
      <c r="D121" s="392"/>
      <c r="E121" s="87"/>
      <c r="F121" s="87"/>
      <c r="G121" s="87"/>
      <c r="H121" s="87"/>
      <c r="I121" s="11"/>
      <c r="J121" s="542"/>
    </row>
    <row r="122" spans="1:10" ht="15.75">
      <c r="A122" s="94"/>
      <c r="B122" s="464" t="s">
        <v>1734</v>
      </c>
      <c r="C122" s="465"/>
      <c r="D122" s="392"/>
      <c r="E122" s="87"/>
      <c r="F122" s="87"/>
      <c r="G122" s="87"/>
      <c r="H122" s="87"/>
      <c r="I122" s="11"/>
      <c r="J122" s="542"/>
    </row>
    <row r="123" spans="1:10" ht="15.75">
      <c r="A123" s="94"/>
      <c r="B123" s="464" t="s">
        <v>1737</v>
      </c>
      <c r="C123" s="465"/>
      <c r="D123" s="392"/>
      <c r="E123" s="87"/>
      <c r="F123" s="87"/>
      <c r="G123" s="87"/>
      <c r="H123" s="87"/>
      <c r="I123" s="11"/>
      <c r="J123" s="542"/>
    </row>
    <row r="124" spans="1:10" ht="15.75">
      <c r="A124" s="94"/>
      <c r="B124" s="464" t="s">
        <v>1736</v>
      </c>
      <c r="C124" s="465"/>
      <c r="D124" s="392"/>
      <c r="E124" s="87"/>
      <c r="F124" s="87"/>
      <c r="G124" s="87"/>
      <c r="H124" s="87"/>
      <c r="I124" s="11"/>
      <c r="J124" s="542"/>
    </row>
    <row r="125" spans="1:10" ht="15.75">
      <c r="A125" s="94"/>
      <c r="B125" s="464"/>
      <c r="C125" s="465"/>
      <c r="D125" s="392">
        <v>238</v>
      </c>
      <c r="E125" s="87">
        <v>872.26</v>
      </c>
      <c r="F125" s="87"/>
      <c r="G125" s="87"/>
      <c r="H125" s="87"/>
      <c r="I125" s="480">
        <f>E125*D125</f>
        <v>207597.88</v>
      </c>
      <c r="J125" s="542"/>
    </row>
    <row r="126" spans="1:10" ht="16.5" thickBot="1">
      <c r="A126" s="94"/>
      <c r="B126" s="464"/>
      <c r="C126" s="11" t="s">
        <v>1739</v>
      </c>
      <c r="D126" s="11" t="s">
        <v>1738</v>
      </c>
      <c r="E126" s="87" t="s">
        <v>1730</v>
      </c>
      <c r="F126" s="473">
        <v>138749.76000000001</v>
      </c>
      <c r="G126" s="11" t="s">
        <v>1731</v>
      </c>
      <c r="H126" s="87" t="s">
        <v>3</v>
      </c>
      <c r="I126" s="11"/>
      <c r="J126" s="542"/>
    </row>
    <row r="127" spans="1:10" ht="13.5" thickBot="1">
      <c r="A127" s="94">
        <v>45667</v>
      </c>
      <c r="B127" s="79" t="s">
        <v>1859</v>
      </c>
      <c r="C127" s="114">
        <v>160</v>
      </c>
      <c r="D127" s="373">
        <f>C127</f>
        <v>160</v>
      </c>
      <c r="E127" s="80">
        <v>872.26</v>
      </c>
      <c r="F127" s="474">
        <f>E127*D127</f>
        <v>139561.60000000001</v>
      </c>
      <c r="G127" s="469">
        <v>962.89330700000005</v>
      </c>
      <c r="H127" s="540">
        <f>E127*C127</f>
        <v>139561.60000000001</v>
      </c>
      <c r="I127" s="528">
        <f>I126+H127</f>
        <v>139561.60000000001</v>
      </c>
      <c r="J127" s="542"/>
    </row>
    <row r="128" spans="1:10">
      <c r="A128" s="94">
        <v>45667</v>
      </c>
      <c r="B128" s="79" t="s">
        <v>1858</v>
      </c>
      <c r="C128" s="114">
        <v>78</v>
      </c>
      <c r="D128" s="373">
        <f>D127+C128</f>
        <v>238</v>
      </c>
      <c r="E128" s="80">
        <v>872.26</v>
      </c>
      <c r="F128" s="474">
        <f t="shared" ref="F128:F161" si="3">E128*D128</f>
        <v>207597.88</v>
      </c>
      <c r="G128" s="391">
        <f>G132</f>
        <v>962.89330700000005</v>
      </c>
      <c r="H128" s="540">
        <f>E128*C128</f>
        <v>68036.28</v>
      </c>
      <c r="I128" s="528">
        <f>I127+H128</f>
        <v>207597.88</v>
      </c>
      <c r="J128" s="542"/>
    </row>
    <row r="129" spans="1:14" s="11" customFormat="1">
      <c r="A129" s="94">
        <v>45755</v>
      </c>
      <c r="B129" s="79" t="s">
        <v>2021</v>
      </c>
      <c r="C129" s="114"/>
      <c r="D129" s="373"/>
      <c r="E129" s="80"/>
      <c r="F129" s="474"/>
      <c r="G129" s="391"/>
      <c r="H129" s="373">
        <v>-190.32</v>
      </c>
      <c r="I129" s="528">
        <f t="shared" ref="I129:I161" si="4">I128+H129</f>
        <v>207407.56</v>
      </c>
      <c r="J129" s="542"/>
      <c r="K129" s="75"/>
      <c r="L129" s="75"/>
      <c r="M129" s="75"/>
      <c r="N129" s="75"/>
    </row>
    <row r="130" spans="1:14" s="11" customFormat="1">
      <c r="A130" s="94">
        <v>45755</v>
      </c>
      <c r="B130" s="79" t="s">
        <v>2022</v>
      </c>
      <c r="C130" s="114"/>
      <c r="D130" s="373"/>
      <c r="E130" s="80"/>
      <c r="F130" s="474"/>
      <c r="G130" s="391"/>
      <c r="H130" s="373">
        <v>-200</v>
      </c>
      <c r="I130" s="528">
        <f t="shared" si="4"/>
        <v>207207.56</v>
      </c>
      <c r="J130" s="542"/>
      <c r="K130" s="75"/>
      <c r="L130" s="75"/>
      <c r="M130" s="75"/>
      <c r="N130" s="75"/>
    </row>
    <row r="131" spans="1:14" s="11" customFormat="1" ht="13.5" thickBot="1">
      <c r="A131" s="94">
        <v>45755</v>
      </c>
      <c r="B131" s="79" t="s">
        <v>2023</v>
      </c>
      <c r="C131" s="114"/>
      <c r="D131" s="373"/>
      <c r="E131" s="80"/>
      <c r="F131" s="474"/>
      <c r="G131" s="391"/>
      <c r="H131" s="373">
        <v>-10</v>
      </c>
      <c r="I131" s="528">
        <f t="shared" si="4"/>
        <v>207197.56</v>
      </c>
      <c r="J131" s="542"/>
      <c r="K131" s="75"/>
      <c r="L131" s="75"/>
      <c r="M131" s="75"/>
      <c r="N131" s="75"/>
    </row>
    <row r="132" spans="1:14" ht="13.5" thickBot="1">
      <c r="A132" s="558">
        <v>45755</v>
      </c>
      <c r="B132" s="475" t="s">
        <v>1826</v>
      </c>
      <c r="C132" s="641">
        <v>-21</v>
      </c>
      <c r="D132" s="373">
        <f>D128+C132</f>
        <v>217</v>
      </c>
      <c r="E132" s="80"/>
      <c r="F132" s="474">
        <f t="shared" si="3"/>
        <v>0</v>
      </c>
      <c r="G132" s="391">
        <f>G127</f>
        <v>962.89330700000005</v>
      </c>
      <c r="H132" s="642">
        <f>G132*C132</f>
        <v>-20220.759447</v>
      </c>
      <c r="I132" s="528">
        <f t="shared" si="4"/>
        <v>186976.80055300001</v>
      </c>
      <c r="J132" s="542"/>
    </row>
    <row r="133" spans="1:14" ht="13.5" thickBot="1">
      <c r="A133" s="559"/>
      <c r="B133" s="79" t="s">
        <v>1732</v>
      </c>
      <c r="C133" s="538"/>
      <c r="D133" s="373">
        <f t="shared" ref="D133:D161" si="5">D132+C133</f>
        <v>217</v>
      </c>
      <c r="E133" s="80"/>
      <c r="F133" s="474">
        <f t="shared" si="3"/>
        <v>0</v>
      </c>
      <c r="G133" s="391">
        <f>G128</f>
        <v>962.89330700000005</v>
      </c>
      <c r="H133" s="373">
        <v>-190.32</v>
      </c>
      <c r="I133" s="528">
        <f t="shared" si="4"/>
        <v>186786.480553</v>
      </c>
      <c r="J133" s="542"/>
    </row>
    <row r="134" spans="1:14" ht="13.5" thickBot="1">
      <c r="A134" s="558">
        <v>45786</v>
      </c>
      <c r="B134" s="475" t="s">
        <v>1827</v>
      </c>
      <c r="C134" s="643">
        <v>-20</v>
      </c>
      <c r="D134" s="373">
        <f t="shared" si="5"/>
        <v>197</v>
      </c>
      <c r="E134" s="80"/>
      <c r="F134" s="474">
        <f t="shared" si="3"/>
        <v>0</v>
      </c>
      <c r="G134" s="391">
        <v>1000.86</v>
      </c>
      <c r="H134" s="642">
        <f>G134*C134</f>
        <v>-20017.2</v>
      </c>
      <c r="I134" s="528">
        <f t="shared" si="4"/>
        <v>166769.28055299999</v>
      </c>
      <c r="J134" s="542"/>
    </row>
    <row r="135" spans="1:14" ht="13.5" thickBot="1">
      <c r="A135" s="558"/>
      <c r="B135" s="79" t="s">
        <v>1732</v>
      </c>
      <c r="C135" s="539"/>
      <c r="D135" s="373">
        <f t="shared" si="5"/>
        <v>197</v>
      </c>
      <c r="E135" s="80"/>
      <c r="F135" s="474">
        <f t="shared" si="3"/>
        <v>0</v>
      </c>
      <c r="G135" s="391">
        <v>1000.86</v>
      </c>
      <c r="H135" s="541">
        <v>-257.18</v>
      </c>
      <c r="I135" s="528">
        <f t="shared" si="4"/>
        <v>166512.100553</v>
      </c>
      <c r="J135" s="542"/>
    </row>
    <row r="136" spans="1:14" ht="13.5" thickBot="1">
      <c r="A136" s="559">
        <v>45818</v>
      </c>
      <c r="B136" s="475" t="s">
        <v>1828</v>
      </c>
      <c r="C136" s="644">
        <v>-20</v>
      </c>
      <c r="D136" s="373">
        <f t="shared" si="5"/>
        <v>177</v>
      </c>
      <c r="E136" s="80"/>
      <c r="F136" s="474">
        <f t="shared" si="3"/>
        <v>0</v>
      </c>
      <c r="G136" s="391">
        <v>1043.4576589999999</v>
      </c>
      <c r="H136" s="642">
        <f>G136*C136</f>
        <v>-20869.153179999998</v>
      </c>
      <c r="I136" s="528">
        <f t="shared" si="4"/>
        <v>145642.947373</v>
      </c>
      <c r="J136" s="542"/>
    </row>
    <row r="137" spans="1:14">
      <c r="A137" s="559"/>
      <c r="B137" s="79" t="s">
        <v>1732</v>
      </c>
      <c r="C137" s="538"/>
      <c r="D137" s="373">
        <f t="shared" si="5"/>
        <v>177</v>
      </c>
      <c r="E137" s="80"/>
      <c r="F137" s="474">
        <f t="shared" si="3"/>
        <v>0</v>
      </c>
      <c r="G137" s="391">
        <v>1043.4576589999999</v>
      </c>
      <c r="H137" s="373">
        <v>-342.39</v>
      </c>
      <c r="I137" s="528">
        <f t="shared" si="4"/>
        <v>145300.55737299999</v>
      </c>
      <c r="J137" s="542"/>
    </row>
    <row r="138" spans="1:14" s="11" customFormat="1">
      <c r="A138" s="559">
        <v>45841</v>
      </c>
      <c r="B138" s="79" t="s">
        <v>2022</v>
      </c>
      <c r="C138" s="538"/>
      <c r="D138" s="373"/>
      <c r="E138" s="80"/>
      <c r="F138" s="474"/>
      <c r="G138" s="391"/>
      <c r="H138" s="373">
        <v>-31.57</v>
      </c>
      <c r="I138" s="528">
        <f t="shared" si="4"/>
        <v>145268.98737299998</v>
      </c>
      <c r="J138" s="542"/>
      <c r="K138" s="75"/>
      <c r="L138" s="75"/>
      <c r="M138" s="75"/>
      <c r="N138" s="75"/>
    </row>
    <row r="139" spans="1:14" s="11" customFormat="1" ht="13.5" thickBot="1">
      <c r="A139" s="559">
        <v>45841</v>
      </c>
      <c r="B139" s="79" t="s">
        <v>2023</v>
      </c>
      <c r="C139" s="538"/>
      <c r="D139" s="373"/>
      <c r="E139" s="80"/>
      <c r="F139" s="474"/>
      <c r="G139" s="391"/>
      <c r="H139" s="373">
        <v>-1.58</v>
      </c>
      <c r="I139" s="528">
        <f t="shared" si="4"/>
        <v>145267.40737299999</v>
      </c>
      <c r="J139" s="542"/>
      <c r="K139" s="75"/>
      <c r="L139" s="75"/>
      <c r="M139" s="75"/>
      <c r="N139" s="75"/>
    </row>
    <row r="140" spans="1:14" ht="13.5" thickBot="1">
      <c r="A140" s="559">
        <v>45846</v>
      </c>
      <c r="B140" s="475" t="s">
        <v>1829</v>
      </c>
      <c r="C140" s="644">
        <v>-19</v>
      </c>
      <c r="D140" s="373">
        <f>D137+C140</f>
        <v>158</v>
      </c>
      <c r="E140" s="543"/>
      <c r="F140" s="474">
        <f t="shared" si="3"/>
        <v>0</v>
      </c>
      <c r="G140" s="391">
        <v>1080.914657</v>
      </c>
      <c r="H140" s="642">
        <f>G140*C140</f>
        <v>-20537.378483</v>
      </c>
      <c r="I140" s="528">
        <f t="shared" si="4"/>
        <v>124730.02888999999</v>
      </c>
      <c r="J140" s="412"/>
    </row>
    <row r="141" spans="1:14">
      <c r="A141" s="559"/>
      <c r="B141" s="79" t="s">
        <v>1732</v>
      </c>
      <c r="C141" s="538"/>
      <c r="D141" s="373">
        <f t="shared" si="5"/>
        <v>158</v>
      </c>
      <c r="E141" s="543"/>
      <c r="F141" s="474">
        <f t="shared" si="3"/>
        <v>0</v>
      </c>
      <c r="G141" s="391">
        <v>1080</v>
      </c>
      <c r="H141" s="373">
        <v>-396.44</v>
      </c>
      <c r="I141" s="528">
        <f t="shared" si="4"/>
        <v>124333.58888999998</v>
      </c>
      <c r="J141" s="542"/>
    </row>
    <row r="142" spans="1:14" s="11" customFormat="1">
      <c r="A142" s="559"/>
      <c r="B142" s="79" t="s">
        <v>2022</v>
      </c>
      <c r="C142" s="538"/>
      <c r="D142" s="373"/>
      <c r="E142" s="543"/>
      <c r="F142" s="474"/>
      <c r="G142" s="391"/>
      <c r="H142" s="373">
        <v>-168.43</v>
      </c>
      <c r="I142" s="528">
        <f t="shared" si="4"/>
        <v>124165.15888999999</v>
      </c>
      <c r="J142" s="542"/>
      <c r="K142" s="75"/>
      <c r="L142" s="75"/>
      <c r="M142" s="75"/>
      <c r="N142" s="75"/>
    </row>
    <row r="143" spans="1:14" s="11" customFormat="1" ht="13.5" thickBot="1">
      <c r="A143" s="559"/>
      <c r="B143" s="79" t="s">
        <v>2023</v>
      </c>
      <c r="C143" s="538"/>
      <c r="D143" s="373"/>
      <c r="E143" s="543"/>
      <c r="F143" s="474"/>
      <c r="G143" s="391"/>
      <c r="H143" s="373">
        <v>-8.42</v>
      </c>
      <c r="I143" s="528">
        <f t="shared" si="4"/>
        <v>124156.73888999999</v>
      </c>
      <c r="J143" s="542"/>
      <c r="K143" s="75"/>
      <c r="L143" s="75"/>
      <c r="M143" s="75"/>
      <c r="N143" s="75"/>
    </row>
    <row r="144" spans="1:14" ht="13.5" thickBot="1">
      <c r="A144" s="559">
        <v>45855</v>
      </c>
      <c r="B144" s="475" t="s">
        <v>1893</v>
      </c>
      <c r="C144" s="644">
        <v>-30</v>
      </c>
      <c r="D144" s="373">
        <f>D141+C144</f>
        <v>128</v>
      </c>
      <c r="E144" s="543"/>
      <c r="F144" s="474">
        <f t="shared" si="3"/>
        <v>0</v>
      </c>
      <c r="G144" s="391">
        <v>1093.412452</v>
      </c>
      <c r="H144" s="642">
        <f>G144*C144</f>
        <v>-32802.37356</v>
      </c>
      <c r="I144" s="528">
        <f t="shared" si="4"/>
        <v>91354.365330000001</v>
      </c>
      <c r="J144" s="542"/>
    </row>
    <row r="145" spans="1:14" ht="13.5" thickBot="1">
      <c r="A145" s="559">
        <v>45867</v>
      </c>
      <c r="B145" s="475" t="s">
        <v>2021</v>
      </c>
      <c r="C145" s="538"/>
      <c r="D145" s="373">
        <f>D144+C145</f>
        <v>128</v>
      </c>
      <c r="E145" s="543"/>
      <c r="F145" s="474">
        <f t="shared" si="3"/>
        <v>0</v>
      </c>
      <c r="G145" s="391">
        <v>1109.5565340000001</v>
      </c>
      <c r="H145" s="373">
        <v>-663.45</v>
      </c>
      <c r="I145" s="528">
        <f t="shared" si="4"/>
        <v>90690.915330000003</v>
      </c>
      <c r="J145" s="542"/>
    </row>
    <row r="146" spans="1:14" ht="13.5" thickBot="1">
      <c r="A146" s="559">
        <v>45903</v>
      </c>
      <c r="B146" s="544" t="s">
        <v>1831</v>
      </c>
      <c r="C146" s="645">
        <v>-18</v>
      </c>
      <c r="D146" s="87">
        <f t="shared" si="5"/>
        <v>110</v>
      </c>
      <c r="E146" s="393"/>
      <c r="F146" s="397">
        <f t="shared" si="3"/>
        <v>0</v>
      </c>
      <c r="G146" s="391">
        <v>1155.9289100000001</v>
      </c>
      <c r="H146" s="642">
        <f>G146*C146</f>
        <v>-20806.720380000002</v>
      </c>
      <c r="I146" s="528">
        <f t="shared" si="4"/>
        <v>69884.194950000005</v>
      </c>
      <c r="J146" s="542"/>
    </row>
    <row r="147" spans="1:14">
      <c r="A147" s="559">
        <v>45903</v>
      </c>
      <c r="B147" s="79" t="s">
        <v>1732</v>
      </c>
      <c r="C147" s="377"/>
      <c r="D147" s="87">
        <f t="shared" si="5"/>
        <v>110</v>
      </c>
      <c r="E147" s="393"/>
      <c r="F147" s="397">
        <f t="shared" si="3"/>
        <v>0</v>
      </c>
      <c r="G147" s="391"/>
      <c r="H147" s="87">
        <v>-500.89</v>
      </c>
      <c r="I147" s="528">
        <f t="shared" si="4"/>
        <v>69383.304950000005</v>
      </c>
      <c r="J147" s="542"/>
    </row>
    <row r="148" spans="1:14" s="11" customFormat="1">
      <c r="A148" s="559">
        <v>45934</v>
      </c>
      <c r="B148" s="79" t="s">
        <v>2022</v>
      </c>
      <c r="C148" s="377"/>
      <c r="D148" s="87"/>
      <c r="E148" s="393"/>
      <c r="F148" s="397"/>
      <c r="G148" s="391"/>
      <c r="H148" s="87">
        <v>-150</v>
      </c>
      <c r="I148" s="528">
        <f t="shared" si="4"/>
        <v>69233.304950000005</v>
      </c>
      <c r="J148" s="542"/>
      <c r="K148" s="75"/>
      <c r="L148" s="75"/>
      <c r="M148" s="75"/>
      <c r="N148" s="75"/>
    </row>
    <row r="149" spans="1:14" s="11" customFormat="1" ht="13.5" thickBot="1">
      <c r="A149" s="559">
        <v>45934</v>
      </c>
      <c r="B149" s="79" t="s">
        <v>2023</v>
      </c>
      <c r="C149" s="377"/>
      <c r="D149" s="87"/>
      <c r="E149" s="393"/>
      <c r="F149" s="397"/>
      <c r="G149" s="391"/>
      <c r="H149" s="87">
        <v>-7.5</v>
      </c>
      <c r="I149" s="528">
        <f t="shared" si="4"/>
        <v>69225.804950000005</v>
      </c>
      <c r="J149" s="542"/>
      <c r="K149" s="75"/>
      <c r="L149" s="75"/>
      <c r="M149" s="75"/>
      <c r="N149" s="75"/>
    </row>
    <row r="150" spans="1:14" ht="13.5" thickBot="1">
      <c r="A150" s="559">
        <v>45944</v>
      </c>
      <c r="B150" s="544" t="s">
        <v>1832</v>
      </c>
      <c r="C150" s="645">
        <v>-17</v>
      </c>
      <c r="D150" s="87">
        <f>D147+C150</f>
        <v>93</v>
      </c>
      <c r="E150" s="393"/>
      <c r="F150" s="397">
        <f t="shared" si="3"/>
        <v>0</v>
      </c>
      <c r="G150" s="391">
        <v>1208.756531</v>
      </c>
      <c r="H150" s="642">
        <f>G150*C150</f>
        <v>-20548.861026999999</v>
      </c>
      <c r="I150" s="528">
        <f t="shared" si="4"/>
        <v>48676.943923000006</v>
      </c>
      <c r="J150" s="542"/>
    </row>
    <row r="151" spans="1:14" ht="13.5" thickBot="1">
      <c r="A151" s="559">
        <v>45944</v>
      </c>
      <c r="B151" s="79" t="s">
        <v>2024</v>
      </c>
      <c r="C151" s="377"/>
      <c r="D151" s="87">
        <f t="shared" si="5"/>
        <v>93</v>
      </c>
      <c r="E151" s="393"/>
      <c r="F151" s="397">
        <f t="shared" si="3"/>
        <v>0</v>
      </c>
      <c r="G151" s="391"/>
      <c r="H151" s="87">
        <v>-562.87</v>
      </c>
      <c r="I151" s="528">
        <f t="shared" si="4"/>
        <v>48114.073923000004</v>
      </c>
      <c r="J151" s="542"/>
    </row>
    <row r="152" spans="1:14" ht="13.5" thickBot="1">
      <c r="A152" s="559">
        <v>45964</v>
      </c>
      <c r="B152" s="544" t="s">
        <v>1833</v>
      </c>
      <c r="C152" s="645">
        <v>-29</v>
      </c>
      <c r="D152" s="87">
        <f>D151+C152</f>
        <v>64</v>
      </c>
      <c r="E152" s="393"/>
      <c r="F152" s="397">
        <f t="shared" si="3"/>
        <v>0</v>
      </c>
      <c r="G152" s="391">
        <v>1234.7104059999999</v>
      </c>
      <c r="H152" s="642">
        <f>G152*C152</f>
        <v>-35806.601773999995</v>
      </c>
      <c r="I152" s="528">
        <f t="shared" si="4"/>
        <v>12307.472149000008</v>
      </c>
      <c r="J152" s="542"/>
    </row>
    <row r="153" spans="1:14" ht="13.5" thickBot="1">
      <c r="A153" s="559">
        <v>45964</v>
      </c>
      <c r="B153" s="79" t="s">
        <v>2024</v>
      </c>
      <c r="C153" s="377"/>
      <c r="D153" s="87">
        <f t="shared" si="5"/>
        <v>64</v>
      </c>
      <c r="E153" s="393"/>
      <c r="F153" s="397">
        <f t="shared" si="3"/>
        <v>0</v>
      </c>
      <c r="G153" s="391"/>
      <c r="H153" s="87">
        <v>-1053.83</v>
      </c>
      <c r="I153" s="528">
        <f t="shared" si="4"/>
        <v>11253.642149000008</v>
      </c>
      <c r="J153" s="542"/>
    </row>
    <row r="154" spans="1:14" ht="13.5" thickBot="1">
      <c r="A154" s="94"/>
      <c r="B154" s="544" t="s">
        <v>1834</v>
      </c>
      <c r="C154" s="377">
        <v>-20</v>
      </c>
      <c r="D154" s="87">
        <f t="shared" si="5"/>
        <v>44</v>
      </c>
      <c r="E154" s="393"/>
      <c r="F154" s="397">
        <f t="shared" si="3"/>
        <v>0</v>
      </c>
      <c r="G154" s="391"/>
      <c r="H154" s="136">
        <f>G154*C154</f>
        <v>0</v>
      </c>
      <c r="I154" s="443">
        <f t="shared" si="4"/>
        <v>11253.642149000008</v>
      </c>
      <c r="J154" s="542"/>
    </row>
    <row r="155" spans="1:14" ht="13.5" thickBot="1">
      <c r="A155" s="94"/>
      <c r="B155" s="79" t="s">
        <v>1732</v>
      </c>
      <c r="C155" s="377"/>
      <c r="D155" s="87">
        <f t="shared" si="5"/>
        <v>44</v>
      </c>
      <c r="E155" s="393"/>
      <c r="F155" s="397">
        <f t="shared" si="3"/>
        <v>0</v>
      </c>
      <c r="G155" s="391"/>
      <c r="H155" s="87"/>
      <c r="I155" s="443">
        <f t="shared" si="4"/>
        <v>11253.642149000008</v>
      </c>
      <c r="J155" s="542"/>
    </row>
    <row r="156" spans="1:14" ht="13.5" thickBot="1">
      <c r="A156" s="94"/>
      <c r="B156" s="544" t="s">
        <v>1835</v>
      </c>
      <c r="C156" s="377">
        <v>-20</v>
      </c>
      <c r="D156" s="87">
        <f t="shared" si="5"/>
        <v>24</v>
      </c>
      <c r="E156" s="393"/>
      <c r="F156" s="397">
        <f t="shared" si="3"/>
        <v>0</v>
      </c>
      <c r="G156" s="391"/>
      <c r="H156" s="136">
        <f>G156*C156</f>
        <v>0</v>
      </c>
      <c r="I156" s="443">
        <f t="shared" si="4"/>
        <v>11253.642149000008</v>
      </c>
      <c r="J156" s="542"/>
    </row>
    <row r="157" spans="1:14" ht="13.5" thickBot="1">
      <c r="A157" s="94"/>
      <c r="B157" s="79" t="s">
        <v>1732</v>
      </c>
      <c r="C157" s="377"/>
      <c r="D157" s="87">
        <f t="shared" si="5"/>
        <v>24</v>
      </c>
      <c r="E157" s="393"/>
      <c r="F157" s="397">
        <f t="shared" si="3"/>
        <v>0</v>
      </c>
      <c r="G157" s="391"/>
      <c r="H157" s="87"/>
      <c r="I157" s="443">
        <f t="shared" si="4"/>
        <v>11253.642149000008</v>
      </c>
      <c r="J157" s="542"/>
    </row>
    <row r="158" spans="1:14" ht="13.5" thickBot="1">
      <c r="A158" s="94"/>
      <c r="B158" s="544" t="s">
        <v>1836</v>
      </c>
      <c r="C158" s="377">
        <v>-20</v>
      </c>
      <c r="D158" s="87">
        <f t="shared" si="5"/>
        <v>4</v>
      </c>
      <c r="E158" s="393"/>
      <c r="F158" s="397">
        <f t="shared" si="3"/>
        <v>0</v>
      </c>
      <c r="G158" s="391"/>
      <c r="H158" s="136">
        <f>G158*C158</f>
        <v>0</v>
      </c>
      <c r="I158" s="443">
        <f t="shared" si="4"/>
        <v>11253.642149000008</v>
      </c>
      <c r="J158" s="542"/>
    </row>
    <row r="159" spans="1:14" ht="13.5" thickBot="1">
      <c r="A159" s="94"/>
      <c r="B159" s="79" t="s">
        <v>1732</v>
      </c>
      <c r="C159" s="377"/>
      <c r="D159" s="87">
        <f t="shared" si="5"/>
        <v>4</v>
      </c>
      <c r="E159" s="393"/>
      <c r="F159" s="397">
        <f t="shared" si="3"/>
        <v>0</v>
      </c>
      <c r="G159" s="391"/>
      <c r="H159" s="87"/>
      <c r="I159" s="443">
        <f t="shared" si="4"/>
        <v>11253.642149000008</v>
      </c>
      <c r="J159" s="542"/>
    </row>
    <row r="160" spans="1:14" ht="13.5" thickBot="1">
      <c r="A160" s="94"/>
      <c r="B160" s="544" t="s">
        <v>1837</v>
      </c>
      <c r="C160" s="377">
        <v>-4</v>
      </c>
      <c r="D160" s="87">
        <f t="shared" si="5"/>
        <v>0</v>
      </c>
      <c r="E160" s="393"/>
      <c r="F160" s="397">
        <f t="shared" si="3"/>
        <v>0</v>
      </c>
      <c r="G160" s="391"/>
      <c r="H160" s="136">
        <f>G160*C160</f>
        <v>0</v>
      </c>
      <c r="I160" s="443">
        <f t="shared" si="4"/>
        <v>11253.642149000008</v>
      </c>
      <c r="J160" s="542"/>
    </row>
    <row r="161" spans="1:10">
      <c r="A161" s="94"/>
      <c r="B161" s="79" t="s">
        <v>1732</v>
      </c>
      <c r="C161" s="377"/>
      <c r="D161" s="87">
        <f t="shared" si="5"/>
        <v>0</v>
      </c>
      <c r="E161" s="393"/>
      <c r="F161" s="397">
        <f t="shared" si="3"/>
        <v>0</v>
      </c>
      <c r="G161" s="391"/>
      <c r="H161" s="87"/>
      <c r="I161" s="443">
        <f t="shared" si="4"/>
        <v>11253.642149000008</v>
      </c>
      <c r="J161" s="542"/>
    </row>
    <row r="162" spans="1:10">
      <c r="A162" s="94"/>
      <c r="B162" s="395"/>
      <c r="C162" s="377"/>
      <c r="D162" s="87"/>
      <c r="E162" s="393"/>
      <c r="F162" s="397"/>
      <c r="G162" s="425"/>
      <c r="H162" s="87"/>
      <c r="I162" s="12"/>
      <c r="J162" s="542"/>
    </row>
    <row r="163" spans="1:10">
      <c r="A163" s="560"/>
      <c r="B163" s="454"/>
      <c r="C163" s="524">
        <f>SUM(C132:C162)</f>
        <v>-238</v>
      </c>
      <c r="D163" s="525"/>
      <c r="E163" s="393"/>
      <c r="F163" s="397"/>
      <c r="G163" s="525"/>
      <c r="H163" s="571">
        <f>SUM(H132:H162)</f>
        <v>-195943.91785100001</v>
      </c>
      <c r="I163" s="428"/>
      <c r="J163" s="542"/>
    </row>
    <row r="164" spans="1:10">
      <c r="A164" s="561"/>
      <c r="B164" s="395"/>
      <c r="C164" s="396"/>
      <c r="D164" s="393"/>
      <c r="E164" s="393"/>
      <c r="F164" s="393"/>
      <c r="G164" s="393"/>
      <c r="H164" s="397"/>
      <c r="I164" s="87"/>
      <c r="J164" s="542"/>
    </row>
    <row r="165" spans="1:10">
      <c r="A165" s="94"/>
      <c r="B165" s="87" t="s">
        <v>1860</v>
      </c>
      <c r="C165" s="426"/>
      <c r="D165" s="427"/>
      <c r="E165" s="393"/>
      <c r="F165" s="393"/>
      <c r="G165" s="397"/>
      <c r="H165" s="87"/>
      <c r="I165" s="87"/>
      <c r="J165" s="542"/>
    </row>
    <row r="166" spans="1:10">
      <c r="A166" s="94"/>
      <c r="B166" s="11"/>
      <c r="C166" s="11"/>
      <c r="D166" s="87"/>
      <c r="E166" s="87"/>
      <c r="F166" s="87"/>
      <c r="G166" s="87"/>
      <c r="H166" s="87"/>
      <c r="I166" s="11"/>
      <c r="J166" s="542"/>
    </row>
  </sheetData>
  <conditionalFormatting sqref="F113">
    <cfRule type="cellIs" dxfId="109" priority="1" operator="lessThan">
      <formula>D113</formula>
    </cfRule>
  </conditionalFormatting>
  <conditionalFormatting sqref="F98:F100 F87">
    <cfRule type="cellIs" dxfId="108" priority="9" operator="lessThan">
      <formula>D87</formula>
    </cfRule>
  </conditionalFormatting>
  <conditionalFormatting sqref="F93:F95">
    <cfRule type="cellIs" dxfId="107" priority="10" operator="lessThan">
      <formula>D93</formula>
    </cfRule>
  </conditionalFormatting>
  <conditionalFormatting sqref="F91">
    <cfRule type="cellIs" dxfId="106" priority="8" operator="lessThan">
      <formula>D91</formula>
    </cfRule>
  </conditionalFormatting>
  <conditionalFormatting sqref="F112">
    <cfRule type="cellIs" dxfId="105" priority="7" operator="lessThan">
      <formula>D112</formula>
    </cfRule>
  </conditionalFormatting>
  <conditionalFormatting sqref="F92">
    <cfRule type="cellIs" dxfId="104" priority="6" operator="lessThan">
      <formula>D92</formula>
    </cfRule>
  </conditionalFormatting>
  <conditionalFormatting sqref="F88">
    <cfRule type="cellIs" dxfId="103" priority="5" operator="lessThan">
      <formula>D88</formula>
    </cfRule>
  </conditionalFormatting>
  <conditionalFormatting sqref="F114">
    <cfRule type="cellIs" dxfId="102" priority="3" operator="lessThan">
      <formula>D114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N217"/>
  <sheetViews>
    <sheetView topLeftCell="A155" zoomScale="145" zoomScaleNormal="145" workbookViewId="0">
      <selection activeCell="H173" sqref="H17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6" width="12.28515625" style="74"/>
    <col min="7" max="7" width="13.42578125" style="74" customWidth="1"/>
    <col min="8" max="8" width="12.28515625" style="74"/>
    <col min="10" max="10" width="10.5703125" bestFit="1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10">
      <c r="F1" s="74" t="s">
        <v>20</v>
      </c>
      <c r="G1" s="74" t="s">
        <v>21</v>
      </c>
      <c r="H1" s="74" t="s">
        <v>3</v>
      </c>
    </row>
    <row r="2" spans="1:10">
      <c r="A2" s="3" t="s">
        <v>79</v>
      </c>
      <c r="C2" s="76" t="s">
        <v>59</v>
      </c>
      <c r="D2" s="74">
        <f>SUM(D4:D34)</f>
        <v>17494.509999999998</v>
      </c>
      <c r="E2" s="74">
        <f>SUM(E4:E34)</f>
        <v>-79785.700000000012</v>
      </c>
      <c r="F2" s="74">
        <f>SUM(F4:F34)</f>
        <v>57500</v>
      </c>
      <c r="G2" s="74">
        <f>SUM(G4:G33)</f>
        <v>-93673.890000000014</v>
      </c>
      <c r="H2" s="74">
        <f>F2+G2</f>
        <v>-36173.890000000014</v>
      </c>
    </row>
    <row r="3" spans="1:10">
      <c r="B3" s="15"/>
    </row>
    <row r="4" spans="1:10">
      <c r="B4" s="38"/>
      <c r="H4" s="74">
        <f t="shared" ref="H4:H31" si="0">H3+F4+G4</f>
        <v>0</v>
      </c>
    </row>
    <row r="5" spans="1:10">
      <c r="B5" s="38"/>
      <c r="H5" s="74">
        <f t="shared" si="0"/>
        <v>0</v>
      </c>
    </row>
    <row r="6" spans="1:10">
      <c r="A6" s="77">
        <v>45905</v>
      </c>
      <c r="B6" s="78" t="s">
        <v>1918</v>
      </c>
      <c r="C6" s="79"/>
      <c r="D6" s="80"/>
      <c r="E6" s="80"/>
      <c r="G6" s="74">
        <v>-212.75</v>
      </c>
      <c r="H6" s="74">
        <f t="shared" si="0"/>
        <v>-212.75</v>
      </c>
    </row>
    <row r="7" spans="1:10">
      <c r="A7" s="81">
        <v>45904</v>
      </c>
      <c r="B7" s="78" t="s">
        <v>60</v>
      </c>
      <c r="C7" s="82"/>
      <c r="D7" s="83"/>
      <c r="E7" s="83">
        <f>E39</f>
        <v>-47204.140000000014</v>
      </c>
      <c r="F7" s="84"/>
      <c r="G7" s="84">
        <f>E7</f>
        <v>-47204.140000000014</v>
      </c>
      <c r="H7" s="74">
        <f t="shared" si="0"/>
        <v>-47416.890000000014</v>
      </c>
    </row>
    <row r="8" spans="1:10">
      <c r="A8" s="77">
        <v>45902</v>
      </c>
      <c r="B8" s="78" t="s">
        <v>61</v>
      </c>
      <c r="C8" s="82" t="s">
        <v>1955</v>
      </c>
      <c r="D8" s="83"/>
      <c r="E8" s="83">
        <f>E122</f>
        <v>-625</v>
      </c>
      <c r="F8" s="84"/>
      <c r="G8" s="84">
        <f>E8</f>
        <v>-625</v>
      </c>
      <c r="H8" s="74">
        <f t="shared" si="0"/>
        <v>-48041.890000000014</v>
      </c>
    </row>
    <row r="9" spans="1:10">
      <c r="G9" s="84"/>
      <c r="H9" s="74">
        <f t="shared" si="0"/>
        <v>-48041.890000000014</v>
      </c>
    </row>
    <row r="10" spans="1:10">
      <c r="A10" s="399"/>
      <c r="B10" s="422" t="s">
        <v>62</v>
      </c>
      <c r="C10" s="422"/>
      <c r="D10" s="373"/>
      <c r="E10" s="373">
        <v>-2117.06</v>
      </c>
      <c r="G10" s="74">
        <v>-2117</v>
      </c>
      <c r="H10" s="74">
        <f t="shared" si="0"/>
        <v>-50158.890000000014</v>
      </c>
    </row>
    <row r="11" spans="1:10">
      <c r="A11" s="410">
        <v>45920</v>
      </c>
      <c r="B11" s="422" t="s">
        <v>1988</v>
      </c>
      <c r="C11" s="422"/>
      <c r="D11" s="373"/>
      <c r="E11" s="373"/>
      <c r="F11" s="373">
        <v>40000</v>
      </c>
      <c r="H11" s="74">
        <f t="shared" si="0"/>
        <v>-10158.890000000014</v>
      </c>
    </row>
    <row r="12" spans="1:10">
      <c r="A12" s="408"/>
      <c r="B12" s="420" t="s">
        <v>1989</v>
      </c>
      <c r="C12" s="403"/>
      <c r="D12" s="373"/>
      <c r="E12" s="373"/>
      <c r="H12" s="74">
        <f t="shared" si="0"/>
        <v>-10158.890000000014</v>
      </c>
    </row>
    <row r="13" spans="1:10">
      <c r="A13" s="399">
        <v>45910</v>
      </c>
      <c r="B13" s="403" t="s">
        <v>70</v>
      </c>
      <c r="C13" s="403"/>
      <c r="D13" s="373"/>
      <c r="E13" s="373"/>
      <c r="G13" s="74">
        <v>-10000</v>
      </c>
      <c r="H13" s="74">
        <f t="shared" si="0"/>
        <v>-20158.890000000014</v>
      </c>
    </row>
    <row r="14" spans="1:10" s="75" customFormat="1">
      <c r="A14" s="399">
        <v>45911</v>
      </c>
      <c r="B14" s="403" t="s">
        <v>69</v>
      </c>
      <c r="C14" s="403"/>
      <c r="D14" s="373"/>
      <c r="E14" s="373"/>
      <c r="F14" s="74"/>
      <c r="G14" s="74">
        <v>-5000</v>
      </c>
      <c r="H14" s="74">
        <f t="shared" si="0"/>
        <v>-25158.890000000014</v>
      </c>
      <c r="I14"/>
      <c r="J14"/>
    </row>
    <row r="15" spans="1:10" s="75" customFormat="1">
      <c r="A15" s="399"/>
      <c r="B15" s="512" t="s">
        <v>65</v>
      </c>
      <c r="C15" s="512"/>
      <c r="D15" s="373"/>
      <c r="E15" s="373">
        <v>-1000</v>
      </c>
      <c r="F15" s="74"/>
      <c r="G15" s="74">
        <v>-120</v>
      </c>
      <c r="H15" s="74">
        <f t="shared" si="0"/>
        <v>-25278.890000000014</v>
      </c>
    </row>
    <row r="16" spans="1:10" s="75" customFormat="1">
      <c r="A16" s="399"/>
      <c r="B16" s="512" t="s">
        <v>66</v>
      </c>
      <c r="C16" s="512"/>
      <c r="D16" s="373"/>
      <c r="E16" s="373">
        <v>-200</v>
      </c>
      <c r="F16" s="74"/>
      <c r="G16" s="74">
        <v>-35</v>
      </c>
      <c r="H16" s="74">
        <f t="shared" si="0"/>
        <v>-25313.890000000014</v>
      </c>
    </row>
    <row r="17" spans="1:13" s="75" customFormat="1">
      <c r="A17" s="399">
        <v>45923</v>
      </c>
      <c r="B17" s="422" t="s">
        <v>1990</v>
      </c>
      <c r="C17" s="422"/>
      <c r="D17" s="373"/>
      <c r="E17" s="373">
        <v>-239.5</v>
      </c>
      <c r="F17" s="74"/>
      <c r="G17" s="74"/>
      <c r="H17" s="74">
        <f t="shared" si="0"/>
        <v>-25313.890000000014</v>
      </c>
    </row>
    <row r="18" spans="1:13" s="75" customFormat="1">
      <c r="A18" s="399"/>
      <c r="B18" s="403" t="s">
        <v>68</v>
      </c>
      <c r="C18" s="403"/>
      <c r="D18" s="373">
        <v>17494.509999999998</v>
      </c>
      <c r="E18" s="373"/>
      <c r="F18" s="373">
        <v>17500</v>
      </c>
      <c r="G18" s="74"/>
      <c r="H18" s="74">
        <f t="shared" si="0"/>
        <v>-7813.890000000014</v>
      </c>
      <c r="J18" s="90"/>
      <c r="K18" s="90"/>
      <c r="L18" s="91"/>
      <c r="M18" s="92"/>
    </row>
    <row r="19" spans="1:13" s="75" customFormat="1">
      <c r="A19" s="402"/>
      <c r="B19" s="403" t="s">
        <v>69</v>
      </c>
      <c r="C19" s="403"/>
      <c r="D19" s="373"/>
      <c r="E19" s="373">
        <v>-9000</v>
      </c>
      <c r="F19" s="74"/>
      <c r="G19" s="74">
        <v>-9000</v>
      </c>
      <c r="H19" s="74">
        <f t="shared" si="0"/>
        <v>-16813.890000000014</v>
      </c>
      <c r="J19" s="90"/>
      <c r="K19" s="90"/>
      <c r="L19" s="91"/>
      <c r="M19" s="92"/>
    </row>
    <row r="20" spans="1:13" s="75" customFormat="1">
      <c r="A20" s="402"/>
      <c r="B20" s="403" t="s">
        <v>70</v>
      </c>
      <c r="C20" s="403"/>
      <c r="D20" s="373"/>
      <c r="E20" s="373">
        <v>-9000</v>
      </c>
      <c r="F20" s="74"/>
      <c r="G20" s="87">
        <v>-9000</v>
      </c>
      <c r="H20" s="74">
        <f t="shared" si="0"/>
        <v>-25813.890000000014</v>
      </c>
      <c r="J20" s="90"/>
      <c r="K20" s="90"/>
      <c r="L20" s="91"/>
      <c r="M20" s="92"/>
    </row>
    <row r="21" spans="1:13" s="75" customFormat="1">
      <c r="A21" s="402"/>
      <c r="B21" s="403" t="s">
        <v>71</v>
      </c>
      <c r="C21" s="403"/>
      <c r="D21" s="373"/>
      <c r="E21" s="373">
        <v>-9000</v>
      </c>
      <c r="F21" s="74"/>
      <c r="G21" s="87">
        <v>-9000</v>
      </c>
      <c r="H21" s="74">
        <f t="shared" si="0"/>
        <v>-34813.890000000014</v>
      </c>
      <c r="J21" s="90"/>
      <c r="K21" s="90"/>
      <c r="L21" s="91"/>
      <c r="M21" s="92"/>
    </row>
    <row r="22" spans="1:13" s="75" customFormat="1">
      <c r="A22" s="402"/>
      <c r="B22" s="403"/>
      <c r="C22" s="403"/>
      <c r="D22" s="373"/>
      <c r="E22" s="373"/>
      <c r="F22" s="74"/>
      <c r="G22" s="74"/>
      <c r="H22" s="74">
        <f t="shared" si="0"/>
        <v>-34813.890000000014</v>
      </c>
      <c r="J22" s="90"/>
      <c r="K22" s="90"/>
      <c r="L22" s="91"/>
      <c r="M22" s="92"/>
    </row>
    <row r="23" spans="1:13" s="75" customFormat="1">
      <c r="A23" s="400"/>
      <c r="B23" s="403"/>
      <c r="C23" s="403"/>
      <c r="D23" s="373"/>
      <c r="E23" s="373"/>
      <c r="F23" s="74"/>
      <c r="G23" s="74"/>
      <c r="H23" s="74">
        <f t="shared" si="0"/>
        <v>-34813.890000000014</v>
      </c>
      <c r="J23" s="90"/>
      <c r="K23" s="90"/>
      <c r="L23" s="91"/>
      <c r="M23" s="92"/>
    </row>
    <row r="24" spans="1:13" s="75" customFormat="1">
      <c r="A24" s="401"/>
      <c r="B24" s="403"/>
      <c r="C24" s="403"/>
      <c r="D24" s="373"/>
      <c r="E24" s="373"/>
      <c r="F24" s="74"/>
      <c r="G24" s="74"/>
      <c r="H24" s="74">
        <f t="shared" si="0"/>
        <v>-34813.890000000014</v>
      </c>
      <c r="J24" s="90"/>
      <c r="K24" s="90"/>
      <c r="L24" s="91"/>
      <c r="M24" s="92"/>
    </row>
    <row r="25" spans="1:13" s="75" customFormat="1">
      <c r="A25" s="399">
        <v>45929</v>
      </c>
      <c r="B25" s="422" t="s">
        <v>72</v>
      </c>
      <c r="C25" s="422"/>
      <c r="D25" s="373"/>
      <c r="E25" s="373">
        <v>-600</v>
      </c>
      <c r="F25" s="74"/>
      <c r="G25" s="74">
        <v>-540</v>
      </c>
      <c r="H25" s="74">
        <f t="shared" si="0"/>
        <v>-35353.890000000014</v>
      </c>
      <c r="J25" s="90"/>
      <c r="K25" s="90"/>
      <c r="L25" s="91"/>
      <c r="M25" s="92"/>
    </row>
    <row r="26" spans="1:13" s="75" customFormat="1">
      <c r="A26" s="399">
        <v>45929</v>
      </c>
      <c r="B26" s="422" t="s">
        <v>73</v>
      </c>
      <c r="C26" s="422"/>
      <c r="D26" s="373"/>
      <c r="E26" s="373">
        <v>-800</v>
      </c>
      <c r="F26" s="74"/>
      <c r="G26" s="74">
        <v>-820</v>
      </c>
      <c r="H26" s="74">
        <f t="shared" si="0"/>
        <v>-36173.890000000014</v>
      </c>
      <c r="J26" s="90"/>
      <c r="K26" s="90"/>
      <c r="L26" s="91"/>
      <c r="M26" s="92"/>
    </row>
    <row r="27" spans="1:13" s="75" customFormat="1">
      <c r="B27" s="3"/>
      <c r="C27" s="3"/>
      <c r="D27" s="74"/>
      <c r="E27" s="74"/>
      <c r="F27" s="74"/>
      <c r="G27" s="74"/>
      <c r="H27" s="74">
        <f t="shared" si="0"/>
        <v>-36173.890000000014</v>
      </c>
    </row>
    <row r="28" spans="1:13" s="75" customFormat="1">
      <c r="D28" s="74"/>
      <c r="E28" s="74"/>
      <c r="F28" s="74"/>
      <c r="G28" s="74"/>
      <c r="H28" s="74">
        <f t="shared" si="0"/>
        <v>-36173.890000000014</v>
      </c>
    </row>
    <row r="29" spans="1:13">
      <c r="A29" s="96"/>
      <c r="B29" s="97" t="s">
        <v>80</v>
      </c>
      <c r="C29" s="97"/>
      <c r="H29" s="74">
        <f t="shared" si="0"/>
        <v>-36173.890000000014</v>
      </c>
      <c r="I29" s="75"/>
      <c r="J29" s="75"/>
    </row>
    <row r="30" spans="1:13">
      <c r="A30" s="96"/>
      <c r="H30" s="74">
        <f t="shared" si="0"/>
        <v>-36173.890000000014</v>
      </c>
    </row>
    <row r="31" spans="1:13">
      <c r="H31" s="74">
        <f t="shared" si="0"/>
        <v>-36173.890000000014</v>
      </c>
    </row>
    <row r="33" spans="1:14">
      <c r="A33" s="94"/>
    </row>
    <row r="34" spans="1:14" s="75" customFormat="1">
      <c r="A34"/>
      <c r="B34"/>
      <c r="C34"/>
      <c r="D34" s="74"/>
      <c r="E34" s="74"/>
      <c r="F34" s="74"/>
      <c r="G34" s="74"/>
      <c r="H34" s="74"/>
      <c r="I34"/>
      <c r="J34"/>
    </row>
    <row r="35" spans="1:14" s="75" customFormat="1">
      <c r="B35" s="97"/>
      <c r="C35" s="97"/>
      <c r="D35" s="74"/>
      <c r="E35" s="74"/>
      <c r="F35" s="74"/>
      <c r="G35" s="74"/>
      <c r="H35" s="74"/>
      <c r="J35" s="90"/>
      <c r="K35" s="90"/>
      <c r="L35" s="91"/>
      <c r="M35" s="92"/>
    </row>
    <row r="36" spans="1:14" s="75" customFormat="1">
      <c r="A36" s="94"/>
      <c r="D36" s="74"/>
      <c r="E36" s="74"/>
      <c r="F36" s="74"/>
      <c r="G36" s="74"/>
      <c r="H36" s="74"/>
    </row>
    <row r="37" spans="1:14" s="74" customFormat="1">
      <c r="A37" s="85"/>
      <c r="B37" s="75"/>
      <c r="C37" s="75"/>
      <c r="I37" s="75"/>
      <c r="J37" s="75"/>
      <c r="K37" s="75"/>
      <c r="L37" s="75"/>
      <c r="M37" s="75"/>
      <c r="N37" s="75"/>
    </row>
    <row r="38" spans="1:14" s="74" customFormat="1">
      <c r="B38" s="98"/>
      <c r="K38" s="75"/>
      <c r="L38" s="75"/>
      <c r="M38" s="75"/>
      <c r="N38" s="75"/>
    </row>
    <row r="39" spans="1:14">
      <c r="A39" s="99"/>
      <c r="B39" s="100" t="s">
        <v>75</v>
      </c>
      <c r="C39" s="99"/>
      <c r="E39" s="74">
        <f>SUM(E41:E114)</f>
        <v>-47204.140000000014</v>
      </c>
      <c r="I39" s="74"/>
      <c r="J39" s="74"/>
    </row>
    <row r="40" spans="1:14" s="74" customFormat="1">
      <c r="A40"/>
      <c r="B40"/>
      <c r="C40"/>
      <c r="I40"/>
      <c r="J40"/>
      <c r="K40" s="75"/>
      <c r="L40" s="75"/>
      <c r="M40" s="75"/>
      <c r="N40" s="75"/>
    </row>
    <row r="41" spans="1:14" s="74" customFormat="1">
      <c r="A41" s="85">
        <v>45811</v>
      </c>
      <c r="B41" s="87" t="s">
        <v>1823</v>
      </c>
      <c r="C41" s="87">
        <v>5250</v>
      </c>
      <c r="D41" s="87" t="s">
        <v>1888</v>
      </c>
      <c r="E41" s="87">
        <v>-1750</v>
      </c>
      <c r="F41" s="87">
        <v>0</v>
      </c>
      <c r="K41" s="75"/>
      <c r="L41" s="75"/>
      <c r="M41" s="75"/>
      <c r="N41" s="75"/>
    </row>
    <row r="42" spans="1:14" s="74" customFormat="1">
      <c r="A42" s="85">
        <v>45811</v>
      </c>
      <c r="B42" s="87" t="s">
        <v>1823</v>
      </c>
      <c r="C42" s="87">
        <v>5250</v>
      </c>
      <c r="D42" s="87" t="s">
        <v>1888</v>
      </c>
      <c r="E42" s="87">
        <v>-1750</v>
      </c>
      <c r="F42" s="87">
        <v>0</v>
      </c>
      <c r="K42" s="75"/>
      <c r="L42" s="75"/>
      <c r="M42" s="75"/>
      <c r="N42" s="75"/>
    </row>
    <row r="43" spans="1:14" s="74" customFormat="1">
      <c r="A43" s="85">
        <v>45811</v>
      </c>
      <c r="B43" s="87" t="s">
        <v>435</v>
      </c>
      <c r="C43" s="87">
        <v>5250</v>
      </c>
      <c r="D43" s="87" t="s">
        <v>1888</v>
      </c>
      <c r="E43" s="87">
        <v>-1750</v>
      </c>
      <c r="F43" s="87">
        <v>0</v>
      </c>
      <c r="K43" s="75"/>
      <c r="L43" s="75"/>
      <c r="M43" s="75"/>
      <c r="N43" s="75"/>
    </row>
    <row r="44" spans="1:14">
      <c r="A44" s="85">
        <v>45811</v>
      </c>
      <c r="B44" s="87" t="s">
        <v>1821</v>
      </c>
      <c r="C44" s="87">
        <v>14500</v>
      </c>
      <c r="D44" s="87" t="s">
        <v>1888</v>
      </c>
      <c r="E44" s="87">
        <v>-4833.33</v>
      </c>
      <c r="F44" s="87">
        <v>0</v>
      </c>
      <c r="I44" s="74"/>
      <c r="J44" s="74"/>
    </row>
    <row r="45" spans="1:14" s="74" customFormat="1">
      <c r="A45" s="85">
        <v>45817</v>
      </c>
      <c r="B45" s="87" t="s">
        <v>1850</v>
      </c>
      <c r="C45" s="87"/>
      <c r="D45" s="87" t="s">
        <v>1889</v>
      </c>
      <c r="E45" s="87">
        <v>-406.67</v>
      </c>
      <c r="F45" s="87">
        <v>0</v>
      </c>
      <c r="I45"/>
      <c r="J45"/>
      <c r="K45" s="75"/>
      <c r="L45" s="75"/>
      <c r="M45" s="75"/>
      <c r="N45" s="75"/>
    </row>
    <row r="46" spans="1:14" s="74" customFormat="1">
      <c r="A46" s="96">
        <v>45790</v>
      </c>
      <c r="B46" s="103" t="s">
        <v>330</v>
      </c>
      <c r="C46" s="87">
        <v>1407.46</v>
      </c>
      <c r="D46" s="87" t="s">
        <v>559</v>
      </c>
      <c r="E46" s="87">
        <v>-234.58</v>
      </c>
      <c r="F46" s="87">
        <v>0</v>
      </c>
      <c r="K46" s="75"/>
      <c r="L46" s="75"/>
      <c r="M46" s="75"/>
      <c r="N46" s="75"/>
    </row>
    <row r="47" spans="1:14" s="74" customFormat="1">
      <c r="A47" s="96">
        <v>45828</v>
      </c>
      <c r="B47" s="103" t="s">
        <v>1879</v>
      </c>
      <c r="C47" s="87">
        <v>6500</v>
      </c>
      <c r="D47" s="87" t="s">
        <v>1888</v>
      </c>
      <c r="E47" s="87">
        <v>-2166.66</v>
      </c>
      <c r="F47" s="87">
        <v>0</v>
      </c>
      <c r="K47" s="75"/>
      <c r="L47" s="75"/>
      <c r="M47" s="75"/>
      <c r="N47" s="75"/>
    </row>
    <row r="48" spans="1:14" s="74" customFormat="1">
      <c r="A48" s="96">
        <v>45805</v>
      </c>
      <c r="B48" s="103" t="s">
        <v>118</v>
      </c>
      <c r="C48" s="193">
        <v>1380</v>
      </c>
      <c r="D48" s="87" t="s">
        <v>1888</v>
      </c>
      <c r="E48" s="87">
        <v>-460</v>
      </c>
      <c r="F48" s="74">
        <v>0</v>
      </c>
      <c r="K48" s="75"/>
      <c r="L48" s="75"/>
      <c r="M48" s="75"/>
      <c r="N48" s="75"/>
    </row>
    <row r="49" spans="1:14" s="74" customFormat="1">
      <c r="A49" s="96">
        <v>45805</v>
      </c>
      <c r="B49" s="103" t="s">
        <v>118</v>
      </c>
      <c r="C49" s="193">
        <v>4373.6000000000004</v>
      </c>
      <c r="D49" s="87" t="s">
        <v>1888</v>
      </c>
      <c r="E49" s="87">
        <v>-1457.87</v>
      </c>
      <c r="F49" s="74">
        <v>0</v>
      </c>
      <c r="K49" s="75"/>
      <c r="L49" s="75"/>
      <c r="M49" s="75"/>
      <c r="N49" s="75"/>
    </row>
    <row r="50" spans="1:14" s="74" customFormat="1">
      <c r="A50" s="11"/>
      <c r="B50" s="87" t="s">
        <v>1816</v>
      </c>
      <c r="C50" s="87">
        <v>0</v>
      </c>
      <c r="D50" s="87"/>
      <c r="E50" s="87"/>
      <c r="F50" s="87"/>
      <c r="K50" s="75"/>
      <c r="L50" s="75"/>
      <c r="M50" s="75"/>
      <c r="N50" s="75"/>
    </row>
    <row r="51" spans="1:14" s="74" customFormat="1">
      <c r="A51" s="96">
        <v>45880</v>
      </c>
      <c r="B51" s="103" t="s">
        <v>1927</v>
      </c>
      <c r="C51" s="102">
        <v>5126</v>
      </c>
      <c r="D51" s="87" t="s">
        <v>1851</v>
      </c>
      <c r="E51" s="74">
        <v>-854.33</v>
      </c>
      <c r="F51" s="74">
        <v>0</v>
      </c>
      <c r="K51" s="75"/>
      <c r="L51" s="75"/>
      <c r="M51" s="75"/>
      <c r="N51" s="75"/>
    </row>
    <row r="52" spans="1:14" s="87" customFormat="1">
      <c r="A52" s="96">
        <v>45880</v>
      </c>
      <c r="B52" s="103" t="s">
        <v>1928</v>
      </c>
      <c r="C52" s="102">
        <v>16598.900000000001</v>
      </c>
      <c r="D52" s="87" t="s">
        <v>1929</v>
      </c>
      <c r="E52" s="87">
        <v>-1844.32</v>
      </c>
      <c r="F52" s="87">
        <v>0</v>
      </c>
      <c r="K52" s="75"/>
      <c r="L52" s="75"/>
      <c r="M52" s="75"/>
      <c r="N52" s="75"/>
    </row>
    <row r="53" spans="1:14" s="87" customFormat="1">
      <c r="A53" s="96"/>
      <c r="B53" s="103"/>
      <c r="C53" s="102"/>
      <c r="K53" s="75"/>
      <c r="L53" s="75"/>
      <c r="M53" s="75"/>
      <c r="N53" s="75"/>
    </row>
    <row r="54" spans="1:14" s="87" customFormat="1">
      <c r="A54" s="96"/>
      <c r="B54" s="103"/>
      <c r="C54" s="102"/>
      <c r="K54" s="75"/>
      <c r="L54" s="75"/>
      <c r="M54" s="75"/>
      <c r="N54" s="75"/>
    </row>
    <row r="55" spans="1:14" s="87" customFormat="1">
      <c r="A55" s="96"/>
      <c r="B55" s="103"/>
      <c r="C55" s="102"/>
      <c r="K55" s="75"/>
      <c r="L55" s="75"/>
      <c r="M55" s="75"/>
      <c r="N55" s="75"/>
    </row>
    <row r="56" spans="1:14" s="87" customFormat="1">
      <c r="A56" s="96">
        <v>45864</v>
      </c>
      <c r="B56" s="103" t="s">
        <v>1921</v>
      </c>
      <c r="C56" s="102"/>
      <c r="E56" s="87">
        <v>-500</v>
      </c>
      <c r="F56" s="87">
        <v>0</v>
      </c>
      <c r="K56" s="75"/>
      <c r="L56" s="75"/>
      <c r="M56" s="75"/>
      <c r="N56" s="75"/>
    </row>
    <row r="57" spans="1:14" s="87" customFormat="1">
      <c r="A57" s="96">
        <v>45864</v>
      </c>
      <c r="B57" s="103" t="s">
        <v>119</v>
      </c>
      <c r="C57" s="102"/>
      <c r="E57" s="87">
        <v>-106.9</v>
      </c>
      <c r="F57" s="87">
        <v>0</v>
      </c>
      <c r="K57" s="75"/>
      <c r="L57" s="75"/>
      <c r="M57" s="75"/>
      <c r="N57" s="75"/>
    </row>
    <row r="58" spans="1:14" s="87" customFormat="1">
      <c r="A58" s="96">
        <v>45867</v>
      </c>
      <c r="B58" s="103" t="s">
        <v>1922</v>
      </c>
      <c r="C58" s="102"/>
      <c r="E58" s="87">
        <v>-260</v>
      </c>
      <c r="F58" s="87">
        <v>0</v>
      </c>
      <c r="K58" s="75"/>
      <c r="L58" s="75"/>
      <c r="M58" s="75"/>
      <c r="N58" s="75"/>
    </row>
    <row r="59" spans="1:14" s="87" customFormat="1">
      <c r="A59" s="96">
        <v>45867</v>
      </c>
      <c r="B59" s="103" t="s">
        <v>119</v>
      </c>
      <c r="C59" s="102"/>
      <c r="E59" s="87">
        <v>-60.31</v>
      </c>
      <c r="F59" s="87">
        <v>0</v>
      </c>
      <c r="K59" s="75"/>
      <c r="L59" s="75"/>
      <c r="M59" s="75"/>
      <c r="N59" s="75"/>
    </row>
    <row r="60" spans="1:14" s="87" customFormat="1">
      <c r="A60" s="96">
        <v>45868</v>
      </c>
      <c r="B60" s="103" t="s">
        <v>119</v>
      </c>
      <c r="C60" s="102"/>
      <c r="E60" s="87">
        <v>-51.9</v>
      </c>
      <c r="F60" s="87">
        <v>0</v>
      </c>
      <c r="K60" s="75"/>
      <c r="L60" s="75"/>
      <c r="M60" s="75"/>
      <c r="N60" s="75"/>
    </row>
    <row r="61" spans="1:14" s="87" customFormat="1">
      <c r="A61" s="96">
        <v>45868</v>
      </c>
      <c r="B61" s="103" t="s">
        <v>1924</v>
      </c>
      <c r="C61" s="102"/>
      <c r="E61" s="87">
        <v>-140</v>
      </c>
      <c r="F61" s="87">
        <v>0</v>
      </c>
      <c r="K61" s="75"/>
      <c r="L61" s="75"/>
      <c r="M61" s="75"/>
      <c r="N61" s="75"/>
    </row>
    <row r="62" spans="1:14" s="87" customFormat="1">
      <c r="A62" s="96"/>
      <c r="B62" s="103" t="s">
        <v>1923</v>
      </c>
      <c r="C62" s="102"/>
      <c r="E62" s="87">
        <v>-200</v>
      </c>
      <c r="F62" s="87">
        <v>0</v>
      </c>
      <c r="K62" s="75"/>
      <c r="L62" s="75"/>
      <c r="M62" s="75"/>
      <c r="N62" s="75"/>
    </row>
    <row r="63" spans="1:14" s="87" customFormat="1">
      <c r="A63" s="96"/>
      <c r="B63" s="103" t="s">
        <v>1604</v>
      </c>
      <c r="C63" s="102"/>
      <c r="E63" s="87">
        <v>-250</v>
      </c>
      <c r="F63" s="87">
        <v>0</v>
      </c>
      <c r="K63" s="75"/>
      <c r="L63" s="75"/>
      <c r="M63" s="75"/>
      <c r="N63" s="75"/>
    </row>
    <row r="64" spans="1:14" s="87" customFormat="1">
      <c r="A64" s="96"/>
      <c r="B64" s="103" t="s">
        <v>119</v>
      </c>
      <c r="C64" s="102"/>
      <c r="E64" s="87">
        <v>-83</v>
      </c>
      <c r="F64" s="87">
        <v>0</v>
      </c>
      <c r="K64" s="75"/>
      <c r="L64" s="75"/>
      <c r="M64" s="75"/>
      <c r="N64" s="75"/>
    </row>
    <row r="65" spans="1:14" s="87" customFormat="1">
      <c r="A65" s="96">
        <v>45869</v>
      </c>
      <c r="B65" s="567" t="s">
        <v>78</v>
      </c>
      <c r="C65" s="102"/>
      <c r="E65" s="87">
        <v>-180</v>
      </c>
      <c r="F65" s="87">
        <v>0</v>
      </c>
      <c r="K65" s="75"/>
      <c r="L65" s="75"/>
      <c r="M65" s="75"/>
      <c r="N65" s="75"/>
    </row>
    <row r="66" spans="1:14" s="87" customFormat="1">
      <c r="A66" s="96"/>
      <c r="B66" s="103" t="s">
        <v>119</v>
      </c>
      <c r="C66" s="102"/>
      <c r="E66" s="87">
        <v>-524.58000000000004</v>
      </c>
      <c r="F66" s="87">
        <v>0</v>
      </c>
      <c r="K66" s="75"/>
      <c r="L66" s="75"/>
      <c r="M66" s="75"/>
      <c r="N66" s="75"/>
    </row>
    <row r="67" spans="1:14" s="87" customFormat="1">
      <c r="A67" s="96">
        <v>45870</v>
      </c>
      <c r="B67" s="103" t="s">
        <v>119</v>
      </c>
      <c r="C67" s="102"/>
      <c r="E67" s="87">
        <v>-23</v>
      </c>
      <c r="F67" s="87">
        <v>0</v>
      </c>
      <c r="K67" s="75"/>
      <c r="L67" s="75"/>
      <c r="M67" s="75"/>
      <c r="N67" s="75"/>
    </row>
    <row r="68" spans="1:14" s="87" customFormat="1">
      <c r="A68" s="96"/>
      <c r="B68" s="103" t="s">
        <v>1604</v>
      </c>
      <c r="C68" s="102"/>
      <c r="E68" s="87">
        <v>-250</v>
      </c>
      <c r="F68" s="87">
        <v>0</v>
      </c>
      <c r="K68" s="75"/>
      <c r="L68" s="75"/>
      <c r="M68" s="75"/>
      <c r="N68" s="75"/>
    </row>
    <row r="69" spans="1:14" s="87" customFormat="1">
      <c r="A69" s="96">
        <v>45871</v>
      </c>
      <c r="B69" s="103" t="s">
        <v>1761</v>
      </c>
      <c r="C69" s="102"/>
      <c r="E69" s="87">
        <v>-360</v>
      </c>
      <c r="F69" s="87">
        <v>0</v>
      </c>
      <c r="K69" s="75"/>
      <c r="L69" s="75"/>
      <c r="M69" s="75"/>
      <c r="N69" s="75"/>
    </row>
    <row r="70" spans="1:14" s="87" customFormat="1">
      <c r="A70" s="96"/>
      <c r="B70" s="103" t="s">
        <v>119</v>
      </c>
      <c r="C70" s="102"/>
      <c r="E70" s="87">
        <v>-39.950000000000003</v>
      </c>
      <c r="F70" s="87">
        <v>0</v>
      </c>
      <c r="K70" s="75"/>
      <c r="L70" s="75"/>
      <c r="M70" s="75"/>
      <c r="N70" s="75"/>
    </row>
    <row r="71" spans="1:14" s="87" customFormat="1">
      <c r="A71" s="96"/>
      <c r="B71" s="103" t="s">
        <v>119</v>
      </c>
      <c r="C71" s="102"/>
      <c r="E71" s="87">
        <v>-191.5</v>
      </c>
      <c r="F71" s="87">
        <v>0</v>
      </c>
      <c r="K71" s="75"/>
      <c r="L71" s="75"/>
      <c r="M71" s="75"/>
      <c r="N71" s="75"/>
    </row>
    <row r="72" spans="1:14" s="87" customFormat="1">
      <c r="A72" s="96">
        <v>45872</v>
      </c>
      <c r="B72" s="103" t="s">
        <v>119</v>
      </c>
      <c r="C72" s="102"/>
      <c r="E72" s="87">
        <v>-39.950000000000003</v>
      </c>
      <c r="F72" s="87">
        <v>0</v>
      </c>
      <c r="K72" s="75"/>
      <c r="L72" s="75"/>
      <c r="M72" s="75"/>
      <c r="N72" s="75"/>
    </row>
    <row r="73" spans="1:14" s="87" customFormat="1">
      <c r="A73" s="96"/>
      <c r="B73" s="103" t="s">
        <v>1761</v>
      </c>
      <c r="C73" s="102"/>
      <c r="E73" s="87">
        <v>-150</v>
      </c>
      <c r="F73" s="87">
        <v>0</v>
      </c>
      <c r="K73" s="75"/>
      <c r="L73" s="75"/>
      <c r="M73" s="75"/>
      <c r="N73" s="75"/>
    </row>
    <row r="74" spans="1:14" s="87" customFormat="1">
      <c r="A74" s="96">
        <v>45874</v>
      </c>
      <c r="B74" s="103" t="s">
        <v>119</v>
      </c>
      <c r="C74" s="102"/>
      <c r="E74" s="87">
        <v>-496.05</v>
      </c>
      <c r="F74" s="87">
        <v>0</v>
      </c>
      <c r="K74" s="75"/>
      <c r="L74" s="75"/>
      <c r="M74" s="75"/>
      <c r="N74" s="75"/>
    </row>
    <row r="75" spans="1:14" s="87" customFormat="1">
      <c r="A75" s="96">
        <v>45873</v>
      </c>
      <c r="B75" s="103" t="s">
        <v>1604</v>
      </c>
      <c r="C75" s="102"/>
      <c r="E75" s="87">
        <v>-250</v>
      </c>
      <c r="F75" s="87">
        <v>0</v>
      </c>
      <c r="K75" s="75"/>
      <c r="L75" s="75"/>
      <c r="M75" s="75"/>
      <c r="N75" s="75"/>
    </row>
    <row r="76" spans="1:14" s="87" customFormat="1">
      <c r="A76" s="96"/>
      <c r="B76" s="103" t="s">
        <v>121</v>
      </c>
      <c r="C76" s="102">
        <v>42696.2</v>
      </c>
      <c r="K76" s="75"/>
      <c r="L76" s="75"/>
      <c r="M76" s="75"/>
      <c r="N76" s="75"/>
    </row>
    <row r="77" spans="1:14" s="87" customFormat="1">
      <c r="A77" s="96">
        <v>45874</v>
      </c>
      <c r="B77" s="103" t="s">
        <v>1761</v>
      </c>
      <c r="C77" s="102"/>
      <c r="E77" s="87">
        <v>-220</v>
      </c>
      <c r="F77" s="87">
        <v>0</v>
      </c>
      <c r="K77" s="75"/>
      <c r="L77" s="75"/>
      <c r="M77" s="75"/>
      <c r="N77" s="75"/>
    </row>
    <row r="78" spans="1:14" s="87" customFormat="1">
      <c r="A78" s="96"/>
      <c r="B78" s="103" t="s">
        <v>119</v>
      </c>
      <c r="C78" s="102"/>
      <c r="E78" s="87">
        <v>-51.9</v>
      </c>
      <c r="F78" s="87">
        <v>0</v>
      </c>
      <c r="K78" s="75"/>
      <c r="L78" s="75"/>
      <c r="M78" s="75"/>
      <c r="N78" s="75"/>
    </row>
    <row r="79" spans="1:14" s="87" customFormat="1">
      <c r="A79" s="96"/>
      <c r="B79" s="103" t="s">
        <v>119</v>
      </c>
      <c r="C79" s="102"/>
      <c r="E79" s="87">
        <v>-45.52</v>
      </c>
      <c r="F79" s="87">
        <v>0</v>
      </c>
      <c r="K79" s="75"/>
      <c r="L79" s="75"/>
      <c r="M79" s="75"/>
      <c r="N79" s="75"/>
    </row>
    <row r="80" spans="1:14" s="87" customFormat="1">
      <c r="A80" s="96">
        <v>45875</v>
      </c>
      <c r="B80" s="103" t="s">
        <v>1603</v>
      </c>
      <c r="C80" s="102"/>
      <c r="E80" s="87">
        <v>-120</v>
      </c>
      <c r="F80" s="87">
        <v>0</v>
      </c>
      <c r="K80" s="75"/>
      <c r="L80" s="75"/>
      <c r="M80" s="75"/>
      <c r="N80" s="75"/>
    </row>
    <row r="81" spans="1:14" s="87" customFormat="1">
      <c r="A81" s="96"/>
      <c r="B81" s="103" t="s">
        <v>1925</v>
      </c>
      <c r="C81" s="102"/>
      <c r="E81" s="87">
        <v>-200</v>
      </c>
      <c r="F81" s="87">
        <v>0</v>
      </c>
      <c r="K81" s="75"/>
      <c r="L81" s="75"/>
      <c r="M81" s="75"/>
      <c r="N81" s="75"/>
    </row>
    <row r="82" spans="1:14" s="87" customFormat="1">
      <c r="A82" s="96"/>
      <c r="B82" s="103" t="s">
        <v>119</v>
      </c>
      <c r="C82" s="102"/>
      <c r="E82" s="87">
        <v>-534.5</v>
      </c>
      <c r="F82" s="87">
        <v>0</v>
      </c>
      <c r="K82" s="75"/>
      <c r="L82" s="75"/>
      <c r="M82" s="75"/>
      <c r="N82" s="75"/>
    </row>
    <row r="83" spans="1:14" s="87" customFormat="1">
      <c r="A83" s="96">
        <v>45878</v>
      </c>
      <c r="B83" s="103" t="s">
        <v>1926</v>
      </c>
      <c r="C83" s="102"/>
      <c r="E83" s="87">
        <v>-60</v>
      </c>
      <c r="F83" s="87">
        <v>0</v>
      </c>
      <c r="K83" s="75"/>
      <c r="L83" s="75"/>
      <c r="M83" s="75"/>
      <c r="N83" s="75"/>
    </row>
    <row r="84" spans="1:14" s="87" customFormat="1">
      <c r="A84" s="96"/>
      <c r="B84" s="103" t="s">
        <v>126</v>
      </c>
      <c r="C84" s="102"/>
      <c r="E84" s="87">
        <v>-155</v>
      </c>
      <c r="F84" s="87">
        <v>0</v>
      </c>
      <c r="K84" s="75"/>
      <c r="L84" s="75"/>
      <c r="M84" s="75"/>
      <c r="N84" s="75"/>
    </row>
    <row r="85" spans="1:14" s="87" customFormat="1">
      <c r="A85" s="96">
        <v>45879</v>
      </c>
      <c r="B85" s="103" t="s">
        <v>1910</v>
      </c>
      <c r="C85" s="102"/>
      <c r="E85" s="87">
        <v>-550</v>
      </c>
      <c r="F85" s="87">
        <v>0</v>
      </c>
      <c r="K85" s="75"/>
      <c r="L85" s="75"/>
      <c r="M85" s="75"/>
      <c r="N85" s="75"/>
    </row>
    <row r="86" spans="1:14" s="87" customFormat="1">
      <c r="A86" s="96"/>
      <c r="B86" s="103" t="s">
        <v>119</v>
      </c>
      <c r="C86" s="102"/>
      <c r="E86" s="87">
        <v>-161.76</v>
      </c>
      <c r="F86" s="87">
        <v>0</v>
      </c>
      <c r="K86" s="75"/>
      <c r="L86" s="75"/>
      <c r="M86" s="75"/>
      <c r="N86" s="75"/>
    </row>
    <row r="87" spans="1:14" s="87" customFormat="1">
      <c r="A87" s="96">
        <v>45880</v>
      </c>
      <c r="B87" s="103" t="s">
        <v>1604</v>
      </c>
      <c r="C87" s="102"/>
      <c r="E87" s="87">
        <v>-600</v>
      </c>
      <c r="F87" s="87">
        <v>0</v>
      </c>
      <c r="K87" s="75"/>
      <c r="L87" s="75"/>
      <c r="M87" s="75"/>
      <c r="N87" s="75"/>
    </row>
    <row r="88" spans="1:14" s="87" customFormat="1">
      <c r="A88" s="96">
        <v>45880</v>
      </c>
      <c r="B88" s="103" t="s">
        <v>1930</v>
      </c>
      <c r="C88" s="102"/>
      <c r="E88" s="87">
        <v>-13717.46</v>
      </c>
      <c r="F88" s="87">
        <v>0</v>
      </c>
      <c r="K88" s="75"/>
      <c r="L88" s="75"/>
      <c r="M88" s="75"/>
      <c r="N88" s="75"/>
    </row>
    <row r="89" spans="1:14" s="87" customFormat="1">
      <c r="A89" s="96">
        <v>45882</v>
      </c>
      <c r="B89" s="103" t="s">
        <v>1604</v>
      </c>
      <c r="C89" s="102"/>
      <c r="E89" s="87">
        <v>-250</v>
      </c>
      <c r="F89" s="87">
        <v>0</v>
      </c>
      <c r="K89" s="75"/>
      <c r="L89" s="75"/>
      <c r="M89" s="75"/>
      <c r="N89" s="75"/>
    </row>
    <row r="90" spans="1:14" s="87" customFormat="1">
      <c r="A90" s="96">
        <v>45883</v>
      </c>
      <c r="B90" s="103" t="s">
        <v>1931</v>
      </c>
      <c r="C90" s="102"/>
      <c r="E90" s="87">
        <v>-400</v>
      </c>
      <c r="F90" s="87">
        <v>0</v>
      </c>
      <c r="K90" s="75"/>
      <c r="L90" s="75"/>
      <c r="M90" s="75"/>
      <c r="N90" s="75"/>
    </row>
    <row r="91" spans="1:14" s="87" customFormat="1">
      <c r="A91" s="96">
        <v>45884</v>
      </c>
      <c r="B91" s="103" t="s">
        <v>1902</v>
      </c>
      <c r="C91" s="102"/>
      <c r="E91" s="87">
        <v>-300</v>
      </c>
      <c r="F91" s="87">
        <v>0</v>
      </c>
      <c r="K91" s="75"/>
      <c r="L91" s="75"/>
      <c r="M91" s="75"/>
      <c r="N91" s="75"/>
    </row>
    <row r="92" spans="1:14" s="87" customFormat="1">
      <c r="A92" s="96">
        <v>45884</v>
      </c>
      <c r="B92" s="103" t="s">
        <v>1932</v>
      </c>
      <c r="C92" s="102"/>
      <c r="E92" s="87">
        <v>-350.9</v>
      </c>
      <c r="F92" s="87">
        <v>0</v>
      </c>
      <c r="K92" s="75"/>
      <c r="L92" s="75"/>
      <c r="M92" s="75"/>
      <c r="N92" s="75"/>
    </row>
    <row r="93" spans="1:14" s="87" customFormat="1">
      <c r="A93" s="96"/>
      <c r="B93" s="103" t="s">
        <v>119</v>
      </c>
      <c r="C93" s="102"/>
      <c r="E93" s="87">
        <v>-174.95</v>
      </c>
      <c r="F93" s="87">
        <v>0</v>
      </c>
      <c r="K93" s="75"/>
      <c r="L93" s="75"/>
      <c r="M93" s="75"/>
      <c r="N93" s="75"/>
    </row>
    <row r="94" spans="1:14" s="87" customFormat="1">
      <c r="A94" s="96"/>
      <c r="B94" s="103" t="s">
        <v>119</v>
      </c>
      <c r="C94" s="102"/>
      <c r="E94" s="87">
        <v>-63.29</v>
      </c>
      <c r="F94" s="87">
        <v>0</v>
      </c>
      <c r="K94" s="75"/>
      <c r="L94" s="75"/>
      <c r="M94" s="75"/>
      <c r="N94" s="75"/>
    </row>
    <row r="95" spans="1:14" s="87" customFormat="1">
      <c r="A95" s="96"/>
      <c r="B95" s="103" t="s">
        <v>1933</v>
      </c>
      <c r="C95" s="102"/>
      <c r="E95" s="87">
        <v>-890</v>
      </c>
      <c r="F95" s="87">
        <v>0</v>
      </c>
      <c r="K95" s="75"/>
      <c r="L95" s="75"/>
      <c r="M95" s="75"/>
      <c r="N95" s="75"/>
    </row>
    <row r="96" spans="1:14" s="87" customFormat="1">
      <c r="A96" s="96"/>
      <c r="B96" s="103" t="s">
        <v>119</v>
      </c>
      <c r="C96" s="102"/>
      <c r="E96" s="87">
        <v>-235.93</v>
      </c>
      <c r="F96" s="87">
        <v>0</v>
      </c>
      <c r="K96" s="75"/>
      <c r="L96" s="75"/>
      <c r="M96" s="75"/>
      <c r="N96" s="75"/>
    </row>
    <row r="97" spans="1:14" s="87" customFormat="1">
      <c r="A97" s="96">
        <v>45885</v>
      </c>
      <c r="B97" s="103" t="s">
        <v>1934</v>
      </c>
      <c r="C97" s="102"/>
      <c r="E97" s="87">
        <v>-1975.3</v>
      </c>
      <c r="F97" s="87">
        <v>0</v>
      </c>
      <c r="K97" s="75"/>
      <c r="L97" s="75"/>
      <c r="M97" s="75"/>
      <c r="N97" s="75"/>
    </row>
    <row r="98" spans="1:14" s="87" customFormat="1">
      <c r="A98" s="96"/>
      <c r="B98" s="103" t="s">
        <v>1936</v>
      </c>
      <c r="C98" s="102"/>
      <c r="E98" s="87">
        <v>-235.99</v>
      </c>
      <c r="F98" s="87">
        <v>0</v>
      </c>
      <c r="K98" s="75"/>
      <c r="L98" s="75"/>
      <c r="M98" s="75"/>
      <c r="N98" s="75"/>
    </row>
    <row r="99" spans="1:14" s="87" customFormat="1">
      <c r="A99" s="96"/>
      <c r="B99" s="103" t="s">
        <v>1935</v>
      </c>
      <c r="C99" s="102"/>
      <c r="E99" s="87">
        <v>-239.8</v>
      </c>
      <c r="F99" s="87">
        <v>0</v>
      </c>
      <c r="K99" s="75"/>
      <c r="L99" s="75"/>
      <c r="M99" s="75"/>
      <c r="N99" s="75"/>
    </row>
    <row r="100" spans="1:14" s="87" customFormat="1">
      <c r="A100" s="96"/>
      <c r="B100" s="103" t="s">
        <v>1937</v>
      </c>
      <c r="C100" s="102"/>
      <c r="E100" s="87">
        <v>-156.5</v>
      </c>
      <c r="F100" s="87">
        <v>0</v>
      </c>
      <c r="K100" s="75"/>
      <c r="L100" s="75"/>
      <c r="M100" s="75"/>
      <c r="N100" s="75"/>
    </row>
    <row r="101" spans="1:14" s="87" customFormat="1">
      <c r="A101" s="96">
        <v>45886</v>
      </c>
      <c r="B101" s="103" t="s">
        <v>1938</v>
      </c>
      <c r="C101" s="102"/>
      <c r="E101" s="87">
        <v>-725</v>
      </c>
      <c r="F101" s="87">
        <v>0</v>
      </c>
      <c r="K101" s="75"/>
      <c r="L101" s="75"/>
      <c r="M101" s="75"/>
      <c r="N101" s="75"/>
    </row>
    <row r="102" spans="1:14" s="87" customFormat="1">
      <c r="A102" s="96">
        <v>45888</v>
      </c>
      <c r="B102" s="103" t="s">
        <v>1939</v>
      </c>
      <c r="C102" s="102"/>
      <c r="E102" s="87">
        <v>-40</v>
      </c>
      <c r="F102" s="87">
        <v>0</v>
      </c>
      <c r="K102" s="75"/>
      <c r="L102" s="75"/>
      <c r="M102" s="75"/>
      <c r="N102" s="75"/>
    </row>
    <row r="103" spans="1:14" s="87" customFormat="1">
      <c r="A103" s="96"/>
      <c r="B103" s="103" t="s">
        <v>1940</v>
      </c>
      <c r="C103" s="102"/>
      <c r="E103" s="87">
        <v>-560</v>
      </c>
      <c r="F103" s="87">
        <v>0</v>
      </c>
      <c r="K103" s="75"/>
      <c r="L103" s="75"/>
      <c r="M103" s="75"/>
      <c r="N103" s="75"/>
    </row>
    <row r="104" spans="1:14" s="87" customFormat="1">
      <c r="A104" s="96"/>
      <c r="B104" s="103" t="s">
        <v>1939</v>
      </c>
      <c r="C104" s="102"/>
      <c r="E104" s="87">
        <v>-40</v>
      </c>
      <c r="F104" s="87">
        <v>0</v>
      </c>
      <c r="K104" s="75"/>
      <c r="L104" s="75"/>
      <c r="M104" s="75"/>
      <c r="N104" s="75"/>
    </row>
    <row r="105" spans="1:14" s="87" customFormat="1">
      <c r="A105" s="96"/>
      <c r="B105" s="103" t="s">
        <v>1941</v>
      </c>
      <c r="C105" s="102"/>
      <c r="E105" s="87">
        <v>-200</v>
      </c>
      <c r="F105" s="87">
        <v>0</v>
      </c>
      <c r="K105" s="75"/>
      <c r="L105" s="75"/>
      <c r="M105" s="75"/>
      <c r="N105" s="75"/>
    </row>
    <row r="106" spans="1:14" s="87" customFormat="1">
      <c r="A106" s="96">
        <v>45889</v>
      </c>
      <c r="B106" s="103" t="s">
        <v>1939</v>
      </c>
      <c r="C106" s="102"/>
      <c r="E106" s="87">
        <v>-40</v>
      </c>
      <c r="F106" s="87">
        <v>0</v>
      </c>
      <c r="K106" s="75"/>
      <c r="L106" s="75"/>
      <c r="M106" s="75"/>
      <c r="N106" s="75"/>
    </row>
    <row r="107" spans="1:14" s="87" customFormat="1">
      <c r="A107" s="96">
        <v>45889</v>
      </c>
      <c r="B107" s="103" t="s">
        <v>1942</v>
      </c>
      <c r="C107" s="102"/>
      <c r="E107" s="87">
        <v>-811.98</v>
      </c>
      <c r="F107" s="87">
        <v>0</v>
      </c>
      <c r="K107" s="75"/>
      <c r="L107" s="75"/>
      <c r="M107" s="75"/>
      <c r="N107" s="75"/>
    </row>
    <row r="108" spans="1:14" s="87" customFormat="1">
      <c r="A108" s="96"/>
      <c r="B108" s="103" t="s">
        <v>1939</v>
      </c>
      <c r="C108" s="102"/>
      <c r="E108" s="87">
        <v>-40</v>
      </c>
      <c r="F108" s="87">
        <v>0</v>
      </c>
      <c r="K108" s="75"/>
      <c r="L108" s="75"/>
      <c r="M108" s="75"/>
      <c r="N108" s="75"/>
    </row>
    <row r="109" spans="1:14" s="87" customFormat="1">
      <c r="A109" s="96">
        <v>45890</v>
      </c>
      <c r="B109" s="103" t="s">
        <v>1943</v>
      </c>
      <c r="C109" s="102"/>
      <c r="E109" s="87">
        <v>-40</v>
      </c>
      <c r="F109" s="87">
        <v>0</v>
      </c>
      <c r="K109" s="75"/>
      <c r="L109" s="75"/>
      <c r="M109" s="75"/>
      <c r="N109" s="75"/>
    </row>
    <row r="110" spans="1:14" s="87" customFormat="1">
      <c r="A110" s="96"/>
      <c r="B110" s="103" t="s">
        <v>119</v>
      </c>
      <c r="C110" s="102"/>
      <c r="E110" s="87">
        <v>-250.92</v>
      </c>
      <c r="F110" s="87">
        <v>0</v>
      </c>
      <c r="K110" s="75"/>
      <c r="L110" s="75"/>
      <c r="M110" s="75"/>
      <c r="N110" s="75"/>
    </row>
    <row r="111" spans="1:14" s="87" customFormat="1">
      <c r="A111" s="96">
        <v>45891</v>
      </c>
      <c r="B111" s="103" t="s">
        <v>1604</v>
      </c>
      <c r="C111" s="102"/>
      <c r="E111" s="87">
        <v>-250</v>
      </c>
      <c r="F111" s="87">
        <v>0</v>
      </c>
      <c r="K111" s="75"/>
      <c r="L111" s="75"/>
      <c r="M111" s="75"/>
      <c r="N111" s="75"/>
    </row>
    <row r="112" spans="1:14" s="87" customFormat="1">
      <c r="A112" s="96"/>
      <c r="B112" s="103" t="s">
        <v>1944</v>
      </c>
      <c r="C112" s="102"/>
      <c r="E112" s="87">
        <v>-500</v>
      </c>
      <c r="F112" s="87">
        <v>0</v>
      </c>
      <c r="K112" s="75"/>
      <c r="L112" s="75"/>
      <c r="M112" s="75"/>
      <c r="N112" s="75"/>
    </row>
    <row r="113" spans="1:14" s="87" customFormat="1">
      <c r="A113" s="96"/>
      <c r="B113" s="103" t="s">
        <v>119</v>
      </c>
      <c r="C113" s="102"/>
      <c r="E113" s="87">
        <v>-154.55000000000001</v>
      </c>
      <c r="F113" s="87">
        <v>0</v>
      </c>
      <c r="K113" s="75"/>
      <c r="L113" s="75"/>
      <c r="M113" s="75"/>
      <c r="N113" s="75"/>
    </row>
    <row r="114" spans="1:14" s="87" customFormat="1">
      <c r="A114" s="96"/>
      <c r="B114" s="103" t="s">
        <v>119</v>
      </c>
      <c r="C114" s="102"/>
      <c r="E114" s="87">
        <v>-197.99</v>
      </c>
      <c r="F114" s="87">
        <v>0</v>
      </c>
      <c r="K114" s="75"/>
      <c r="L114" s="75"/>
      <c r="M114" s="75"/>
      <c r="N114" s="75"/>
    </row>
    <row r="115" spans="1:14" s="87" customFormat="1">
      <c r="K115" s="75"/>
      <c r="L115" s="75"/>
      <c r="M115" s="75"/>
      <c r="N115" s="75"/>
    </row>
    <row r="116" spans="1:14" s="87" customFormat="1" ht="15">
      <c r="A116" s="96"/>
      <c r="B116" s="103"/>
      <c r="C116" s="102"/>
      <c r="E116" s="101" t="s">
        <v>76</v>
      </c>
      <c r="K116" s="75"/>
      <c r="L116" s="75"/>
      <c r="M116" s="75"/>
      <c r="N116" s="75"/>
    </row>
    <row r="117" spans="1:14" s="87" customFormat="1">
      <c r="A117" s="96"/>
      <c r="B117" s="103"/>
      <c r="C117" s="102"/>
      <c r="K117" s="75"/>
      <c r="L117" s="75"/>
      <c r="M117" s="75"/>
      <c r="N117" s="75"/>
    </row>
    <row r="118" spans="1:14" s="87" customFormat="1">
      <c r="A118" s="96"/>
      <c r="B118" s="103"/>
      <c r="C118" s="102"/>
      <c r="K118" s="75"/>
      <c r="L118" s="75"/>
      <c r="M118" s="75"/>
      <c r="N118" s="75"/>
    </row>
    <row r="119" spans="1:14" s="87" customFormat="1">
      <c r="A119" s="96"/>
      <c r="B119" s="103"/>
      <c r="C119" s="102"/>
      <c r="K119" s="75"/>
      <c r="L119" s="75"/>
      <c r="M119" s="75"/>
      <c r="N119" s="75"/>
    </row>
    <row r="120" spans="1:14" s="74" customFormat="1">
      <c r="A120" s="96"/>
      <c r="B120" s="3"/>
      <c r="K120" s="75"/>
      <c r="L120" s="75"/>
      <c r="M120" s="75"/>
      <c r="N120" s="75"/>
    </row>
    <row r="121" spans="1:14" s="74" customFormat="1">
      <c r="A121" s="96"/>
      <c r="B121" s="102"/>
      <c r="C121" s="102"/>
      <c r="K121" s="75"/>
      <c r="L121" s="75"/>
      <c r="M121" s="75"/>
      <c r="N121" s="75"/>
    </row>
    <row r="122" spans="1:14" s="74" customFormat="1">
      <c r="A122" s="99"/>
      <c r="B122" s="100" t="s">
        <v>77</v>
      </c>
      <c r="C122" s="99"/>
      <c r="E122" s="74">
        <f>SUM(E123:E138)</f>
        <v>-625</v>
      </c>
      <c r="K122" s="75"/>
      <c r="L122" s="75"/>
      <c r="M122" s="75"/>
      <c r="N122" s="75"/>
    </row>
    <row r="123" spans="1:14" s="74" customFormat="1">
      <c r="A123" s="96"/>
      <c r="B123" s="102"/>
      <c r="C123" s="102"/>
      <c r="K123" s="75"/>
      <c r="L123" s="75"/>
      <c r="M123" s="75"/>
      <c r="N123" s="75"/>
    </row>
    <row r="124" spans="1:14" s="74" customFormat="1">
      <c r="A124" s="94">
        <v>45728</v>
      </c>
      <c r="B124" s="87" t="s">
        <v>1678</v>
      </c>
      <c r="C124" s="11"/>
      <c r="D124" s="87" t="s">
        <v>1710</v>
      </c>
      <c r="E124" s="87">
        <v>-625</v>
      </c>
      <c r="F124" s="74">
        <v>99.26</v>
      </c>
      <c r="K124" s="75"/>
      <c r="L124" s="75"/>
      <c r="M124" s="75"/>
      <c r="N124" s="75"/>
    </row>
    <row r="125" spans="1:14" s="74" customFormat="1" ht="15">
      <c r="A125" s="96"/>
      <c r="B125" s="3"/>
      <c r="C125" s="102"/>
      <c r="E125" s="101" t="s">
        <v>76</v>
      </c>
      <c r="F125" s="74">
        <f>E124+F124</f>
        <v>-525.74</v>
      </c>
      <c r="K125" s="75"/>
      <c r="L125" s="75"/>
      <c r="M125" s="75"/>
      <c r="N125" s="75"/>
    </row>
    <row r="126" spans="1:14" s="74" customFormat="1">
      <c r="A126" s="96"/>
      <c r="B126" s="3"/>
      <c r="C126" s="102"/>
      <c r="K126" s="75"/>
      <c r="L126" s="75"/>
      <c r="M126" s="75"/>
      <c r="N126" s="75"/>
    </row>
    <row r="127" spans="1:14" s="74" customFormat="1">
      <c r="A127" s="96"/>
      <c r="B127" s="3"/>
      <c r="C127" s="102"/>
      <c r="K127" s="75"/>
      <c r="L127" s="75"/>
      <c r="M127" s="75"/>
      <c r="N127" s="75"/>
    </row>
    <row r="128" spans="1:14" s="74" customFormat="1">
      <c r="A128" s="96"/>
      <c r="B128" s="3"/>
      <c r="C128" s="102"/>
      <c r="K128" s="75"/>
      <c r="L128" s="75"/>
      <c r="M128" s="75"/>
      <c r="N128" s="75"/>
    </row>
    <row r="129" spans="1:14" s="74" customFormat="1">
      <c r="A129" s="96"/>
      <c r="B129" s="3"/>
      <c r="C129" s="102"/>
      <c r="K129" s="75"/>
      <c r="L129" s="75"/>
      <c r="M129" s="75"/>
      <c r="N129" s="75"/>
    </row>
    <row r="130" spans="1:14" s="74" customFormat="1">
      <c r="A130" s="96"/>
      <c r="B130" s="3"/>
      <c r="C130" s="102"/>
      <c r="K130" s="75"/>
      <c r="L130" s="75"/>
      <c r="M130" s="75"/>
      <c r="N130" s="75"/>
    </row>
    <row r="131" spans="1:14" s="74" customFormat="1">
      <c r="A131" s="96"/>
      <c r="B131" s="3"/>
      <c r="C131" s="102"/>
      <c r="K131" s="75"/>
      <c r="L131" s="75"/>
      <c r="M131" s="75"/>
      <c r="N131" s="75"/>
    </row>
    <row r="132" spans="1:14" s="74" customFormat="1">
      <c r="A132" s="96"/>
      <c r="B132" s="3"/>
      <c r="C132" s="102"/>
      <c r="K132" s="75"/>
      <c r="L132" s="75"/>
      <c r="M132" s="75"/>
      <c r="N132" s="75"/>
    </row>
    <row r="133" spans="1:14" s="74" customFormat="1">
      <c r="A133" s="96"/>
      <c r="B133" s="3"/>
      <c r="C133" s="102"/>
      <c r="K133" s="75"/>
      <c r="L133" s="75"/>
      <c r="M133" s="75"/>
      <c r="N133" s="75"/>
    </row>
    <row r="134" spans="1:14" s="74" customFormat="1">
      <c r="A134" s="555" t="s">
        <v>1986</v>
      </c>
      <c r="B134" s="100" t="s">
        <v>128</v>
      </c>
      <c r="C134" s="99">
        <v>2025</v>
      </c>
      <c r="D134" s="87"/>
      <c r="E134" s="87"/>
      <c r="F134" s="87"/>
      <c r="G134" s="87">
        <f>SUM(G138:G159)</f>
        <v>505732</v>
      </c>
      <c r="H134" s="87"/>
      <c r="I134" s="87"/>
      <c r="J134" s="542"/>
      <c r="K134" s="75"/>
      <c r="L134" s="75"/>
      <c r="M134" s="75"/>
      <c r="N134" s="75"/>
    </row>
    <row r="135" spans="1:14" s="74" customFormat="1">
      <c r="A135" s="555"/>
      <c r="B135" s="100"/>
      <c r="C135" s="99"/>
      <c r="D135" s="87"/>
      <c r="E135" s="87"/>
      <c r="F135" s="87"/>
      <c r="G135" s="87"/>
      <c r="H135" s="87"/>
      <c r="I135" s="87"/>
      <c r="J135" s="542"/>
      <c r="K135" s="75"/>
      <c r="L135" s="75"/>
      <c r="M135" s="75"/>
      <c r="N135" s="75"/>
    </row>
    <row r="136" spans="1:14" s="74" customFormat="1">
      <c r="A136" s="555"/>
      <c r="B136" s="100"/>
      <c r="C136" s="99"/>
      <c r="D136" s="87"/>
      <c r="E136" s="87" t="s">
        <v>129</v>
      </c>
      <c r="F136" s="87"/>
      <c r="G136" s="87"/>
      <c r="H136" s="87"/>
      <c r="I136" s="87"/>
      <c r="J136" s="542"/>
      <c r="K136" s="75"/>
      <c r="L136" s="75"/>
      <c r="M136" s="75"/>
      <c r="N136" s="75"/>
    </row>
    <row r="137" spans="1:14" s="74" customFormat="1">
      <c r="A137" s="94"/>
      <c r="B137" s="87"/>
      <c r="C137" s="87"/>
      <c r="D137" s="87"/>
      <c r="E137" s="87"/>
      <c r="F137" s="87"/>
      <c r="G137" s="87"/>
      <c r="H137" s="87"/>
      <c r="I137" s="87"/>
      <c r="J137" s="542"/>
      <c r="K137" s="75"/>
      <c r="L137" s="75"/>
      <c r="M137" s="75"/>
      <c r="N137" s="75"/>
    </row>
    <row r="138" spans="1:14" s="74" customFormat="1">
      <c r="A138" s="556">
        <v>45929</v>
      </c>
      <c r="B138" s="87" t="s">
        <v>131</v>
      </c>
      <c r="C138" s="12"/>
      <c r="D138" s="12"/>
      <c r="E138" s="87"/>
      <c r="F138" s="87"/>
      <c r="G138" s="14">
        <v>50147</v>
      </c>
      <c r="H138" s="87"/>
      <c r="I138" s="87"/>
      <c r="J138" s="542"/>
      <c r="K138" s="75"/>
      <c r="L138" s="75"/>
      <c r="M138" s="75"/>
      <c r="N138" s="75"/>
    </row>
    <row r="139" spans="1:14" s="74" customFormat="1">
      <c r="A139" s="556"/>
      <c r="B139" s="87"/>
      <c r="C139" s="12"/>
      <c r="D139" s="12"/>
      <c r="E139" s="87"/>
      <c r="F139" s="87"/>
      <c r="G139" s="14"/>
      <c r="H139" s="87"/>
      <c r="I139" s="87"/>
      <c r="J139" s="542"/>
      <c r="K139" s="75"/>
      <c r="L139" s="75"/>
      <c r="M139" s="75"/>
      <c r="N139" s="75"/>
    </row>
    <row r="140" spans="1:14" s="74" customFormat="1">
      <c r="A140" s="94"/>
      <c r="B140" s="87"/>
      <c r="C140" s="12"/>
      <c r="D140" s="12"/>
      <c r="E140" s="87"/>
      <c r="F140" s="87"/>
      <c r="G140" s="14"/>
      <c r="H140" s="87" t="s">
        <v>1954</v>
      </c>
      <c r="I140" s="11"/>
      <c r="J140" s="542"/>
      <c r="K140" s="75"/>
      <c r="L140" s="75"/>
      <c r="M140" s="75"/>
      <c r="N140" s="75"/>
    </row>
    <row r="141" spans="1:14">
      <c r="A141" s="94">
        <v>45659</v>
      </c>
      <c r="B141" s="79" t="s">
        <v>1594</v>
      </c>
      <c r="C141" s="110">
        <v>2400</v>
      </c>
      <c r="D141" s="111">
        <v>30.86</v>
      </c>
      <c r="E141" s="112">
        <f t="shared" ref="E141:E142" si="1">D141*C141</f>
        <v>74064</v>
      </c>
      <c r="F141" s="87">
        <v>64</v>
      </c>
      <c r="G141" s="14">
        <f t="shared" ref="G141:G142" si="2">F141*C141</f>
        <v>153600</v>
      </c>
      <c r="H141" s="87">
        <f>G141-E141</f>
        <v>79536</v>
      </c>
      <c r="I141" s="407">
        <f>SUM(G141:G141)</f>
        <v>153600</v>
      </c>
      <c r="J141" s="11"/>
    </row>
    <row r="142" spans="1:14" ht="13.5" thickBot="1">
      <c r="A142" s="94">
        <v>45659</v>
      </c>
      <c r="B142" s="79" t="s">
        <v>1594</v>
      </c>
      <c r="C142" s="110">
        <v>1100</v>
      </c>
      <c r="D142" s="111">
        <v>30.86</v>
      </c>
      <c r="E142" s="112">
        <f t="shared" si="1"/>
        <v>33946</v>
      </c>
      <c r="F142" s="87">
        <v>64</v>
      </c>
      <c r="G142" s="14">
        <f t="shared" si="2"/>
        <v>70400</v>
      </c>
      <c r="H142" s="87">
        <f>G142-E142</f>
        <v>36454</v>
      </c>
      <c r="I142" s="407">
        <f>SUM(G142:G142)</f>
        <v>70400</v>
      </c>
      <c r="J142" s="11"/>
    </row>
    <row r="143" spans="1:14" ht="13.5" thickBot="1">
      <c r="A143" s="94"/>
      <c r="B143" s="87"/>
      <c r="C143" s="12"/>
      <c r="D143" s="12"/>
      <c r="E143" s="87">
        <f>SUM(E141:E142)</f>
        <v>108010</v>
      </c>
      <c r="F143" s="87"/>
      <c r="H143" s="113">
        <f>SUM(H141:H142)</f>
        <v>115990</v>
      </c>
      <c r="I143" s="568">
        <f>(SUM(G141:G142))-(SUM(E141:E142))</f>
        <v>115990</v>
      </c>
      <c r="J143" s="640">
        <f>SUM(G141:G142)</f>
        <v>224000</v>
      </c>
    </row>
    <row r="144" spans="1:14">
      <c r="A144" s="94"/>
      <c r="B144" s="87"/>
      <c r="C144" s="12"/>
      <c r="D144" s="12"/>
      <c r="E144" s="87"/>
      <c r="F144" s="87"/>
      <c r="G144" s="87"/>
      <c r="H144" s="87"/>
      <c r="I144" s="87"/>
      <c r="J144" s="11"/>
    </row>
    <row r="145" spans="1:10">
      <c r="A145" s="94">
        <v>45345</v>
      </c>
      <c r="B145" s="79" t="s">
        <v>135</v>
      </c>
      <c r="C145" s="114">
        <v>35000</v>
      </c>
      <c r="D145" s="391">
        <v>1.064435</v>
      </c>
      <c r="E145" s="112">
        <f>D145*C145</f>
        <v>37255.224999999999</v>
      </c>
      <c r="F145" s="392">
        <v>1.0569999999999999</v>
      </c>
      <c r="G145" s="14">
        <f>F145*C145</f>
        <v>36995</v>
      </c>
      <c r="H145" s="87">
        <f>G145-E145</f>
        <v>-260.22499999999854</v>
      </c>
      <c r="I145" s="87"/>
      <c r="J145" s="11"/>
    </row>
    <row r="146" spans="1:10">
      <c r="A146" s="557"/>
      <c r="B146" s="434"/>
      <c r="C146" s="565"/>
      <c r="D146" s="566"/>
      <c r="E146" s="437"/>
      <c r="F146" s="461"/>
      <c r="G146" s="14"/>
      <c r="H146" s="87"/>
      <c r="I146" s="87"/>
      <c r="J146" s="11"/>
    </row>
    <row r="147" spans="1:10">
      <c r="A147" s="94">
        <v>45400</v>
      </c>
      <c r="B147" s="79" t="s">
        <v>136</v>
      </c>
      <c r="C147" s="110">
        <v>10</v>
      </c>
      <c r="D147" s="80">
        <v>135</v>
      </c>
      <c r="E147" s="112">
        <f>D147*C147</f>
        <v>1350</v>
      </c>
      <c r="F147" s="87">
        <v>149</v>
      </c>
      <c r="G147" s="14">
        <f>F147*C147</f>
        <v>1490</v>
      </c>
      <c r="H147" s="87">
        <f>G147-E147</f>
        <v>140</v>
      </c>
      <c r="I147" s="87"/>
      <c r="J147" s="11"/>
    </row>
    <row r="148" spans="1:10">
      <c r="A148" s="94">
        <v>45418</v>
      </c>
      <c r="B148" s="79" t="s">
        <v>137</v>
      </c>
      <c r="C148" s="110">
        <v>38</v>
      </c>
      <c r="D148" s="80">
        <v>30.5</v>
      </c>
      <c r="E148" s="112">
        <f>D148*C148</f>
        <v>1159</v>
      </c>
      <c r="F148" s="87">
        <v>20</v>
      </c>
      <c r="G148" s="14">
        <f>F148*C148</f>
        <v>760</v>
      </c>
      <c r="H148" s="87">
        <f>G148-E148</f>
        <v>-399</v>
      </c>
      <c r="I148" s="87"/>
      <c r="J148" s="11"/>
    </row>
    <row r="149" spans="1:10" ht="13.5" thickBot="1">
      <c r="A149" s="94">
        <v>45418</v>
      </c>
      <c r="B149" s="79" t="s">
        <v>138</v>
      </c>
      <c r="C149" s="110">
        <v>26</v>
      </c>
      <c r="D149" s="80">
        <v>37.115000000000002</v>
      </c>
      <c r="E149" s="112">
        <f>D149*C149</f>
        <v>964.99</v>
      </c>
      <c r="F149" s="87">
        <v>30</v>
      </c>
      <c r="G149" s="14">
        <f>F149*C149</f>
        <v>780</v>
      </c>
      <c r="H149" s="87">
        <f>G149-E149</f>
        <v>-184.99</v>
      </c>
      <c r="I149" s="407">
        <f>SUM(G145:G149)</f>
        <v>40025</v>
      </c>
      <c r="J149" s="11"/>
    </row>
    <row r="150" spans="1:10" ht="13.5" thickBot="1">
      <c r="A150" s="94"/>
      <c r="B150" s="87"/>
      <c r="C150" s="12"/>
      <c r="D150" s="12"/>
      <c r="E150" s="87">
        <f>SUM(E145:E149)</f>
        <v>40729.214999999997</v>
      </c>
      <c r="F150" s="87"/>
      <c r="H150" s="87">
        <f>J150-E150</f>
        <v>-704.21499999999651</v>
      </c>
      <c r="I150" s="568">
        <f>(SUM(G145:G149))-(SUM(E145:E149))</f>
        <v>-704.21499999999651</v>
      </c>
      <c r="J150" s="640">
        <f>SUM(G145:G149)</f>
        <v>40025</v>
      </c>
    </row>
    <row r="151" spans="1:10">
      <c r="A151" s="94"/>
      <c r="B151" s="87"/>
      <c r="C151" s="87"/>
      <c r="D151" s="87"/>
      <c r="E151" s="14"/>
      <c r="F151" s="87"/>
      <c r="G151" s="87"/>
      <c r="H151" s="87"/>
      <c r="I151" s="87"/>
      <c r="J151" s="11"/>
    </row>
    <row r="152" spans="1:10">
      <c r="A152" s="94">
        <v>45509</v>
      </c>
      <c r="B152" s="79" t="s">
        <v>1722</v>
      </c>
      <c r="C152" s="110">
        <v>1</v>
      </c>
      <c r="D152" s="80">
        <v>2500</v>
      </c>
      <c r="E152" s="112">
        <f>D152*C152</f>
        <v>2500</v>
      </c>
      <c r="F152" s="87">
        <v>5100</v>
      </c>
      <c r="G152" s="14">
        <f>C152*F152</f>
        <v>5100</v>
      </c>
      <c r="H152" s="87">
        <f>G152-E152</f>
        <v>2600</v>
      </c>
      <c r="I152" s="87"/>
      <c r="J152" s="11"/>
    </row>
    <row r="153" spans="1:10">
      <c r="A153" s="94">
        <v>45509</v>
      </c>
      <c r="B153" s="79" t="s">
        <v>140</v>
      </c>
      <c r="C153" s="110">
        <v>16</v>
      </c>
      <c r="D153" s="80">
        <v>4100</v>
      </c>
      <c r="E153" s="112">
        <f>D153*C153</f>
        <v>65600</v>
      </c>
      <c r="F153" s="87">
        <f>F152*1.73</f>
        <v>8823</v>
      </c>
      <c r="G153" s="14">
        <f>C153*F153</f>
        <v>141168</v>
      </c>
      <c r="H153" s="87">
        <f>G153-E153</f>
        <v>75568</v>
      </c>
      <c r="I153" s="87"/>
      <c r="J153" s="11"/>
    </row>
    <row r="154" spans="1:10" ht="13.5" thickBot="1">
      <c r="A154" s="94">
        <v>45509</v>
      </c>
      <c r="B154" s="79" t="s">
        <v>141</v>
      </c>
      <c r="C154" s="110">
        <v>1</v>
      </c>
      <c r="D154" s="80">
        <v>16200</v>
      </c>
      <c r="E154" s="112">
        <f>D154*C154</f>
        <v>16200</v>
      </c>
      <c r="F154" s="87">
        <f>F153*4</f>
        <v>35292</v>
      </c>
      <c r="G154" s="14">
        <f>C154*F154</f>
        <v>35292</v>
      </c>
      <c r="H154" s="87">
        <f>G154-E154</f>
        <v>19092</v>
      </c>
      <c r="I154" s="407">
        <f>SUM(G152:G154)</f>
        <v>181560</v>
      </c>
      <c r="J154" s="11"/>
    </row>
    <row r="155" spans="1:10" ht="13.5" thickBot="1">
      <c r="A155" s="94"/>
      <c r="B155" s="87"/>
      <c r="C155" s="12"/>
      <c r="D155" s="12"/>
      <c r="E155" s="87">
        <f>SUM(E152:E154)</f>
        <v>84300</v>
      </c>
      <c r="F155" s="87"/>
      <c r="H155" s="87"/>
      <c r="I155" s="568">
        <f>(SUM(G152:G154))-(SUM(E152:E154))</f>
        <v>97260</v>
      </c>
      <c r="J155" s="640">
        <f>SUM(G149:G154)</f>
        <v>182340</v>
      </c>
    </row>
    <row r="156" spans="1:10">
      <c r="A156" s="94"/>
      <c r="B156" s="87" t="s">
        <v>142</v>
      </c>
      <c r="C156" s="116">
        <v>33.250599999999999</v>
      </c>
      <c r="D156" s="12"/>
      <c r="E156" s="87"/>
      <c r="F156" s="87"/>
      <c r="G156" s="14"/>
      <c r="H156" s="87"/>
      <c r="I156" s="87"/>
      <c r="J156" s="542"/>
    </row>
    <row r="157" spans="1:10">
      <c r="A157" s="94"/>
      <c r="B157" s="87" t="s">
        <v>143</v>
      </c>
      <c r="C157" s="116">
        <v>36.854999999999997</v>
      </c>
      <c r="D157" s="12"/>
      <c r="E157" s="87"/>
      <c r="F157" s="87"/>
      <c r="G157" s="14"/>
      <c r="H157" s="87"/>
      <c r="I157" s="87"/>
      <c r="J157" s="542"/>
    </row>
    <row r="158" spans="1:10">
      <c r="A158" s="94"/>
      <c r="B158" s="87" t="s">
        <v>144</v>
      </c>
      <c r="C158" s="12"/>
      <c r="D158" s="12"/>
      <c r="E158" s="87"/>
      <c r="F158" s="87"/>
      <c r="G158" s="14">
        <v>0</v>
      </c>
      <c r="H158" s="87"/>
      <c r="I158" s="87"/>
      <c r="J158" s="542"/>
    </row>
    <row r="159" spans="1:10" ht="13.5" thickBot="1">
      <c r="A159" s="94"/>
      <c r="B159" s="87" t="s">
        <v>145</v>
      </c>
      <c r="C159" s="12"/>
      <c r="D159" s="12"/>
      <c r="E159" s="87"/>
      <c r="F159" s="87"/>
      <c r="G159" s="14">
        <v>10000</v>
      </c>
      <c r="H159" s="87"/>
      <c r="I159" s="87"/>
      <c r="J159" s="542"/>
    </row>
    <row r="160" spans="1:10" ht="13.5" thickBot="1">
      <c r="A160" s="94"/>
      <c r="B160" s="87"/>
      <c r="C160" s="87"/>
      <c r="D160" s="87"/>
      <c r="E160" s="117"/>
      <c r="F160" s="118"/>
      <c r="G160" s="119" t="s">
        <v>146</v>
      </c>
      <c r="H160" s="569">
        <f>I155+I150+I143</f>
        <v>212545.785</v>
      </c>
      <c r="I160" s="87"/>
      <c r="J160" s="542"/>
    </row>
    <row r="161" spans="1:10" ht="13.5" thickBot="1">
      <c r="A161" s="94"/>
      <c r="B161" s="87"/>
      <c r="C161" s="120"/>
      <c r="D161" s="89"/>
      <c r="E161" s="87"/>
      <c r="F161" s="87"/>
      <c r="G161" s="120"/>
      <c r="H161" s="87"/>
      <c r="I161" s="87"/>
      <c r="J161" s="542"/>
    </row>
    <row r="162" spans="1:10" ht="13.5" thickBot="1">
      <c r="A162" s="94"/>
      <c r="B162" s="87"/>
      <c r="C162" s="120"/>
      <c r="D162" s="15" t="s">
        <v>147</v>
      </c>
      <c r="E162" s="87"/>
      <c r="F162" s="87"/>
      <c r="G162" s="470">
        <f>SUM(G138:G159)</f>
        <v>505732</v>
      </c>
      <c r="H162" s="87"/>
      <c r="I162" s="87"/>
      <c r="J162" s="542"/>
    </row>
    <row r="163" spans="1:10">
      <c r="A163" s="94"/>
      <c r="B163" s="563"/>
      <c r="C163" s="564" t="str">
        <f>A134</f>
        <v>EKİM  2025 e</v>
      </c>
      <c r="D163" s="564" t="s">
        <v>148</v>
      </c>
      <c r="E163" s="87"/>
      <c r="F163" s="87"/>
      <c r="G163" s="123"/>
      <c r="H163" s="87"/>
      <c r="I163" s="87"/>
      <c r="J163" s="542"/>
    </row>
    <row r="164" spans="1:10">
      <c r="A164" s="94"/>
      <c r="B164" s="11"/>
      <c r="C164" s="426"/>
      <c r="D164" s="427"/>
      <c r="E164" s="393"/>
      <c r="F164" s="393"/>
      <c r="G164" s="397"/>
      <c r="H164" s="87"/>
      <c r="I164" s="87"/>
      <c r="J164" s="542"/>
    </row>
    <row r="165" spans="1:10">
      <c r="A165" s="418"/>
      <c r="B165" s="87" t="s">
        <v>1676</v>
      </c>
      <c r="C165" s="87"/>
      <c r="D165" s="87"/>
      <c r="E165" s="87"/>
      <c r="F165" s="87"/>
      <c r="G165" s="87"/>
      <c r="H165" s="87"/>
      <c r="I165" s="11"/>
      <c r="J165" s="542"/>
    </row>
    <row r="166" spans="1:10">
      <c r="A166" s="94">
        <v>45345</v>
      </c>
      <c r="B166" s="79" t="s">
        <v>135</v>
      </c>
      <c r="C166" s="114">
        <v>50000</v>
      </c>
      <c r="D166" s="391">
        <v>1.0032049999999999</v>
      </c>
      <c r="E166" s="112">
        <f>D166*C166</f>
        <v>50160.249999999993</v>
      </c>
      <c r="F166" s="392">
        <v>1.0055810000000001</v>
      </c>
      <c r="G166" s="14">
        <f>F166*C166</f>
        <v>50279.05</v>
      </c>
      <c r="H166" s="87">
        <f>G166-E166</f>
        <v>118.80000000001019</v>
      </c>
      <c r="I166" s="11">
        <v>41894.92</v>
      </c>
      <c r="J166" s="542"/>
    </row>
    <row r="167" spans="1:10">
      <c r="A167" s="94">
        <v>45873</v>
      </c>
      <c r="B167" s="79" t="s">
        <v>1885</v>
      </c>
      <c r="C167" s="562"/>
      <c r="D167" s="111"/>
      <c r="E167" s="112"/>
      <c r="F167" s="87"/>
      <c r="G167" s="14"/>
      <c r="H167" s="87"/>
      <c r="I167" s="11"/>
      <c r="J167" s="542"/>
    </row>
    <row r="168" spans="1:10">
      <c r="A168" s="94"/>
      <c r="B168" s="79"/>
      <c r="C168" s="114"/>
      <c r="D168" s="391"/>
      <c r="E168" s="112"/>
      <c r="F168" s="392"/>
      <c r="G168" s="14"/>
      <c r="H168" s="87"/>
      <c r="I168" s="11"/>
      <c r="J168" s="542"/>
    </row>
    <row r="169" spans="1:10" ht="13.5" thickBot="1">
      <c r="A169" s="94"/>
      <c r="B169" s="79"/>
      <c r="C169" s="110"/>
      <c r="D169" s="80"/>
      <c r="E169" s="112"/>
      <c r="F169" s="87"/>
      <c r="G169" s="14"/>
      <c r="H169" s="87"/>
      <c r="I169" s="11"/>
      <c r="J169" s="542"/>
    </row>
    <row r="170" spans="1:10">
      <c r="A170" s="557"/>
      <c r="B170" s="416"/>
      <c r="C170" s="416"/>
      <c r="D170" s="405"/>
      <c r="E170" s="405">
        <f>SUM(E166:E168)</f>
        <v>50160.249999999993</v>
      </c>
      <c r="F170" s="405"/>
      <c r="G170" s="405">
        <f>SUM(G166:G168)</f>
        <v>50279.05</v>
      </c>
      <c r="H170" s="468">
        <f>SUM(H166:H168)</f>
        <v>118.80000000001019</v>
      </c>
      <c r="I170" s="11"/>
      <c r="J170" s="542"/>
    </row>
    <row r="171" spans="1:10">
      <c r="A171" s="94"/>
      <c r="B171" s="11"/>
      <c r="C171" s="11"/>
      <c r="D171" s="87"/>
      <c r="E171" s="87"/>
      <c r="F171" s="87" t="s">
        <v>878</v>
      </c>
      <c r="G171" s="87"/>
      <c r="H171" s="87">
        <f>H170+'08_25'!H166</f>
        <v>110326.59195300008</v>
      </c>
      <c r="I171" s="11"/>
      <c r="J171" s="542"/>
    </row>
    <row r="172" spans="1:10">
      <c r="A172" s="94"/>
      <c r="B172" s="11"/>
      <c r="C172" s="11"/>
      <c r="D172" s="87"/>
      <c r="E172" s="87"/>
      <c r="F172" s="87"/>
      <c r="G172" s="87"/>
      <c r="H172" s="87"/>
      <c r="I172" s="11"/>
      <c r="J172" s="542"/>
    </row>
    <row r="173" spans="1:10">
      <c r="A173" s="94"/>
      <c r="B173" s="11"/>
      <c r="C173" s="11"/>
      <c r="D173" s="87"/>
      <c r="E173" s="87"/>
      <c r="F173" s="87"/>
      <c r="G173" s="87"/>
      <c r="H173" s="87"/>
      <c r="I173" s="11"/>
      <c r="J173" s="542"/>
    </row>
    <row r="174" spans="1:10" ht="18">
      <c r="A174" s="476" t="s">
        <v>1733</v>
      </c>
      <c r="B174" s="11"/>
      <c r="C174" s="11"/>
      <c r="D174" s="87"/>
      <c r="E174" s="87"/>
      <c r="F174" s="87"/>
      <c r="G174" s="87"/>
      <c r="H174" s="87"/>
      <c r="I174" s="11"/>
      <c r="J174" s="542"/>
    </row>
    <row r="175" spans="1:10" ht="15.75">
      <c r="A175" s="94"/>
      <c r="B175" s="464">
        <f>1-76.4616%</f>
        <v>0.23538399999999993</v>
      </c>
      <c r="C175" s="465">
        <v>0.76461599999999996</v>
      </c>
      <c r="D175" s="392"/>
      <c r="E175" s="87"/>
      <c r="F175" s="87"/>
      <c r="G175" s="87"/>
      <c r="H175" s="87"/>
      <c r="I175" s="11"/>
      <c r="J175" s="542"/>
    </row>
    <row r="176" spans="1:10" ht="15.75">
      <c r="A176" s="94"/>
      <c r="B176" s="464" t="s">
        <v>1861</v>
      </c>
      <c r="C176" s="465"/>
      <c r="D176" s="392"/>
      <c r="E176" s="87"/>
      <c r="F176" s="87"/>
      <c r="G176" s="87"/>
      <c r="H176" s="87"/>
      <c r="I176" s="11"/>
      <c r="J176" s="542"/>
    </row>
    <row r="177" spans="1:10" ht="15.75">
      <c r="A177" s="94"/>
      <c r="B177" s="464" t="s">
        <v>1734</v>
      </c>
      <c r="C177" s="465"/>
      <c r="D177" s="392"/>
      <c r="E177" s="87"/>
      <c r="F177" s="87"/>
      <c r="G177" s="87"/>
      <c r="H177" s="87"/>
      <c r="I177" s="11"/>
      <c r="J177" s="542"/>
    </row>
    <row r="178" spans="1:10" ht="15.75">
      <c r="A178" s="94"/>
      <c r="B178" s="464" t="s">
        <v>1737</v>
      </c>
      <c r="C178" s="465"/>
      <c r="D178" s="392"/>
      <c r="E178" s="87"/>
      <c r="F178" s="87"/>
      <c r="G178" s="87"/>
      <c r="H178" s="87"/>
      <c r="I178" s="11"/>
      <c r="J178" s="542"/>
    </row>
    <row r="179" spans="1:10" ht="15.75">
      <c r="A179" s="94"/>
      <c r="B179" s="464" t="s">
        <v>1736</v>
      </c>
      <c r="C179" s="465"/>
      <c r="D179" s="392"/>
      <c r="E179" s="87"/>
      <c r="F179" s="87"/>
      <c r="G179" s="87"/>
      <c r="H179" s="87"/>
      <c r="I179" s="11"/>
      <c r="J179" s="542"/>
    </row>
    <row r="180" spans="1:10" ht="15.75">
      <c r="A180" s="94"/>
      <c r="B180" s="464"/>
      <c r="C180" s="465"/>
      <c r="D180" s="392">
        <v>238</v>
      </c>
      <c r="E180" s="87">
        <v>872.26</v>
      </c>
      <c r="F180" s="87"/>
      <c r="G180" s="87"/>
      <c r="H180" s="87"/>
      <c r="I180" s="480">
        <f>E180*D180</f>
        <v>207597.88</v>
      </c>
      <c r="J180" s="542"/>
    </row>
    <row r="181" spans="1:10" ht="16.5" thickBot="1">
      <c r="A181" s="94"/>
      <c r="B181" s="464"/>
      <c r="C181" s="11" t="s">
        <v>1739</v>
      </c>
      <c r="D181" s="11" t="s">
        <v>1738</v>
      </c>
      <c r="E181" s="87" t="s">
        <v>1730</v>
      </c>
      <c r="F181" s="473">
        <v>138749.76000000001</v>
      </c>
      <c r="G181" s="11" t="s">
        <v>1731</v>
      </c>
      <c r="H181" s="87" t="s">
        <v>3</v>
      </c>
      <c r="I181" s="11"/>
      <c r="J181" s="542"/>
    </row>
    <row r="182" spans="1:10" ht="13.5" thickBot="1">
      <c r="A182" s="94"/>
      <c r="B182" s="79" t="s">
        <v>1859</v>
      </c>
      <c r="C182" s="114">
        <v>160</v>
      </c>
      <c r="D182" s="373">
        <f>C182</f>
        <v>160</v>
      </c>
      <c r="E182" s="80">
        <v>872.26</v>
      </c>
      <c r="F182" s="474">
        <f>E182*D182</f>
        <v>139561.60000000001</v>
      </c>
      <c r="G182" s="469">
        <v>962.89330700000005</v>
      </c>
      <c r="H182" s="540">
        <f>E182*C182</f>
        <v>139561.60000000001</v>
      </c>
      <c r="I182" s="528">
        <f>H182</f>
        <v>139561.60000000001</v>
      </c>
      <c r="J182" s="542"/>
    </row>
    <row r="183" spans="1:10" ht="13.5" thickBot="1">
      <c r="A183" s="94"/>
      <c r="B183" s="79" t="s">
        <v>1858</v>
      </c>
      <c r="C183" s="114">
        <v>78</v>
      </c>
      <c r="D183" s="373">
        <f>D182+C183</f>
        <v>238</v>
      </c>
      <c r="E183" s="80">
        <v>872.26</v>
      </c>
      <c r="F183" s="474">
        <f t="shared" ref="F183:F207" si="3">E183*D183</f>
        <v>207597.88</v>
      </c>
      <c r="G183" s="391">
        <f>G184</f>
        <v>962.89330700000005</v>
      </c>
      <c r="H183" s="540">
        <f>E183*C183</f>
        <v>68036.28</v>
      </c>
      <c r="I183" s="570">
        <f>I182+H183</f>
        <v>207597.88</v>
      </c>
      <c r="J183" s="542"/>
    </row>
    <row r="184" spans="1:10" ht="13.5" thickBot="1">
      <c r="A184" s="558">
        <v>45755</v>
      </c>
      <c r="B184" s="475" t="s">
        <v>1826</v>
      </c>
      <c r="C184" s="114">
        <v>-21</v>
      </c>
      <c r="D184" s="373">
        <f>D183+C184</f>
        <v>217</v>
      </c>
      <c r="E184" s="80"/>
      <c r="F184" s="474">
        <f t="shared" si="3"/>
        <v>0</v>
      </c>
      <c r="G184" s="391">
        <f>G182</f>
        <v>962.89330700000005</v>
      </c>
      <c r="H184" s="541">
        <f>G184*C184</f>
        <v>-20220.759447</v>
      </c>
      <c r="I184" s="528">
        <f>I183+H184</f>
        <v>187377.12055300002</v>
      </c>
      <c r="J184" s="542"/>
    </row>
    <row r="185" spans="1:10" ht="13.5" thickBot="1">
      <c r="A185" s="559"/>
      <c r="B185" s="79" t="s">
        <v>1732</v>
      </c>
      <c r="C185" s="538"/>
      <c r="D185" s="373">
        <f t="shared" ref="D185:D207" si="4">D184+C185</f>
        <v>217</v>
      </c>
      <c r="E185" s="80"/>
      <c r="F185" s="474">
        <f t="shared" si="3"/>
        <v>0</v>
      </c>
      <c r="G185" s="391">
        <f>G183</f>
        <v>962.89330700000005</v>
      </c>
      <c r="H185" s="373">
        <v>-300.32</v>
      </c>
      <c r="I185" s="528">
        <f>I184+H185</f>
        <v>187076.80055300001</v>
      </c>
      <c r="J185" s="542"/>
    </row>
    <row r="186" spans="1:10" ht="13.5" thickBot="1">
      <c r="A186" s="558">
        <v>45786</v>
      </c>
      <c r="B186" s="475" t="s">
        <v>1827</v>
      </c>
      <c r="C186" s="539">
        <v>-20</v>
      </c>
      <c r="D186" s="373">
        <f t="shared" si="4"/>
        <v>197</v>
      </c>
      <c r="E186" s="80"/>
      <c r="F186" s="474">
        <f t="shared" si="3"/>
        <v>0</v>
      </c>
      <c r="G186" s="391">
        <v>1000.86</v>
      </c>
      <c r="H186" s="541">
        <f>G186*C186</f>
        <v>-20017.2</v>
      </c>
      <c r="I186" s="528">
        <f>I185+H186</f>
        <v>167059.600553</v>
      </c>
      <c r="J186" s="542"/>
    </row>
    <row r="187" spans="1:10" ht="13.5" thickBot="1">
      <c r="A187" s="558"/>
      <c r="B187" s="79" t="s">
        <v>1732</v>
      </c>
      <c r="C187" s="539"/>
      <c r="D187" s="373">
        <f t="shared" si="4"/>
        <v>197</v>
      </c>
      <c r="E187" s="80"/>
      <c r="F187" s="474">
        <f t="shared" si="3"/>
        <v>0</v>
      </c>
      <c r="G187" s="391">
        <v>1000.86</v>
      </c>
      <c r="H187" s="541">
        <v>-257.18</v>
      </c>
      <c r="I187" s="528">
        <f t="shared" ref="I187:I207" si="5">I186+H187</f>
        <v>166802.420553</v>
      </c>
      <c r="J187" s="542"/>
    </row>
    <row r="188" spans="1:10" ht="13.5" thickBot="1">
      <c r="A188" s="559">
        <v>45818</v>
      </c>
      <c r="B188" s="475" t="s">
        <v>1828</v>
      </c>
      <c r="C188" s="538">
        <v>-20</v>
      </c>
      <c r="D188" s="373">
        <f t="shared" si="4"/>
        <v>177</v>
      </c>
      <c r="E188" s="80"/>
      <c r="F188" s="474">
        <f t="shared" si="3"/>
        <v>0</v>
      </c>
      <c r="G188" s="391">
        <v>1043.4576589999999</v>
      </c>
      <c r="H188" s="541">
        <f>G188*C188</f>
        <v>-20869.153179999998</v>
      </c>
      <c r="I188" s="528">
        <f t="shared" si="5"/>
        <v>145933.26737300001</v>
      </c>
      <c r="J188" s="542"/>
    </row>
    <row r="189" spans="1:10" ht="13.5" thickBot="1">
      <c r="A189" s="559"/>
      <c r="B189" s="79" t="s">
        <v>1732</v>
      </c>
      <c r="C189" s="538"/>
      <c r="D189" s="373">
        <f t="shared" si="4"/>
        <v>177</v>
      </c>
      <c r="E189" s="80"/>
      <c r="F189" s="474">
        <f t="shared" si="3"/>
        <v>0</v>
      </c>
      <c r="G189" s="391">
        <v>1043.4576589999999</v>
      </c>
      <c r="H189" s="373">
        <v>-342.39</v>
      </c>
      <c r="I189" s="528">
        <f t="shared" si="5"/>
        <v>145590.877373</v>
      </c>
      <c r="J189" s="542"/>
    </row>
    <row r="190" spans="1:10" ht="13.5" thickBot="1">
      <c r="A190" s="559">
        <v>45846</v>
      </c>
      <c r="B190" s="475" t="s">
        <v>1829</v>
      </c>
      <c r="C190" s="538">
        <v>-19</v>
      </c>
      <c r="D190" s="373">
        <f t="shared" si="4"/>
        <v>158</v>
      </c>
      <c r="E190" s="543"/>
      <c r="F190" s="474">
        <f t="shared" si="3"/>
        <v>0</v>
      </c>
      <c r="G190" s="391">
        <v>1080.914657</v>
      </c>
      <c r="H190" s="541">
        <f>G190*C190</f>
        <v>-20537.378483</v>
      </c>
      <c r="I190" s="528">
        <f t="shared" si="5"/>
        <v>125053.49888999999</v>
      </c>
      <c r="J190" s="412"/>
    </row>
    <row r="191" spans="1:10" ht="13.5" thickBot="1">
      <c r="A191" s="559"/>
      <c r="B191" s="79" t="s">
        <v>1732</v>
      </c>
      <c r="C191" s="538"/>
      <c r="D191" s="373">
        <f t="shared" si="4"/>
        <v>158</v>
      </c>
      <c r="E191" s="543"/>
      <c r="F191" s="474">
        <f t="shared" si="3"/>
        <v>0</v>
      </c>
      <c r="G191" s="391">
        <v>1080</v>
      </c>
      <c r="H191" s="373">
        <v>-396.44</v>
      </c>
      <c r="I191" s="528">
        <f t="shared" si="5"/>
        <v>124657.05888999999</v>
      </c>
      <c r="J191" s="542"/>
    </row>
    <row r="192" spans="1:10" ht="13.5" thickBot="1">
      <c r="A192" s="559">
        <v>45855</v>
      </c>
      <c r="B192" s="475" t="s">
        <v>1893</v>
      </c>
      <c r="C192" s="538">
        <v>-30</v>
      </c>
      <c r="D192" s="373">
        <f t="shared" si="4"/>
        <v>128</v>
      </c>
      <c r="E192" s="543"/>
      <c r="F192" s="474">
        <f t="shared" si="3"/>
        <v>0</v>
      </c>
      <c r="G192" s="391">
        <v>1093.412452</v>
      </c>
      <c r="H192" s="541">
        <f>G192*C192</f>
        <v>-32802.37356</v>
      </c>
      <c r="I192" s="528">
        <f t="shared" si="5"/>
        <v>91854.685329999978</v>
      </c>
      <c r="J192" s="542"/>
    </row>
    <row r="193" spans="1:10" ht="13.5" thickBot="1">
      <c r="A193" s="559">
        <v>45867</v>
      </c>
      <c r="B193" s="79" t="s">
        <v>1732</v>
      </c>
      <c r="C193" s="538"/>
      <c r="D193" s="373">
        <f t="shared" si="4"/>
        <v>128</v>
      </c>
      <c r="E193" s="543"/>
      <c r="F193" s="474">
        <f t="shared" si="3"/>
        <v>0</v>
      </c>
      <c r="G193" s="391">
        <v>1109.5565340000001</v>
      </c>
      <c r="H193" s="373">
        <v>-663.45</v>
      </c>
      <c r="I193" s="12">
        <f t="shared" si="5"/>
        <v>91191.235329999981</v>
      </c>
      <c r="J193" s="542"/>
    </row>
    <row r="194" spans="1:10" ht="13.5" thickBot="1">
      <c r="A194" s="94">
        <v>45905</v>
      </c>
      <c r="B194" s="544" t="s">
        <v>1831</v>
      </c>
      <c r="C194" s="377">
        <v>-18</v>
      </c>
      <c r="D194" s="87">
        <f t="shared" si="4"/>
        <v>110</v>
      </c>
      <c r="E194" s="393"/>
      <c r="F194" s="397">
        <f t="shared" si="3"/>
        <v>0</v>
      </c>
      <c r="G194" s="391">
        <v>1155.9289100000001</v>
      </c>
      <c r="H194" s="136">
        <f>G194*C194</f>
        <v>-20806.720380000002</v>
      </c>
      <c r="I194" s="12">
        <f t="shared" si="5"/>
        <v>70384.514949999982</v>
      </c>
      <c r="J194" s="542"/>
    </row>
    <row r="195" spans="1:10" ht="13.5" thickBot="1">
      <c r="A195" s="94"/>
      <c r="B195" s="79" t="s">
        <v>1732</v>
      </c>
      <c r="C195" s="377"/>
      <c r="D195" s="87">
        <f t="shared" si="4"/>
        <v>110</v>
      </c>
      <c r="E195" s="393"/>
      <c r="F195" s="397">
        <f t="shared" si="3"/>
        <v>0</v>
      </c>
      <c r="G195" s="391">
        <v>1155.9289100000001</v>
      </c>
      <c r="H195" s="87">
        <v>-500.89</v>
      </c>
      <c r="I195" s="12">
        <f t="shared" si="5"/>
        <v>69883.624949999983</v>
      </c>
      <c r="J195" s="542"/>
    </row>
    <row r="196" spans="1:10" ht="13.5" thickBot="1">
      <c r="A196" s="94"/>
      <c r="B196" s="544" t="s">
        <v>1832</v>
      </c>
      <c r="C196" s="377">
        <v>-17</v>
      </c>
      <c r="D196" s="87">
        <f t="shared" si="4"/>
        <v>93</v>
      </c>
      <c r="E196" s="393"/>
      <c r="F196" s="397">
        <f t="shared" si="3"/>
        <v>0</v>
      </c>
      <c r="G196" s="391">
        <v>1109.5565340000001</v>
      </c>
      <c r="H196" s="136">
        <f>G196*C196</f>
        <v>-18862.461078</v>
      </c>
      <c r="I196" s="12">
        <f t="shared" si="5"/>
        <v>51021.163871999983</v>
      </c>
      <c r="J196" s="542"/>
    </row>
    <row r="197" spans="1:10" ht="13.5" thickBot="1">
      <c r="A197" s="94"/>
      <c r="B197" s="79" t="s">
        <v>1732</v>
      </c>
      <c r="C197" s="377"/>
      <c r="D197" s="87">
        <f t="shared" si="4"/>
        <v>93</v>
      </c>
      <c r="E197" s="393"/>
      <c r="F197" s="397">
        <f t="shared" si="3"/>
        <v>0</v>
      </c>
      <c r="G197" s="391">
        <v>1109.5565340000001</v>
      </c>
      <c r="H197" s="87"/>
      <c r="I197" s="12">
        <f t="shared" si="5"/>
        <v>51021.163871999983</v>
      </c>
      <c r="J197" s="542"/>
    </row>
    <row r="198" spans="1:10" ht="13.5" thickBot="1">
      <c r="A198" s="94"/>
      <c r="B198" s="544" t="s">
        <v>1833</v>
      </c>
      <c r="C198" s="377">
        <v>-20</v>
      </c>
      <c r="D198" s="87">
        <f t="shared" si="4"/>
        <v>73</v>
      </c>
      <c r="E198" s="393"/>
      <c r="F198" s="397">
        <f t="shared" si="3"/>
        <v>0</v>
      </c>
      <c r="G198" s="391">
        <v>1109.5565340000001</v>
      </c>
      <c r="H198" s="136">
        <f>G198*C198</f>
        <v>-22191.130680000002</v>
      </c>
      <c r="I198" s="12">
        <f t="shared" si="5"/>
        <v>28830.033191999981</v>
      </c>
      <c r="J198" s="542"/>
    </row>
    <row r="199" spans="1:10" ht="13.5" thickBot="1">
      <c r="A199" s="94"/>
      <c r="B199" s="79" t="s">
        <v>1732</v>
      </c>
      <c r="C199" s="377"/>
      <c r="D199" s="87">
        <f t="shared" si="4"/>
        <v>73</v>
      </c>
      <c r="E199" s="393"/>
      <c r="F199" s="397">
        <f t="shared" si="3"/>
        <v>0</v>
      </c>
      <c r="G199" s="391">
        <v>1109.5565340000001</v>
      </c>
      <c r="H199" s="87"/>
      <c r="I199" s="12">
        <f t="shared" si="5"/>
        <v>28830.033191999981</v>
      </c>
      <c r="J199" s="542"/>
    </row>
    <row r="200" spans="1:10" ht="13.5" thickBot="1">
      <c r="A200" s="94"/>
      <c r="B200" s="544" t="s">
        <v>1834</v>
      </c>
      <c r="C200" s="377">
        <v>-20</v>
      </c>
      <c r="D200" s="87">
        <f t="shared" si="4"/>
        <v>53</v>
      </c>
      <c r="E200" s="393"/>
      <c r="F200" s="397">
        <f t="shared" si="3"/>
        <v>0</v>
      </c>
      <c r="G200" s="391">
        <v>1109.5565340000001</v>
      </c>
      <c r="H200" s="136">
        <f>G200*C200</f>
        <v>-22191.130680000002</v>
      </c>
      <c r="I200" s="12">
        <f t="shared" si="5"/>
        <v>6638.9025119999787</v>
      </c>
      <c r="J200" s="542"/>
    </row>
    <row r="201" spans="1:10" ht="13.5" thickBot="1">
      <c r="A201" s="94"/>
      <c r="B201" s="79" t="s">
        <v>1732</v>
      </c>
      <c r="C201" s="377"/>
      <c r="D201" s="87">
        <f t="shared" si="4"/>
        <v>53</v>
      </c>
      <c r="E201" s="393"/>
      <c r="F201" s="397">
        <f t="shared" si="3"/>
        <v>0</v>
      </c>
      <c r="G201" s="391">
        <v>1109.5565340000001</v>
      </c>
      <c r="H201" s="87"/>
      <c r="I201" s="12">
        <f t="shared" si="5"/>
        <v>6638.9025119999787</v>
      </c>
      <c r="J201" s="542"/>
    </row>
    <row r="202" spans="1:10" ht="13.5" thickBot="1">
      <c r="A202" s="94"/>
      <c r="B202" s="544" t="s">
        <v>1835</v>
      </c>
      <c r="C202" s="377">
        <v>-20</v>
      </c>
      <c r="D202" s="87">
        <f t="shared" si="4"/>
        <v>33</v>
      </c>
      <c r="E202" s="393"/>
      <c r="F202" s="397">
        <f t="shared" si="3"/>
        <v>0</v>
      </c>
      <c r="G202" s="391">
        <v>1109.5565340000001</v>
      </c>
      <c r="H202" s="136">
        <f>G202*C202</f>
        <v>-22191.130680000002</v>
      </c>
      <c r="I202" s="12">
        <f t="shared" si="5"/>
        <v>-15552.228168000023</v>
      </c>
      <c r="J202" s="542"/>
    </row>
    <row r="203" spans="1:10" ht="13.5" thickBot="1">
      <c r="A203" s="94"/>
      <c r="B203" s="79" t="s">
        <v>1732</v>
      </c>
      <c r="C203" s="377"/>
      <c r="D203" s="87">
        <f t="shared" si="4"/>
        <v>33</v>
      </c>
      <c r="E203" s="393"/>
      <c r="F203" s="397">
        <f t="shared" si="3"/>
        <v>0</v>
      </c>
      <c r="G203" s="391">
        <v>1109.5565340000001</v>
      </c>
      <c r="H203" s="87"/>
      <c r="I203" s="12">
        <f t="shared" si="5"/>
        <v>-15552.228168000023</v>
      </c>
      <c r="J203" s="542"/>
    </row>
    <row r="204" spans="1:10" ht="13.5" thickBot="1">
      <c r="A204" s="94"/>
      <c r="B204" s="544" t="s">
        <v>1836</v>
      </c>
      <c r="C204" s="377">
        <v>-20</v>
      </c>
      <c r="D204" s="87">
        <f t="shared" si="4"/>
        <v>13</v>
      </c>
      <c r="E204" s="393"/>
      <c r="F204" s="397">
        <f t="shared" si="3"/>
        <v>0</v>
      </c>
      <c r="G204" s="391">
        <v>1109.5565340000001</v>
      </c>
      <c r="H204" s="136">
        <f>G204*C204</f>
        <v>-22191.130680000002</v>
      </c>
      <c r="I204" s="12">
        <f t="shared" si="5"/>
        <v>-37743.358848000025</v>
      </c>
      <c r="J204" s="542"/>
    </row>
    <row r="205" spans="1:10" ht="13.5" thickBot="1">
      <c r="A205" s="94"/>
      <c r="B205" s="79" t="s">
        <v>1732</v>
      </c>
      <c r="C205" s="377"/>
      <c r="D205" s="87">
        <f t="shared" si="4"/>
        <v>13</v>
      </c>
      <c r="E205" s="393"/>
      <c r="F205" s="397">
        <f t="shared" si="3"/>
        <v>0</v>
      </c>
      <c r="G205" s="391">
        <v>1109.5565340000001</v>
      </c>
      <c r="H205" s="87"/>
      <c r="I205" s="12">
        <f t="shared" si="5"/>
        <v>-37743.358848000025</v>
      </c>
      <c r="J205" s="542"/>
    </row>
    <row r="206" spans="1:10" ht="13.5" thickBot="1">
      <c r="A206" s="94"/>
      <c r="B206" s="544" t="s">
        <v>1837</v>
      </c>
      <c r="C206" s="377">
        <v>-11</v>
      </c>
      <c r="D206" s="87">
        <f t="shared" si="4"/>
        <v>2</v>
      </c>
      <c r="E206" s="393"/>
      <c r="F206" s="397">
        <f t="shared" si="3"/>
        <v>0</v>
      </c>
      <c r="G206" s="391">
        <v>1109.5565340000001</v>
      </c>
      <c r="H206" s="136">
        <f>G206*C206</f>
        <v>-12205.121874</v>
      </c>
      <c r="I206" s="12">
        <f t="shared" si="5"/>
        <v>-49948.480722000022</v>
      </c>
      <c r="J206" s="542"/>
    </row>
    <row r="207" spans="1:10">
      <c r="A207" s="94"/>
      <c r="B207" s="79" t="s">
        <v>1732</v>
      </c>
      <c r="C207" s="377"/>
      <c r="D207" s="87">
        <f t="shared" si="4"/>
        <v>2</v>
      </c>
      <c r="E207" s="393"/>
      <c r="F207" s="397">
        <f t="shared" si="3"/>
        <v>0</v>
      </c>
      <c r="G207" s="391">
        <v>1109.5565340000001</v>
      </c>
      <c r="H207" s="87"/>
      <c r="I207" s="12">
        <f t="shared" si="5"/>
        <v>-49948.480722000022</v>
      </c>
      <c r="J207" s="542"/>
    </row>
    <row r="208" spans="1:10">
      <c r="A208" s="94"/>
      <c r="B208" s="395"/>
      <c r="C208" s="377"/>
      <c r="D208" s="87"/>
      <c r="E208" s="393"/>
      <c r="F208" s="397"/>
      <c r="G208" s="425"/>
      <c r="H208" s="87"/>
      <c r="I208" s="12"/>
      <c r="J208" s="542"/>
    </row>
    <row r="209" spans="1:10">
      <c r="A209" s="560"/>
      <c r="B209" s="454"/>
      <c r="C209" s="524">
        <f>SUM(C184:C208)</f>
        <v>-236</v>
      </c>
      <c r="D209" s="525"/>
      <c r="E209" s="393"/>
      <c r="F209" s="397"/>
      <c r="G209" s="525"/>
      <c r="H209" s="571">
        <f>SUM(H184:H208)</f>
        <v>-257546.36072200001</v>
      </c>
      <c r="I209" s="428"/>
      <c r="J209" s="542"/>
    </row>
    <row r="210" spans="1:10">
      <c r="A210" s="561"/>
      <c r="B210" s="395"/>
      <c r="C210" s="396"/>
      <c r="D210" s="393"/>
      <c r="E210" s="393"/>
      <c r="F210" s="393"/>
      <c r="G210" s="393"/>
      <c r="H210" s="397"/>
      <c r="I210" s="87"/>
      <c r="J210" s="542"/>
    </row>
    <row r="211" spans="1:10">
      <c r="A211" s="94"/>
      <c r="B211" s="87" t="s">
        <v>1860</v>
      </c>
      <c r="C211" s="426"/>
      <c r="D211" s="427"/>
      <c r="E211" s="393"/>
      <c r="F211" s="393"/>
      <c r="G211" s="397"/>
      <c r="H211" s="87"/>
      <c r="I211" s="87"/>
      <c r="J211" s="542"/>
    </row>
    <row r="212" spans="1:10">
      <c r="A212" s="94"/>
      <c r="B212" s="11"/>
      <c r="C212" s="11"/>
      <c r="D212" s="87"/>
      <c r="E212" s="87"/>
      <c r="F212" s="87"/>
      <c r="G212" s="87"/>
      <c r="H212" s="87"/>
      <c r="I212" s="11"/>
      <c r="J212" s="542"/>
    </row>
    <row r="213" spans="1:10">
      <c r="A213" s="94"/>
      <c r="B213" s="11"/>
      <c r="C213" s="11"/>
      <c r="D213" s="87"/>
      <c r="E213" s="87"/>
      <c r="F213" s="87"/>
      <c r="G213" s="87"/>
      <c r="H213" s="87"/>
      <c r="I213" s="11"/>
      <c r="J213" s="542"/>
    </row>
    <row r="214" spans="1:10">
      <c r="A214" s="11"/>
      <c r="B214" s="11"/>
      <c r="C214" s="11"/>
      <c r="D214" s="87"/>
      <c r="E214" s="87"/>
      <c r="F214" s="87"/>
      <c r="G214" s="87"/>
      <c r="H214" s="87"/>
      <c r="I214" s="11"/>
      <c r="J214" s="11"/>
    </row>
    <row r="215" spans="1:10">
      <c r="A215" s="11"/>
      <c r="B215" s="11"/>
      <c r="C215" s="11"/>
      <c r="D215" s="87"/>
      <c r="E215" s="87"/>
      <c r="F215" s="87"/>
      <c r="G215" s="87"/>
      <c r="H215" s="87"/>
      <c r="I215" s="11"/>
      <c r="J215" s="11"/>
    </row>
    <row r="216" spans="1:10">
      <c r="A216" s="11"/>
      <c r="B216" s="11"/>
      <c r="C216" s="11"/>
      <c r="D216" s="87"/>
      <c r="E216" s="87"/>
      <c r="F216" s="87"/>
      <c r="G216" s="87"/>
      <c r="H216" s="87"/>
      <c r="I216" s="11"/>
      <c r="J216" s="11"/>
    </row>
    <row r="217" spans="1:10">
      <c r="A217" s="11"/>
      <c r="B217" s="11"/>
      <c r="C217" s="11"/>
      <c r="D217" s="87"/>
      <c r="E217" s="87"/>
      <c r="F217" s="87"/>
      <c r="G217" s="87"/>
      <c r="H217" s="87"/>
      <c r="I217" s="11"/>
      <c r="J217" s="11"/>
    </row>
  </sheetData>
  <conditionalFormatting sqref="F152:F154 F141">
    <cfRule type="cellIs" dxfId="101" priority="10" operator="lessThan">
      <formula>D141</formula>
    </cfRule>
  </conditionalFormatting>
  <conditionalFormatting sqref="F147:F149">
    <cfRule type="cellIs" dxfId="100" priority="11" operator="lessThan">
      <formula>D147</formula>
    </cfRule>
  </conditionalFormatting>
  <conditionalFormatting sqref="F145">
    <cfRule type="cellIs" dxfId="99" priority="9" operator="lessThan">
      <formula>D145</formula>
    </cfRule>
  </conditionalFormatting>
  <conditionalFormatting sqref="F167">
    <cfRule type="cellIs" dxfId="98" priority="8" operator="lessThan">
      <formula>D167</formula>
    </cfRule>
  </conditionalFormatting>
  <conditionalFormatting sqref="F146">
    <cfRule type="cellIs" dxfId="97" priority="7" operator="lessThan">
      <formula>D146</formula>
    </cfRule>
  </conditionalFormatting>
  <conditionalFormatting sqref="F142">
    <cfRule type="cellIs" dxfId="96" priority="6" operator="lessThan">
      <formula>D142</formula>
    </cfRule>
  </conditionalFormatting>
  <conditionalFormatting sqref="F166">
    <cfRule type="cellIs" dxfId="95" priority="5" operator="lessThan">
      <formula>D166</formula>
    </cfRule>
  </conditionalFormatting>
  <conditionalFormatting sqref="F169">
    <cfRule type="cellIs" dxfId="94" priority="3" operator="lessThan">
      <formula>D169</formula>
    </cfRule>
  </conditionalFormatting>
  <conditionalFormatting sqref="F168">
    <cfRule type="cellIs" dxfId="93" priority="1" operator="lessThan">
      <formula>D168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N208"/>
  <sheetViews>
    <sheetView topLeftCell="A149" zoomScale="175" zoomScaleNormal="175" workbookViewId="0">
      <selection activeCell="A189" sqref="A189:I190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9" max="9" width="13.7109375" bestFit="1" customWidth="1"/>
    <col min="10" max="10" width="8.28515625" customWidth="1"/>
    <col min="11" max="11" width="6.140625" style="75" customWidth="1"/>
    <col min="12" max="12" width="6.42578125" style="75" customWidth="1"/>
    <col min="13" max="14" width="12.28515625" style="75"/>
    <col min="1024" max="1024" width="9.140625" customWidth="1"/>
  </cols>
  <sheetData>
    <row r="1" spans="1:13">
      <c r="F1" s="74" t="s">
        <v>20</v>
      </c>
      <c r="G1" s="74" t="s">
        <v>21</v>
      </c>
      <c r="H1" s="74" t="s">
        <v>3</v>
      </c>
    </row>
    <row r="2" spans="1:13">
      <c r="A2" s="3" t="s">
        <v>81</v>
      </c>
      <c r="C2" s="76" t="s">
        <v>59</v>
      </c>
      <c r="D2" s="74">
        <f>SUM(D4:D27)</f>
        <v>17494.509999999998</v>
      </c>
      <c r="E2" s="74">
        <f>SUM(E4:E27)</f>
        <v>-95750</v>
      </c>
      <c r="F2" s="74">
        <f>SUM(F4:F27)</f>
        <v>17564.53</v>
      </c>
      <c r="G2" s="74">
        <f>SUM(G4:G27)</f>
        <v>-99089.919999999998</v>
      </c>
      <c r="H2" s="74">
        <f>F2+G2</f>
        <v>-81525.39</v>
      </c>
    </row>
    <row r="3" spans="1:13">
      <c r="B3" s="15"/>
    </row>
    <row r="4" spans="1:13">
      <c r="B4" s="38"/>
      <c r="H4" s="74">
        <f t="shared" ref="H4:H26" si="0">H3+F4+G4</f>
        <v>0</v>
      </c>
    </row>
    <row r="5" spans="1:13">
      <c r="A5" s="545"/>
      <c r="B5" s="546"/>
      <c r="C5" s="395"/>
      <c r="D5" s="393"/>
      <c r="E5" s="393"/>
      <c r="H5" s="87">
        <f t="shared" si="0"/>
        <v>0</v>
      </c>
    </row>
    <row r="6" spans="1:13">
      <c r="A6" s="378">
        <v>45873</v>
      </c>
      <c r="B6" s="381" t="s">
        <v>60</v>
      </c>
      <c r="C6" s="380"/>
      <c r="D6" s="376"/>
      <c r="E6" s="376">
        <f>E30</f>
        <v>-42696.2</v>
      </c>
      <c r="F6" s="84"/>
      <c r="G6" s="84">
        <f>E6</f>
        <v>-42696.2</v>
      </c>
      <c r="H6" s="87">
        <f t="shared" si="0"/>
        <v>-42696.2</v>
      </c>
    </row>
    <row r="7" spans="1:13">
      <c r="A7" s="521">
        <v>45873</v>
      </c>
      <c r="B7" s="381" t="s">
        <v>61</v>
      </c>
      <c r="C7" s="380"/>
      <c r="D7" s="376"/>
      <c r="E7" s="376">
        <f>E111</f>
        <v>-636.74</v>
      </c>
      <c r="F7" s="84"/>
      <c r="G7" s="84">
        <f>E7</f>
        <v>-636.74</v>
      </c>
      <c r="H7" s="87">
        <f t="shared" si="0"/>
        <v>-43332.939999999995</v>
      </c>
    </row>
    <row r="8" spans="1:13">
      <c r="A8" s="408"/>
      <c r="B8" s="408"/>
      <c r="C8" s="408"/>
      <c r="D8" s="373"/>
      <c r="E8" s="373"/>
      <c r="G8" s="84"/>
      <c r="H8" s="87">
        <f t="shared" si="0"/>
        <v>-43332.939999999995</v>
      </c>
    </row>
    <row r="9" spans="1:13">
      <c r="A9" s="399">
        <v>45873</v>
      </c>
      <c r="B9" s="422" t="s">
        <v>62</v>
      </c>
      <c r="C9" s="422"/>
      <c r="D9" s="373"/>
      <c r="E9" s="373">
        <v>-2117.06</v>
      </c>
      <c r="G9" s="74">
        <v>-2116.98</v>
      </c>
      <c r="H9" s="87">
        <f t="shared" si="0"/>
        <v>-45449.919999999998</v>
      </c>
    </row>
    <row r="10" spans="1:13">
      <c r="A10" s="410">
        <v>45880</v>
      </c>
      <c r="B10" s="422" t="s">
        <v>445</v>
      </c>
      <c r="C10" s="422"/>
      <c r="D10" s="373"/>
      <c r="E10" s="373">
        <v>-25000</v>
      </c>
      <c r="G10" s="74">
        <v>-25000</v>
      </c>
      <c r="H10" s="87">
        <f t="shared" si="0"/>
        <v>-70449.919999999998</v>
      </c>
    </row>
    <row r="11" spans="1:13">
      <c r="A11" s="408"/>
      <c r="B11" s="420" t="s">
        <v>64</v>
      </c>
      <c r="C11" s="403"/>
      <c r="D11" s="373"/>
      <c r="E11" s="373">
        <v>0</v>
      </c>
      <c r="H11" s="87">
        <f t="shared" si="0"/>
        <v>-70449.919999999998</v>
      </c>
    </row>
    <row r="12" spans="1:13">
      <c r="A12" s="85"/>
      <c r="B12" s="89"/>
      <c r="C12" s="89"/>
      <c r="D12" s="87"/>
      <c r="E12" s="87"/>
      <c r="H12" s="87">
        <f t="shared" si="0"/>
        <v>-70449.919999999998</v>
      </c>
    </row>
    <row r="13" spans="1:13" s="75" customFormat="1">
      <c r="A13" s="399">
        <v>45887</v>
      </c>
      <c r="B13" s="512" t="s">
        <v>65</v>
      </c>
      <c r="C13" s="512"/>
      <c r="D13" s="373"/>
      <c r="E13" s="373">
        <v>-1000</v>
      </c>
      <c r="F13" s="74"/>
      <c r="G13" s="74">
        <v>-140</v>
      </c>
      <c r="H13" s="87">
        <f t="shared" si="0"/>
        <v>-70589.919999999998</v>
      </c>
    </row>
    <row r="14" spans="1:13" s="75" customFormat="1">
      <c r="A14" s="399">
        <v>45887</v>
      </c>
      <c r="B14" s="512" t="s">
        <v>66</v>
      </c>
      <c r="C14" s="512"/>
      <c r="D14" s="373"/>
      <c r="E14" s="373">
        <v>-200</v>
      </c>
      <c r="F14" s="74"/>
      <c r="G14" s="74">
        <v>-35</v>
      </c>
      <c r="H14" s="87">
        <f t="shared" si="0"/>
        <v>-70624.92</v>
      </c>
    </row>
    <row r="15" spans="1:13" s="75" customFormat="1">
      <c r="A15" s="399"/>
      <c r="B15" s="422" t="s">
        <v>67</v>
      </c>
      <c r="C15" s="422"/>
      <c r="D15" s="373"/>
      <c r="E15" s="373">
        <v>-200</v>
      </c>
      <c r="F15" s="74"/>
      <c r="G15" s="74"/>
      <c r="H15" s="74">
        <f t="shared" si="0"/>
        <v>-70624.92</v>
      </c>
    </row>
    <row r="16" spans="1:13" s="75" customFormat="1">
      <c r="A16" s="399"/>
      <c r="B16" s="403" t="s">
        <v>68</v>
      </c>
      <c r="C16" s="403"/>
      <c r="D16" s="373">
        <v>17494.509999999998</v>
      </c>
      <c r="E16" s="373"/>
      <c r="F16" s="373">
        <v>17564.53</v>
      </c>
      <c r="G16" s="74"/>
      <c r="H16" s="74">
        <f t="shared" si="0"/>
        <v>-53060.39</v>
      </c>
      <c r="J16" s="90"/>
      <c r="K16" s="90"/>
      <c r="L16" s="91"/>
      <c r="M16" s="92"/>
    </row>
    <row r="17" spans="1:14" s="75" customFormat="1">
      <c r="B17" s="403" t="s">
        <v>69</v>
      </c>
      <c r="C17" s="403"/>
      <c r="D17" s="373"/>
      <c r="E17" s="373">
        <v>-7500</v>
      </c>
      <c r="F17" s="74"/>
      <c r="G17" s="74">
        <v>-9000</v>
      </c>
      <c r="H17" s="74">
        <f t="shared" si="0"/>
        <v>-62060.39</v>
      </c>
      <c r="J17" s="90"/>
      <c r="K17" s="90"/>
      <c r="L17" s="91"/>
      <c r="M17" s="92"/>
    </row>
    <row r="18" spans="1:14" s="75" customFormat="1">
      <c r="B18" s="403" t="s">
        <v>70</v>
      </c>
      <c r="C18" s="403"/>
      <c r="D18" s="373"/>
      <c r="E18" s="373">
        <v>-7500</v>
      </c>
      <c r="F18" s="74"/>
      <c r="G18" s="74">
        <v>-9000</v>
      </c>
      <c r="H18" s="74">
        <f t="shared" si="0"/>
        <v>-71060.39</v>
      </c>
      <c r="J18" s="90"/>
      <c r="K18" s="90"/>
      <c r="L18" s="91"/>
      <c r="M18" s="92"/>
    </row>
    <row r="19" spans="1:14" s="75" customFormat="1">
      <c r="B19" s="403" t="s">
        <v>71</v>
      </c>
      <c r="C19" s="403"/>
      <c r="D19" s="373"/>
      <c r="E19" s="373">
        <v>-7500</v>
      </c>
      <c r="F19" s="74"/>
      <c r="G19" s="74">
        <v>-9000</v>
      </c>
      <c r="H19" s="87">
        <f t="shared" si="0"/>
        <v>-80060.39</v>
      </c>
      <c r="J19" s="90"/>
      <c r="K19" s="90"/>
      <c r="L19" s="91"/>
      <c r="M19" s="92"/>
    </row>
    <row r="20" spans="1:14" s="75" customFormat="1">
      <c r="A20" s="399">
        <v>45898</v>
      </c>
      <c r="B20" s="422" t="s">
        <v>72</v>
      </c>
      <c r="C20" s="422"/>
      <c r="D20" s="373"/>
      <c r="E20" s="373">
        <v>-600</v>
      </c>
      <c r="F20" s="74"/>
      <c r="G20" s="74">
        <v>-540</v>
      </c>
      <c r="H20" s="87">
        <f t="shared" si="0"/>
        <v>-80600.39</v>
      </c>
      <c r="J20" s="90"/>
      <c r="K20" s="90"/>
      <c r="L20" s="91"/>
      <c r="M20" s="92"/>
    </row>
    <row r="21" spans="1:14" s="75" customFormat="1">
      <c r="A21" s="399">
        <v>45898</v>
      </c>
      <c r="B21" s="422" t="s">
        <v>73</v>
      </c>
      <c r="C21" s="422"/>
      <c r="D21" s="373"/>
      <c r="E21" s="373">
        <v>-800</v>
      </c>
      <c r="F21" s="74"/>
      <c r="G21" s="74">
        <v>-925</v>
      </c>
      <c r="H21" s="87">
        <f t="shared" si="0"/>
        <v>-81525.39</v>
      </c>
      <c r="J21" s="90"/>
      <c r="K21" s="90"/>
      <c r="L21" s="91"/>
      <c r="M21" s="92"/>
    </row>
    <row r="22" spans="1:14" s="75" customFormat="1">
      <c r="B22" s="95" t="s">
        <v>909</v>
      </c>
      <c r="C22" s="3"/>
      <c r="D22" s="74"/>
      <c r="E22" s="74"/>
      <c r="F22" s="74"/>
      <c r="G22" s="74"/>
      <c r="H22" s="87">
        <f t="shared" si="0"/>
        <v>-81525.39</v>
      </c>
    </row>
    <row r="23" spans="1:14" s="75" customFormat="1">
      <c r="D23" s="74"/>
      <c r="E23" s="74"/>
      <c r="F23" s="74"/>
      <c r="G23" s="74"/>
      <c r="H23" s="74">
        <f t="shared" si="0"/>
        <v>-81525.39</v>
      </c>
    </row>
    <row r="24" spans="1:14">
      <c r="A24" s="96"/>
      <c r="B24" s="97" t="s">
        <v>82</v>
      </c>
      <c r="C24" s="97"/>
      <c r="H24" s="74">
        <f t="shared" si="0"/>
        <v>-81525.39</v>
      </c>
      <c r="I24" s="75"/>
      <c r="J24" s="75"/>
    </row>
    <row r="25" spans="1:14">
      <c r="A25" s="96"/>
      <c r="H25" s="74">
        <f t="shared" si="0"/>
        <v>-81525.39</v>
      </c>
    </row>
    <row r="26" spans="1:14">
      <c r="H26" s="74">
        <f t="shared" si="0"/>
        <v>-81525.39</v>
      </c>
    </row>
    <row r="27" spans="1:14" s="75" customFormat="1">
      <c r="A27"/>
      <c r="B27"/>
      <c r="C27"/>
      <c r="D27" s="74"/>
      <c r="E27" s="74"/>
      <c r="F27" s="74"/>
      <c r="G27" s="74"/>
      <c r="H27" s="74"/>
      <c r="I27"/>
      <c r="J27"/>
    </row>
    <row r="28" spans="1:14" s="74" customFormat="1">
      <c r="A28" s="85"/>
      <c r="B28" s="75"/>
      <c r="C28" s="75"/>
      <c r="I28" s="75"/>
      <c r="J28" s="75"/>
      <c r="K28" s="75"/>
      <c r="L28" s="75"/>
      <c r="M28" s="75"/>
      <c r="N28" s="75"/>
    </row>
    <row r="29" spans="1:14" s="74" customFormat="1">
      <c r="B29" s="98"/>
      <c r="K29" s="75"/>
      <c r="L29" s="75"/>
      <c r="M29" s="75"/>
      <c r="N29" s="75"/>
    </row>
    <row r="30" spans="1:14">
      <c r="A30" s="99"/>
      <c r="B30" s="100" t="s">
        <v>75</v>
      </c>
      <c r="C30" s="99"/>
      <c r="E30" s="74">
        <f>SUM(E31:E106)</f>
        <v>-42696.2</v>
      </c>
      <c r="F30" s="74">
        <v>42696.2</v>
      </c>
      <c r="I30" s="74"/>
      <c r="J30" s="74"/>
    </row>
    <row r="31" spans="1:14" s="74" customFormat="1">
      <c r="A31"/>
      <c r="B31"/>
      <c r="C31"/>
      <c r="I31"/>
      <c r="J31"/>
      <c r="K31" s="75"/>
      <c r="L31" s="75"/>
      <c r="M31" s="75"/>
      <c r="N31" s="75"/>
    </row>
    <row r="32" spans="1:14" s="74" customFormat="1">
      <c r="A32" s="85">
        <v>45715</v>
      </c>
      <c r="B32" s="87" t="s">
        <v>1628</v>
      </c>
      <c r="C32" s="87">
        <v>5938.68</v>
      </c>
      <c r="D32" s="87" t="s">
        <v>469</v>
      </c>
      <c r="E32" s="87">
        <v>-989.8</v>
      </c>
      <c r="K32" s="75"/>
      <c r="L32" s="75"/>
      <c r="M32" s="75"/>
      <c r="N32" s="75"/>
    </row>
    <row r="33" spans="1:14" s="74" customFormat="1">
      <c r="A33" s="85">
        <v>45811</v>
      </c>
      <c r="B33" s="87" t="s">
        <v>1823</v>
      </c>
      <c r="C33" s="87">
        <v>5250</v>
      </c>
      <c r="D33" s="87" t="s">
        <v>1886</v>
      </c>
      <c r="E33" s="87">
        <v>-1750</v>
      </c>
      <c r="F33" s="87"/>
      <c r="K33" s="75"/>
      <c r="L33" s="75"/>
      <c r="M33" s="75"/>
      <c r="N33" s="75"/>
    </row>
    <row r="34" spans="1:14" s="87" customFormat="1">
      <c r="A34" s="85">
        <v>45811</v>
      </c>
      <c r="B34" s="87" t="s">
        <v>1823</v>
      </c>
      <c r="C34" s="87">
        <v>5250</v>
      </c>
      <c r="D34" s="87" t="s">
        <v>1886</v>
      </c>
      <c r="E34" s="87">
        <v>-1750</v>
      </c>
      <c r="K34" s="75"/>
      <c r="L34" s="75"/>
      <c r="M34" s="75"/>
      <c r="N34" s="75"/>
    </row>
    <row r="35" spans="1:14" s="87" customFormat="1">
      <c r="A35" s="85">
        <v>45811</v>
      </c>
      <c r="B35" s="87" t="s">
        <v>435</v>
      </c>
      <c r="C35" s="87">
        <v>5250</v>
      </c>
      <c r="D35" s="87" t="s">
        <v>1886</v>
      </c>
      <c r="E35" s="87">
        <v>-1750</v>
      </c>
      <c r="K35" s="75"/>
      <c r="L35" s="75"/>
      <c r="M35" s="75"/>
      <c r="N35" s="75"/>
    </row>
    <row r="36" spans="1:14" s="87" customFormat="1">
      <c r="A36" s="85">
        <v>45811</v>
      </c>
      <c r="B36" s="87" t="s">
        <v>1821</v>
      </c>
      <c r="C36" s="87">
        <v>14500</v>
      </c>
      <c r="D36" s="87" t="s">
        <v>1886</v>
      </c>
      <c r="E36" s="87">
        <v>-4833.33</v>
      </c>
      <c r="K36" s="75"/>
      <c r="L36" s="75"/>
      <c r="M36" s="75"/>
      <c r="N36" s="75"/>
    </row>
    <row r="37" spans="1:14" s="87" customFormat="1">
      <c r="A37" s="85">
        <v>45817</v>
      </c>
      <c r="B37" s="87" t="s">
        <v>1850</v>
      </c>
      <c r="D37" s="87" t="s">
        <v>1887</v>
      </c>
      <c r="E37" s="87">
        <v>-406.67</v>
      </c>
      <c r="K37" s="75"/>
      <c r="L37" s="75"/>
      <c r="M37" s="75"/>
      <c r="N37" s="75"/>
    </row>
    <row r="38" spans="1:14" s="87" customFormat="1">
      <c r="A38" s="96">
        <v>45790</v>
      </c>
      <c r="B38" s="103" t="s">
        <v>330</v>
      </c>
      <c r="C38" s="87">
        <v>1407.46</v>
      </c>
      <c r="D38" s="87" t="s">
        <v>607</v>
      </c>
      <c r="E38" s="87">
        <v>-234.58</v>
      </c>
      <c r="K38" s="75"/>
      <c r="L38" s="75"/>
      <c r="M38" s="75"/>
      <c r="N38" s="75"/>
    </row>
    <row r="39" spans="1:14" s="87" customFormat="1">
      <c r="A39" s="96">
        <v>45828</v>
      </c>
      <c r="B39" s="103" t="s">
        <v>1879</v>
      </c>
      <c r="C39" s="87">
        <v>6500</v>
      </c>
      <c r="D39" s="87" t="s">
        <v>1886</v>
      </c>
      <c r="E39" s="87">
        <v>-2166.67</v>
      </c>
      <c r="K39" s="75"/>
      <c r="L39" s="75"/>
      <c r="M39" s="75"/>
      <c r="N39" s="75"/>
    </row>
    <row r="40" spans="1:14" s="87" customFormat="1">
      <c r="A40" s="96">
        <v>45805</v>
      </c>
      <c r="B40" s="103" t="s">
        <v>118</v>
      </c>
      <c r="C40" s="193">
        <v>1380</v>
      </c>
      <c r="D40" s="87" t="s">
        <v>1886</v>
      </c>
      <c r="E40" s="87">
        <v>-460</v>
      </c>
      <c r="F40" s="87">
        <v>0</v>
      </c>
      <c r="K40" s="75"/>
      <c r="L40" s="75"/>
      <c r="M40" s="75"/>
      <c r="N40" s="75"/>
    </row>
    <row r="41" spans="1:14" s="87" customFormat="1">
      <c r="A41" s="96">
        <v>45805</v>
      </c>
      <c r="B41" s="103" t="s">
        <v>118</v>
      </c>
      <c r="C41" s="193">
        <v>4373.6000000000004</v>
      </c>
      <c r="D41" s="87" t="s">
        <v>1886</v>
      </c>
      <c r="E41" s="87">
        <v>-1457.87</v>
      </c>
      <c r="F41" s="87">
        <v>0</v>
      </c>
      <c r="K41" s="75"/>
      <c r="L41" s="75"/>
      <c r="M41" s="75"/>
      <c r="N41" s="75"/>
    </row>
    <row r="42" spans="1:14" s="87" customFormat="1">
      <c r="A42" s="11"/>
      <c r="B42" s="87" t="s">
        <v>1816</v>
      </c>
      <c r="C42" s="87">
        <v>0</v>
      </c>
      <c r="K42" s="75"/>
      <c r="L42" s="75"/>
      <c r="M42" s="75"/>
      <c r="N42" s="75"/>
    </row>
    <row r="43" spans="1:14">
      <c r="A43" s="85"/>
      <c r="B43" s="74"/>
      <c r="C43" s="74"/>
      <c r="I43" s="74"/>
      <c r="J43" s="74"/>
    </row>
    <row r="44" spans="1:14" s="74" customFormat="1">
      <c r="A44" s="375">
        <v>45833</v>
      </c>
      <c r="B44" s="103" t="s">
        <v>1895</v>
      </c>
      <c r="C44"/>
      <c r="E44" s="74">
        <v>-1000</v>
      </c>
      <c r="I44"/>
      <c r="J44"/>
      <c r="K44" s="75"/>
      <c r="L44" s="75"/>
      <c r="M44" s="75"/>
      <c r="N44" s="75"/>
    </row>
    <row r="45" spans="1:14" s="87" customFormat="1">
      <c r="A45" s="375">
        <v>45833</v>
      </c>
      <c r="B45" s="103" t="s">
        <v>1894</v>
      </c>
      <c r="C45" s="11"/>
      <c r="E45" s="87">
        <v>-5750</v>
      </c>
      <c r="I45" s="11"/>
      <c r="J45" s="11"/>
      <c r="K45" s="75"/>
      <c r="L45" s="75"/>
      <c r="M45" s="75"/>
      <c r="N45" s="75"/>
    </row>
    <row r="46" spans="1:14" s="87" customFormat="1">
      <c r="A46" s="375">
        <v>45835</v>
      </c>
      <c r="B46" s="103" t="s">
        <v>1896</v>
      </c>
      <c r="C46" s="11"/>
      <c r="E46" s="87">
        <v>-819.8</v>
      </c>
      <c r="I46" s="11"/>
      <c r="J46" s="11"/>
      <c r="K46" s="75"/>
      <c r="L46" s="75"/>
      <c r="M46" s="75"/>
      <c r="N46" s="75"/>
    </row>
    <row r="47" spans="1:14" s="87" customFormat="1">
      <c r="A47" s="375">
        <v>45835</v>
      </c>
      <c r="B47" s="103" t="s">
        <v>1897</v>
      </c>
      <c r="C47" s="11"/>
      <c r="E47" s="87">
        <v>-2580</v>
      </c>
      <c r="I47" s="11"/>
      <c r="J47" s="11"/>
      <c r="K47" s="75"/>
      <c r="L47" s="75"/>
      <c r="M47" s="75"/>
      <c r="N47" s="75"/>
    </row>
    <row r="48" spans="1:14" s="87" customFormat="1">
      <c r="A48" s="11"/>
      <c r="B48" s="103" t="s">
        <v>1897</v>
      </c>
      <c r="C48" s="11"/>
      <c r="E48" s="87">
        <v>-930</v>
      </c>
      <c r="I48" s="11"/>
      <c r="J48" s="11"/>
      <c r="K48" s="75"/>
      <c r="L48" s="75"/>
      <c r="M48" s="75"/>
      <c r="N48" s="75"/>
    </row>
    <row r="49" spans="1:14" s="87" customFormat="1">
      <c r="A49" s="375">
        <v>45836</v>
      </c>
      <c r="B49" s="103" t="s">
        <v>1898</v>
      </c>
      <c r="C49" s="11"/>
      <c r="E49" s="87">
        <v>-360</v>
      </c>
      <c r="I49" s="11"/>
      <c r="J49" s="11"/>
      <c r="K49" s="75"/>
      <c r="L49" s="75"/>
      <c r="M49" s="75"/>
      <c r="N49" s="75"/>
    </row>
    <row r="50" spans="1:14" s="87" customFormat="1">
      <c r="A50" s="11"/>
      <c r="B50" s="103" t="s">
        <v>1899</v>
      </c>
      <c r="C50" s="11"/>
      <c r="E50" s="87">
        <v>-525</v>
      </c>
      <c r="I50" s="11"/>
      <c r="J50" s="11"/>
      <c r="K50" s="75"/>
      <c r="L50" s="75"/>
      <c r="M50" s="75"/>
      <c r="N50" s="75"/>
    </row>
    <row r="51" spans="1:14" s="87" customFormat="1">
      <c r="A51" s="11"/>
      <c r="B51" s="103" t="s">
        <v>1900</v>
      </c>
      <c r="C51" s="11"/>
      <c r="E51" s="87">
        <v>-88</v>
      </c>
      <c r="I51" s="11"/>
      <c r="J51" s="11"/>
      <c r="K51" s="75"/>
      <c r="L51" s="75"/>
      <c r="M51" s="75"/>
      <c r="N51" s="75"/>
    </row>
    <row r="52" spans="1:14" s="87" customFormat="1">
      <c r="A52" s="11"/>
      <c r="B52" s="103" t="s">
        <v>1901</v>
      </c>
      <c r="C52" s="11"/>
      <c r="E52" s="87">
        <v>-200</v>
      </c>
      <c r="I52" s="11"/>
      <c r="J52" s="11"/>
      <c r="K52" s="75"/>
      <c r="L52" s="75"/>
      <c r="M52" s="75"/>
      <c r="N52" s="75"/>
    </row>
    <row r="53" spans="1:14" s="87" customFormat="1">
      <c r="A53" s="11"/>
      <c r="B53" s="103" t="s">
        <v>603</v>
      </c>
      <c r="C53" s="11"/>
      <c r="E53" s="87">
        <v>-33</v>
      </c>
      <c r="I53" s="11"/>
      <c r="J53" s="11"/>
      <c r="K53" s="75"/>
      <c r="L53" s="75"/>
      <c r="M53" s="75"/>
      <c r="N53" s="75"/>
    </row>
    <row r="54" spans="1:14" s="87" customFormat="1">
      <c r="A54" s="375">
        <v>45837</v>
      </c>
      <c r="B54" s="103" t="s">
        <v>1902</v>
      </c>
      <c r="C54" s="11"/>
      <c r="E54" s="87">
        <v>-242</v>
      </c>
      <c r="I54" s="11"/>
      <c r="J54" s="11"/>
      <c r="K54" s="75"/>
      <c r="L54" s="75"/>
      <c r="M54" s="75"/>
      <c r="N54" s="75"/>
    </row>
    <row r="55" spans="1:14" s="87" customFormat="1">
      <c r="A55" s="11"/>
      <c r="B55" s="103" t="s">
        <v>1903</v>
      </c>
      <c r="C55" s="11"/>
      <c r="E55" s="87">
        <v>-1640</v>
      </c>
      <c r="I55" s="11"/>
      <c r="J55" s="11"/>
      <c r="K55" s="75"/>
      <c r="L55" s="75"/>
      <c r="M55" s="75"/>
      <c r="N55" s="75"/>
    </row>
    <row r="56" spans="1:14" s="87" customFormat="1">
      <c r="A56" s="11"/>
      <c r="B56" s="103" t="s">
        <v>1904</v>
      </c>
      <c r="C56" s="11"/>
      <c r="E56" s="87">
        <v>-1000</v>
      </c>
      <c r="I56" s="11"/>
      <c r="J56" s="11"/>
      <c r="K56" s="75"/>
      <c r="L56" s="75"/>
      <c r="M56" s="75"/>
      <c r="N56" s="75"/>
    </row>
    <row r="57" spans="1:14" s="87" customFormat="1">
      <c r="A57" s="375">
        <v>45838</v>
      </c>
      <c r="B57" s="103" t="s">
        <v>1905</v>
      </c>
      <c r="C57" s="11"/>
      <c r="E57" s="87">
        <v>-660</v>
      </c>
      <c r="I57" s="11"/>
      <c r="J57" s="11"/>
      <c r="K57" s="75"/>
      <c r="L57" s="75"/>
      <c r="M57" s="75"/>
      <c r="N57" s="75"/>
    </row>
    <row r="58" spans="1:14" s="87" customFormat="1">
      <c r="A58" s="375">
        <v>45840</v>
      </c>
      <c r="B58" s="103" t="s">
        <v>1906</v>
      </c>
      <c r="C58" s="11"/>
      <c r="E58" s="87">
        <v>-260</v>
      </c>
      <c r="I58" s="11"/>
      <c r="J58" s="11"/>
      <c r="K58" s="75"/>
      <c r="L58" s="75"/>
      <c r="M58" s="75"/>
      <c r="N58" s="75"/>
    </row>
    <row r="59" spans="1:14" s="87" customFormat="1">
      <c r="A59" s="375">
        <v>45841</v>
      </c>
      <c r="B59" s="103" t="s">
        <v>1905</v>
      </c>
      <c r="C59" s="11"/>
      <c r="E59" s="87">
        <v>-280</v>
      </c>
      <c r="I59" s="11"/>
      <c r="J59" s="11"/>
      <c r="K59" s="75"/>
      <c r="L59" s="75"/>
      <c r="M59" s="75"/>
      <c r="N59" s="75"/>
    </row>
    <row r="60" spans="1:14" s="87" customFormat="1">
      <c r="A60" s="375">
        <v>45842</v>
      </c>
      <c r="B60" s="103" t="s">
        <v>1682</v>
      </c>
      <c r="C60" s="11"/>
      <c r="E60" s="87">
        <v>-120</v>
      </c>
      <c r="I60" s="11"/>
      <c r="J60" s="11"/>
      <c r="K60" s="75"/>
      <c r="L60" s="75"/>
      <c r="M60" s="75"/>
      <c r="N60" s="75"/>
    </row>
    <row r="61" spans="1:14" s="87" customFormat="1">
      <c r="A61" s="375">
        <v>45842</v>
      </c>
      <c r="B61" s="103" t="s">
        <v>119</v>
      </c>
      <c r="C61" s="11"/>
      <c r="E61" s="87">
        <v>-133.62</v>
      </c>
      <c r="I61" s="11"/>
      <c r="J61" s="11"/>
      <c r="K61" s="75"/>
      <c r="L61" s="75"/>
      <c r="M61" s="75"/>
      <c r="N61" s="75"/>
    </row>
    <row r="62" spans="1:14" s="87" customFormat="1">
      <c r="A62" s="375">
        <v>45843</v>
      </c>
      <c r="B62" s="103" t="s">
        <v>1603</v>
      </c>
      <c r="C62" s="11"/>
      <c r="E62" s="87">
        <v>-80</v>
      </c>
      <c r="I62" s="11"/>
      <c r="J62" s="11"/>
      <c r="K62" s="75"/>
      <c r="L62" s="75"/>
      <c r="M62" s="75"/>
      <c r="N62" s="75"/>
    </row>
    <row r="63" spans="1:14" s="87" customFormat="1">
      <c r="A63" s="375">
        <v>45844</v>
      </c>
      <c r="B63" s="103" t="s">
        <v>1654</v>
      </c>
      <c r="C63" s="11"/>
      <c r="E63" s="87">
        <v>-310</v>
      </c>
      <c r="I63" s="11"/>
      <c r="J63" s="11"/>
      <c r="K63" s="75"/>
      <c r="L63" s="75"/>
      <c r="M63" s="75"/>
      <c r="N63" s="75"/>
    </row>
    <row r="64" spans="1:14" s="87" customFormat="1">
      <c r="A64" s="375"/>
      <c r="B64" s="103" t="s">
        <v>1296</v>
      </c>
      <c r="C64" s="11"/>
      <c r="E64" s="87">
        <v>-1000</v>
      </c>
      <c r="I64" s="11"/>
      <c r="J64" s="11"/>
      <c r="K64" s="75"/>
      <c r="L64" s="75"/>
      <c r="M64" s="75"/>
      <c r="N64" s="75"/>
    </row>
    <row r="65" spans="1:14" s="87" customFormat="1">
      <c r="A65" s="375">
        <v>45845</v>
      </c>
      <c r="B65" s="103" t="s">
        <v>1907</v>
      </c>
      <c r="C65" s="11"/>
      <c r="E65" s="87">
        <v>-260</v>
      </c>
      <c r="I65" s="11"/>
      <c r="J65" s="11"/>
      <c r="K65" s="75"/>
      <c r="L65" s="75"/>
      <c r="M65" s="75"/>
      <c r="N65" s="75"/>
    </row>
    <row r="66" spans="1:14" s="87" customFormat="1">
      <c r="A66" s="375">
        <v>45845</v>
      </c>
      <c r="B66" s="103" t="s">
        <v>1908</v>
      </c>
      <c r="C66" s="11">
        <v>39087.629999999997</v>
      </c>
      <c r="I66" s="11"/>
      <c r="J66" s="11"/>
      <c r="K66" s="75"/>
      <c r="L66" s="75"/>
      <c r="M66" s="75"/>
      <c r="N66" s="75"/>
    </row>
    <row r="67" spans="1:14" s="87" customFormat="1">
      <c r="A67" s="375">
        <v>45846</v>
      </c>
      <c r="B67" s="103" t="s">
        <v>1603</v>
      </c>
      <c r="C67" s="11"/>
      <c r="E67" s="87">
        <v>-80</v>
      </c>
      <c r="I67" s="11"/>
      <c r="J67" s="11"/>
      <c r="K67" s="75"/>
      <c r="L67" s="75"/>
      <c r="M67" s="75"/>
      <c r="N67" s="75"/>
    </row>
    <row r="68" spans="1:14" s="87" customFormat="1">
      <c r="A68" s="375">
        <v>45847</v>
      </c>
      <c r="B68" s="103" t="s">
        <v>1907</v>
      </c>
      <c r="C68" s="11"/>
      <c r="E68" s="87">
        <v>-250</v>
      </c>
      <c r="I68" s="11"/>
      <c r="J68" s="11"/>
      <c r="K68" s="75"/>
      <c r="L68" s="75"/>
      <c r="M68" s="75"/>
      <c r="N68" s="75"/>
    </row>
    <row r="69" spans="1:14" s="87" customFormat="1">
      <c r="A69" s="11"/>
      <c r="B69" s="103" t="s">
        <v>119</v>
      </c>
      <c r="C69" s="11"/>
      <c r="E69" s="87">
        <v>-15</v>
      </c>
      <c r="I69" s="11"/>
      <c r="J69" s="11"/>
      <c r="K69" s="75"/>
      <c r="L69" s="75"/>
      <c r="M69" s="75"/>
      <c r="N69" s="75"/>
    </row>
    <row r="70" spans="1:14" s="87" customFormat="1">
      <c r="A70" s="11"/>
      <c r="B70" s="103" t="s">
        <v>1909</v>
      </c>
      <c r="C70" s="11"/>
      <c r="E70" s="87">
        <v>-1287.4000000000001</v>
      </c>
      <c r="I70" s="11"/>
      <c r="J70" s="11"/>
      <c r="K70" s="75"/>
      <c r="L70" s="75"/>
      <c r="M70" s="75"/>
      <c r="N70" s="75"/>
    </row>
    <row r="71" spans="1:14" s="87" customFormat="1">
      <c r="A71" s="11"/>
      <c r="B71" s="103" t="s">
        <v>119</v>
      </c>
      <c r="C71" s="11"/>
      <c r="E71" s="87">
        <v>-34</v>
      </c>
      <c r="I71" s="11"/>
      <c r="J71" s="11"/>
      <c r="K71" s="75"/>
      <c r="L71" s="75"/>
      <c r="M71" s="75"/>
      <c r="N71" s="75"/>
    </row>
    <row r="72" spans="1:14" s="74" customFormat="1">
      <c r="A72" s="96"/>
      <c r="B72" s="102" t="s">
        <v>119</v>
      </c>
      <c r="C72" s="102"/>
      <c r="E72" s="74">
        <v>-59.9</v>
      </c>
      <c r="K72" s="75"/>
      <c r="L72" s="75"/>
      <c r="M72" s="75"/>
      <c r="N72" s="75"/>
    </row>
    <row r="73" spans="1:14" s="74" customFormat="1">
      <c r="A73" s="96">
        <v>45848</v>
      </c>
      <c r="B73" s="102" t="s">
        <v>1682</v>
      </c>
      <c r="C73" s="102"/>
      <c r="E73" s="74">
        <v>-120</v>
      </c>
      <c r="K73" s="75"/>
      <c r="L73" s="75"/>
      <c r="M73" s="75"/>
      <c r="N73" s="75"/>
    </row>
    <row r="74" spans="1:14" s="87" customFormat="1">
      <c r="A74" s="96"/>
      <c r="B74" s="102"/>
      <c r="C74" s="102"/>
      <c r="E74" s="87">
        <v>-225</v>
      </c>
      <c r="K74" s="75"/>
      <c r="L74" s="75"/>
      <c r="M74" s="75"/>
      <c r="N74" s="75"/>
    </row>
    <row r="75" spans="1:14" s="87" customFormat="1">
      <c r="A75" s="96"/>
      <c r="B75" s="102" t="s">
        <v>1910</v>
      </c>
      <c r="C75" s="102"/>
      <c r="E75" s="87">
        <v>-260</v>
      </c>
      <c r="K75" s="75"/>
      <c r="L75" s="75"/>
      <c r="M75" s="75"/>
      <c r="N75" s="75"/>
    </row>
    <row r="76" spans="1:14" s="87" customFormat="1">
      <c r="A76" s="96">
        <v>45849</v>
      </c>
      <c r="B76" s="102" t="s">
        <v>1907</v>
      </c>
      <c r="C76" s="102"/>
      <c r="E76" s="87">
        <v>-180</v>
      </c>
      <c r="K76" s="75"/>
      <c r="L76" s="75"/>
      <c r="M76" s="75"/>
      <c r="N76" s="75"/>
    </row>
    <row r="77" spans="1:14" s="87" customFormat="1">
      <c r="A77" s="96">
        <v>45849</v>
      </c>
      <c r="B77" s="102" t="s">
        <v>1911</v>
      </c>
      <c r="C77" s="102"/>
      <c r="E77" s="87">
        <v>-750</v>
      </c>
      <c r="K77" s="75"/>
      <c r="L77" s="75"/>
      <c r="M77" s="75"/>
      <c r="N77" s="75"/>
    </row>
    <row r="78" spans="1:14" s="87" customFormat="1">
      <c r="A78" s="96">
        <v>45849</v>
      </c>
      <c r="B78" s="102" t="s">
        <v>119</v>
      </c>
      <c r="C78" s="102"/>
      <c r="E78" s="87">
        <v>-165.22</v>
      </c>
      <c r="K78" s="75"/>
      <c r="L78" s="75"/>
      <c r="M78" s="75"/>
      <c r="N78" s="75"/>
    </row>
    <row r="79" spans="1:14" s="87" customFormat="1">
      <c r="A79" s="96">
        <v>45850</v>
      </c>
      <c r="B79" s="102" t="s">
        <v>1907</v>
      </c>
      <c r="C79" s="102"/>
      <c r="E79" s="87">
        <v>-250</v>
      </c>
      <c r="K79" s="75"/>
      <c r="L79" s="75"/>
      <c r="M79" s="75"/>
      <c r="N79" s="75"/>
    </row>
    <row r="80" spans="1:14" s="87" customFormat="1">
      <c r="A80" s="96">
        <v>45851</v>
      </c>
      <c r="B80" s="102" t="s">
        <v>1761</v>
      </c>
      <c r="C80" s="102"/>
      <c r="E80" s="87">
        <v>-360</v>
      </c>
      <c r="K80" s="75"/>
      <c r="L80" s="75"/>
      <c r="M80" s="75"/>
      <c r="N80" s="75"/>
    </row>
    <row r="81" spans="1:14" s="87" customFormat="1">
      <c r="A81" s="96">
        <v>45852</v>
      </c>
      <c r="B81" s="102" t="s">
        <v>1907</v>
      </c>
      <c r="C81" s="102"/>
      <c r="E81" s="87">
        <v>-180</v>
      </c>
      <c r="K81" s="75"/>
      <c r="L81" s="75"/>
      <c r="M81" s="75"/>
      <c r="N81" s="75"/>
    </row>
    <row r="82" spans="1:14" s="87" customFormat="1">
      <c r="A82" s="96">
        <v>45853</v>
      </c>
      <c r="B82" s="102" t="s">
        <v>1907</v>
      </c>
      <c r="C82" s="102"/>
      <c r="E82" s="87">
        <v>-180</v>
      </c>
      <c r="K82" s="75"/>
      <c r="L82" s="75"/>
      <c r="M82" s="75"/>
      <c r="N82" s="75"/>
    </row>
    <row r="83" spans="1:14" s="87" customFormat="1">
      <c r="A83" s="96">
        <v>45853</v>
      </c>
      <c r="B83" s="102" t="s">
        <v>119</v>
      </c>
      <c r="C83" s="102"/>
      <c r="E83" s="87">
        <v>-11.95</v>
      </c>
      <c r="K83" s="75"/>
      <c r="L83" s="75"/>
      <c r="M83" s="75"/>
      <c r="N83" s="75"/>
    </row>
    <row r="84" spans="1:14" s="74" customFormat="1">
      <c r="A84" s="96"/>
      <c r="B84" s="103" t="s">
        <v>119</v>
      </c>
      <c r="C84" s="102"/>
      <c r="E84" s="74">
        <v>-100.6</v>
      </c>
      <c r="K84" s="75"/>
      <c r="L84" s="75"/>
      <c r="M84" s="75"/>
      <c r="N84" s="75"/>
    </row>
    <row r="85" spans="1:14" s="74" customFormat="1">
      <c r="A85" s="96">
        <v>45854</v>
      </c>
      <c r="B85" s="103" t="s">
        <v>1907</v>
      </c>
      <c r="C85" s="102"/>
      <c r="E85" s="74">
        <v>-250</v>
      </c>
      <c r="K85" s="75"/>
      <c r="L85" s="75"/>
      <c r="M85" s="75"/>
      <c r="N85" s="75"/>
    </row>
    <row r="86" spans="1:14" s="74" customFormat="1">
      <c r="A86" s="96">
        <v>45854</v>
      </c>
      <c r="B86" s="103" t="s">
        <v>119</v>
      </c>
      <c r="E86" s="74">
        <v>-51.47</v>
      </c>
      <c r="K86" s="75"/>
      <c r="L86" s="75"/>
      <c r="M86" s="75"/>
      <c r="N86" s="75"/>
    </row>
    <row r="87" spans="1:14" s="74" customFormat="1">
      <c r="A87" s="96">
        <v>45855</v>
      </c>
      <c r="B87" s="103" t="s">
        <v>1912</v>
      </c>
      <c r="C87" s="102"/>
      <c r="E87" s="74">
        <v>-150</v>
      </c>
      <c r="K87" s="75"/>
      <c r="L87" s="75"/>
      <c r="M87" s="75"/>
      <c r="N87" s="75"/>
    </row>
    <row r="88" spans="1:14" s="74" customFormat="1">
      <c r="A88" s="96"/>
      <c r="B88" s="3" t="s">
        <v>1913</v>
      </c>
      <c r="E88" s="74">
        <v>-140</v>
      </c>
      <c r="K88" s="75"/>
      <c r="L88" s="75"/>
      <c r="M88" s="75"/>
      <c r="N88" s="75"/>
    </row>
    <row r="89" spans="1:14" s="87" customFormat="1">
      <c r="A89" s="96"/>
      <c r="B89" s="89" t="s">
        <v>119</v>
      </c>
      <c r="E89" s="87">
        <v>-29</v>
      </c>
      <c r="K89" s="75"/>
      <c r="L89" s="75"/>
      <c r="M89" s="75"/>
      <c r="N89" s="75"/>
    </row>
    <row r="90" spans="1:14" s="87" customFormat="1">
      <c r="A90" s="96"/>
      <c r="B90" s="89" t="s">
        <v>1907</v>
      </c>
      <c r="E90" s="87">
        <v>-250</v>
      </c>
      <c r="K90" s="75"/>
      <c r="L90" s="75"/>
      <c r="M90" s="75"/>
      <c r="N90" s="75"/>
    </row>
    <row r="91" spans="1:14" s="87" customFormat="1">
      <c r="A91" s="96"/>
      <c r="B91" s="89" t="s">
        <v>119</v>
      </c>
      <c r="E91" s="87">
        <v>-90.86</v>
      </c>
      <c r="K91" s="75"/>
      <c r="L91" s="75"/>
      <c r="M91" s="75"/>
      <c r="N91" s="75"/>
    </row>
    <row r="92" spans="1:14" s="87" customFormat="1">
      <c r="A92" s="96">
        <v>45856</v>
      </c>
      <c r="B92" s="89" t="s">
        <v>1907</v>
      </c>
      <c r="E92" s="87">
        <v>-180</v>
      </c>
      <c r="K92" s="75"/>
      <c r="L92" s="75"/>
      <c r="M92" s="75"/>
      <c r="N92" s="75"/>
    </row>
    <row r="93" spans="1:14" s="87" customFormat="1">
      <c r="A93" s="96">
        <v>45857</v>
      </c>
      <c r="B93" s="89" t="s">
        <v>119</v>
      </c>
      <c r="E93" s="87">
        <v>-46.9</v>
      </c>
      <c r="K93" s="75"/>
      <c r="L93" s="75"/>
      <c r="M93" s="75"/>
      <c r="N93" s="75"/>
    </row>
    <row r="94" spans="1:14" s="87" customFormat="1">
      <c r="A94" s="96">
        <v>45857</v>
      </c>
      <c r="B94" s="89" t="s">
        <v>1914</v>
      </c>
      <c r="E94" s="87">
        <v>-440</v>
      </c>
      <c r="K94" s="75"/>
      <c r="L94" s="75"/>
      <c r="M94" s="75"/>
      <c r="N94" s="75"/>
    </row>
    <row r="95" spans="1:14" s="87" customFormat="1">
      <c r="A95" s="96"/>
      <c r="B95" s="89" t="s">
        <v>1907</v>
      </c>
      <c r="E95" s="87">
        <v>-250</v>
      </c>
      <c r="K95" s="75"/>
      <c r="L95" s="75"/>
      <c r="M95" s="75"/>
      <c r="N95" s="75"/>
    </row>
    <row r="96" spans="1:14" s="87" customFormat="1">
      <c r="A96" s="96">
        <v>45858</v>
      </c>
      <c r="B96" s="89" t="s">
        <v>1662</v>
      </c>
      <c r="E96" s="87">
        <v>-220</v>
      </c>
      <c r="K96" s="75"/>
      <c r="L96" s="75"/>
      <c r="M96" s="75"/>
      <c r="N96" s="75"/>
    </row>
    <row r="97" spans="1:14" s="87" customFormat="1">
      <c r="A97" s="96">
        <v>45859</v>
      </c>
      <c r="B97" s="89" t="s">
        <v>1907</v>
      </c>
      <c r="E97" s="87">
        <v>-250</v>
      </c>
      <c r="K97" s="75"/>
      <c r="L97" s="75"/>
      <c r="M97" s="75"/>
      <c r="N97" s="75"/>
    </row>
    <row r="98" spans="1:14" s="87" customFormat="1">
      <c r="A98" s="96"/>
      <c r="B98" s="89" t="s">
        <v>119</v>
      </c>
      <c r="E98" s="87">
        <v>-50.96</v>
      </c>
      <c r="K98" s="75"/>
      <c r="L98" s="75"/>
      <c r="M98" s="75"/>
      <c r="N98" s="75"/>
    </row>
    <row r="99" spans="1:14" s="87" customFormat="1">
      <c r="A99" s="96">
        <v>45860</v>
      </c>
      <c r="B99" s="89" t="s">
        <v>1915</v>
      </c>
      <c r="E99" s="87">
        <v>-280</v>
      </c>
      <c r="K99" s="75"/>
      <c r="L99" s="75"/>
      <c r="M99" s="75"/>
      <c r="N99" s="75"/>
    </row>
    <row r="100" spans="1:14" s="87" customFormat="1">
      <c r="A100" s="96"/>
      <c r="B100" s="89" t="s">
        <v>119</v>
      </c>
      <c r="E100" s="87">
        <v>-23</v>
      </c>
      <c r="K100" s="75"/>
      <c r="L100" s="75"/>
      <c r="M100" s="75"/>
      <c r="N100" s="75"/>
    </row>
    <row r="101" spans="1:14" s="87" customFormat="1">
      <c r="A101" s="96"/>
      <c r="B101" s="89" t="s">
        <v>1907</v>
      </c>
      <c r="E101" s="87">
        <v>-180</v>
      </c>
      <c r="K101" s="75"/>
      <c r="L101" s="75"/>
      <c r="M101" s="75"/>
      <c r="N101" s="75"/>
    </row>
    <row r="102" spans="1:14" s="87" customFormat="1">
      <c r="A102" s="96"/>
      <c r="B102" s="89" t="s">
        <v>1916</v>
      </c>
      <c r="E102" s="87">
        <v>-100</v>
      </c>
      <c r="K102" s="75"/>
      <c r="L102" s="75"/>
      <c r="M102" s="75"/>
      <c r="N102" s="75"/>
    </row>
    <row r="103" spans="1:14" s="87" customFormat="1">
      <c r="A103" s="96"/>
      <c r="B103" s="89" t="s">
        <v>119</v>
      </c>
      <c r="E103" s="87">
        <v>-335.7</v>
      </c>
      <c r="K103" s="75"/>
      <c r="L103" s="75"/>
      <c r="M103" s="75"/>
      <c r="N103" s="75"/>
    </row>
    <row r="104" spans="1:14" s="87" customFormat="1">
      <c r="A104" s="96">
        <v>45861</v>
      </c>
      <c r="B104" s="89" t="s">
        <v>1907</v>
      </c>
      <c r="E104" s="87">
        <v>-260</v>
      </c>
      <c r="K104" s="75"/>
      <c r="L104" s="75"/>
      <c r="M104" s="75"/>
      <c r="N104" s="75"/>
    </row>
    <row r="105" spans="1:14" s="87" customFormat="1">
      <c r="A105" s="96">
        <v>45862</v>
      </c>
      <c r="B105" s="89" t="s">
        <v>1917</v>
      </c>
      <c r="E105" s="87">
        <v>-485</v>
      </c>
      <c r="K105" s="75"/>
      <c r="L105" s="75"/>
      <c r="M105" s="75"/>
      <c r="N105" s="75"/>
    </row>
    <row r="106" spans="1:14" s="87" customFormat="1">
      <c r="A106" s="96">
        <v>45863</v>
      </c>
      <c r="B106" s="89" t="s">
        <v>119</v>
      </c>
      <c r="E106" s="87">
        <v>-53.9</v>
      </c>
      <c r="K106" s="75"/>
      <c r="L106" s="75"/>
      <c r="M106" s="75"/>
      <c r="N106" s="75"/>
    </row>
    <row r="107" spans="1:14" s="87" customFormat="1" ht="15">
      <c r="A107" s="96"/>
      <c r="B107" s="89"/>
      <c r="E107" s="101" t="s">
        <v>76</v>
      </c>
      <c r="K107" s="75"/>
      <c r="L107" s="75"/>
      <c r="M107" s="75"/>
      <c r="N107" s="75"/>
    </row>
    <row r="108" spans="1:14" s="87" customFormat="1">
      <c r="A108" s="96"/>
      <c r="B108" s="89"/>
      <c r="K108" s="75"/>
      <c r="L108" s="75"/>
      <c r="M108" s="75"/>
      <c r="N108" s="75"/>
    </row>
    <row r="109" spans="1:14" s="87" customFormat="1">
      <c r="A109" s="96"/>
      <c r="B109" s="89"/>
      <c r="K109" s="75"/>
      <c r="L109" s="75"/>
      <c r="M109" s="75"/>
      <c r="N109" s="75"/>
    </row>
    <row r="110" spans="1:14" s="74" customFormat="1">
      <c r="A110" s="96"/>
      <c r="B110" s="102"/>
      <c r="C110" s="102"/>
      <c r="K110" s="75"/>
      <c r="L110" s="75"/>
      <c r="M110" s="75"/>
      <c r="N110" s="75"/>
    </row>
    <row r="111" spans="1:14" s="74" customFormat="1">
      <c r="A111" s="99"/>
      <c r="B111" s="100" t="s">
        <v>77</v>
      </c>
      <c r="C111" s="99"/>
      <c r="E111" s="74">
        <f>SUM(E112:E117)</f>
        <v>-636.74</v>
      </c>
      <c r="F111" s="74">
        <v>1.53</v>
      </c>
      <c r="K111" s="75"/>
      <c r="L111" s="75"/>
      <c r="M111" s="75"/>
      <c r="N111" s="75"/>
    </row>
    <row r="112" spans="1:14" s="74" customFormat="1">
      <c r="A112" s="96"/>
      <c r="B112" s="102"/>
      <c r="C112" s="102"/>
      <c r="F112" s="74">
        <f>E111+F111</f>
        <v>-635.21</v>
      </c>
      <c r="K112" s="75"/>
      <c r="L112" s="75"/>
      <c r="M112" s="75"/>
      <c r="N112" s="75"/>
    </row>
    <row r="113" spans="1:14" s="74" customFormat="1">
      <c r="A113" s="94">
        <v>45728</v>
      </c>
      <c r="B113" s="87" t="s">
        <v>1678</v>
      </c>
      <c r="C113" s="11"/>
      <c r="D113" s="87" t="s">
        <v>1711</v>
      </c>
      <c r="E113" s="87">
        <v>-625</v>
      </c>
      <c r="K113" s="75"/>
      <c r="L113" s="75"/>
      <c r="M113" s="75"/>
      <c r="N113" s="75"/>
    </row>
    <row r="114" spans="1:14" s="74" customFormat="1">
      <c r="A114" s="96"/>
      <c r="B114" s="3" t="s">
        <v>536</v>
      </c>
      <c r="C114" s="102"/>
      <c r="E114" s="74">
        <v>-10.210000000000001</v>
      </c>
      <c r="K114" s="75"/>
      <c r="L114" s="75"/>
      <c r="M114" s="75"/>
      <c r="N114" s="75"/>
    </row>
    <row r="115" spans="1:14" s="74" customFormat="1">
      <c r="A115" s="96"/>
      <c r="B115" s="3" t="s">
        <v>534</v>
      </c>
      <c r="C115" s="102"/>
      <c r="E115" s="74">
        <v>-1.53</v>
      </c>
      <c r="K115" s="75"/>
      <c r="L115" s="75"/>
      <c r="M115" s="75"/>
      <c r="N115" s="75"/>
    </row>
    <row r="116" spans="1:14" s="74" customFormat="1" ht="15">
      <c r="A116" s="96"/>
      <c r="B116" s="3"/>
      <c r="C116" s="102"/>
      <c r="E116" s="101" t="s">
        <v>76</v>
      </c>
      <c r="K116" s="75"/>
      <c r="L116" s="75"/>
      <c r="M116" s="75"/>
      <c r="N116" s="75"/>
    </row>
    <row r="117" spans="1:14" s="74" customFormat="1">
      <c r="A117" s="96"/>
      <c r="B117" s="3"/>
      <c r="C117" s="102"/>
      <c r="K117" s="75"/>
      <c r="L117" s="75"/>
      <c r="M117" s="75"/>
      <c r="N117" s="75"/>
    </row>
    <row r="118" spans="1:14" s="74" customFormat="1">
      <c r="A118" s="96"/>
      <c r="B118" s="3"/>
      <c r="C118" s="102"/>
      <c r="K118" s="75"/>
      <c r="L118" s="75"/>
      <c r="M118" s="75"/>
      <c r="N118" s="75"/>
    </row>
    <row r="119" spans="1:14" s="74" customFormat="1">
      <c r="A119" s="96"/>
      <c r="B119" s="3"/>
      <c r="C119" s="102"/>
      <c r="K119" s="75"/>
      <c r="L119" s="75"/>
      <c r="M119" s="75"/>
      <c r="N119" s="75"/>
    </row>
    <row r="120" spans="1:14" s="74" customFormat="1">
      <c r="A120" s="96"/>
      <c r="B120" s="3"/>
      <c r="C120" s="102"/>
      <c r="K120" s="75"/>
      <c r="L120" s="75"/>
      <c r="M120" s="75"/>
      <c r="N120" s="75"/>
    </row>
    <row r="121" spans="1:14" s="87" customFormat="1">
      <c r="A121" s="96"/>
      <c r="B121" s="89"/>
      <c r="C121" s="102"/>
      <c r="K121" s="75"/>
      <c r="L121" s="75"/>
      <c r="M121" s="75"/>
      <c r="N121" s="75"/>
    </row>
    <row r="122" spans="1:14" s="74" customFormat="1">
      <c r="A122" s="96"/>
      <c r="B122" s="3"/>
      <c r="C122" s="102"/>
      <c r="K122" s="75"/>
      <c r="L122" s="75"/>
      <c r="M122" s="75"/>
      <c r="N122" s="75"/>
    </row>
    <row r="123" spans="1:14" s="74" customFormat="1">
      <c r="A123" s="96"/>
      <c r="B123" s="3"/>
      <c r="C123" s="102"/>
      <c r="K123" s="75"/>
      <c r="L123" s="75"/>
      <c r="M123" s="75"/>
      <c r="N123" s="75"/>
    </row>
    <row r="124" spans="1:14" s="74" customFormat="1">
      <c r="A124" s="555" t="s">
        <v>1919</v>
      </c>
      <c r="B124" s="100" t="s">
        <v>128</v>
      </c>
      <c r="C124" s="99">
        <v>2025</v>
      </c>
      <c r="D124" s="87"/>
      <c r="E124" s="87"/>
      <c r="F124" s="87"/>
      <c r="G124" s="87">
        <f>SUM(G128:G153)</f>
        <v>632897.64999999991</v>
      </c>
      <c r="H124" s="87"/>
      <c r="I124" s="87"/>
      <c r="J124" s="542"/>
      <c r="K124" s="75"/>
      <c r="L124" s="75"/>
      <c r="M124" s="75"/>
      <c r="N124" s="75"/>
    </row>
    <row r="125" spans="1:14" s="74" customFormat="1">
      <c r="A125" s="555"/>
      <c r="B125" s="100"/>
      <c r="C125" s="99"/>
      <c r="D125" s="87"/>
      <c r="E125" s="87"/>
      <c r="F125" s="87"/>
      <c r="G125" s="87"/>
      <c r="H125" s="87"/>
      <c r="I125" s="87"/>
      <c r="J125" s="542"/>
      <c r="K125" s="75"/>
      <c r="L125" s="75"/>
      <c r="M125" s="75"/>
      <c r="N125" s="75"/>
    </row>
    <row r="126" spans="1:14" s="74" customFormat="1">
      <c r="A126" s="555"/>
      <c r="B126" s="100"/>
      <c r="C126" s="99"/>
      <c r="D126" s="87"/>
      <c r="E126" s="87" t="s">
        <v>129</v>
      </c>
      <c r="F126" s="87"/>
      <c r="G126" s="87"/>
      <c r="H126" s="87"/>
      <c r="I126" s="87"/>
      <c r="J126" s="542"/>
      <c r="K126" s="75"/>
      <c r="L126" s="75"/>
      <c r="M126" s="75"/>
      <c r="N126" s="75"/>
    </row>
    <row r="127" spans="1:14" s="74" customFormat="1">
      <c r="A127" s="94"/>
      <c r="B127" s="87" t="s">
        <v>69</v>
      </c>
      <c r="C127" s="87"/>
      <c r="D127" s="87"/>
      <c r="E127" s="87"/>
      <c r="F127" s="87"/>
      <c r="G127" s="87">
        <v>0</v>
      </c>
      <c r="H127" s="87"/>
      <c r="I127" s="87"/>
      <c r="J127" s="542"/>
      <c r="K127" s="75"/>
      <c r="L127" s="75"/>
      <c r="M127" s="75"/>
      <c r="N127" s="75"/>
    </row>
    <row r="128" spans="1:14" s="74" customFormat="1">
      <c r="A128" s="94"/>
      <c r="B128" s="87" t="s">
        <v>70</v>
      </c>
      <c r="C128" s="87"/>
      <c r="D128" s="87"/>
      <c r="E128" s="87"/>
      <c r="F128" s="87"/>
      <c r="G128" s="87">
        <v>0</v>
      </c>
      <c r="H128" s="87"/>
      <c r="I128" s="87"/>
      <c r="J128" s="542"/>
      <c r="K128" s="75"/>
      <c r="L128" s="75"/>
      <c r="M128" s="75"/>
      <c r="N128" s="75"/>
    </row>
    <row r="129" spans="1:14" s="74" customFormat="1">
      <c r="A129" s="556">
        <v>45899</v>
      </c>
      <c r="B129" s="87" t="s">
        <v>1727</v>
      </c>
      <c r="C129" s="87"/>
      <c r="D129" s="87"/>
      <c r="E129" s="87">
        <v>15330</v>
      </c>
      <c r="F129" s="87">
        <v>15330</v>
      </c>
      <c r="G129" s="87">
        <v>0</v>
      </c>
      <c r="H129" s="87"/>
      <c r="I129" s="87"/>
      <c r="J129" s="542"/>
      <c r="K129" s="75"/>
      <c r="L129" s="75"/>
      <c r="M129" s="75"/>
      <c r="N129" s="75"/>
    </row>
    <row r="130" spans="1:14" s="74" customFormat="1">
      <c r="A130" s="556"/>
      <c r="B130" s="87" t="s">
        <v>1953</v>
      </c>
      <c r="C130" s="87"/>
      <c r="D130" s="87"/>
      <c r="E130" s="87">
        <v>20670</v>
      </c>
      <c r="F130" s="87">
        <v>20370</v>
      </c>
      <c r="G130" s="87">
        <v>0</v>
      </c>
      <c r="H130" s="87"/>
      <c r="I130" s="87"/>
      <c r="J130" s="542"/>
      <c r="K130" s="75"/>
      <c r="L130" s="75"/>
      <c r="M130" s="75"/>
      <c r="N130" s="75"/>
    </row>
    <row r="131" spans="1:14" s="74" customFormat="1">
      <c r="A131" s="556">
        <v>45899</v>
      </c>
      <c r="B131" s="87" t="s">
        <v>131</v>
      </c>
      <c r="C131" s="12"/>
      <c r="D131" s="12"/>
      <c r="E131" s="87"/>
      <c r="F131" s="87"/>
      <c r="G131" s="14">
        <v>35758</v>
      </c>
      <c r="H131" s="87"/>
      <c r="I131" s="87"/>
      <c r="J131" s="542"/>
      <c r="K131" s="75"/>
      <c r="L131" s="75"/>
      <c r="M131" s="75"/>
      <c r="N131" s="75"/>
    </row>
    <row r="132" spans="1:14" s="74" customFormat="1">
      <c r="A132" s="556">
        <v>45899</v>
      </c>
      <c r="B132" s="87" t="s">
        <v>132</v>
      </c>
      <c r="C132" s="12"/>
      <c r="D132" s="12"/>
      <c r="E132" s="87"/>
      <c r="F132" s="87"/>
      <c r="G132" s="14">
        <v>0</v>
      </c>
      <c r="H132" s="87"/>
      <c r="I132" s="87"/>
      <c r="J132" s="542"/>
      <c r="K132" s="75"/>
      <c r="L132" s="75"/>
      <c r="M132" s="75"/>
      <c r="N132" s="75"/>
    </row>
    <row r="133" spans="1:14">
      <c r="A133" s="94"/>
      <c r="B133" s="87"/>
      <c r="C133" s="12"/>
      <c r="D133" s="12"/>
      <c r="E133" s="87"/>
      <c r="F133" s="87"/>
      <c r="G133" s="14"/>
      <c r="H133" s="87" t="s">
        <v>1954</v>
      </c>
      <c r="J133" s="542"/>
    </row>
    <row r="134" spans="1:14">
      <c r="A134" s="94">
        <v>45659</v>
      </c>
      <c r="B134" s="79" t="s">
        <v>1594</v>
      </c>
      <c r="C134" s="110">
        <v>2400</v>
      </c>
      <c r="D134" s="111">
        <v>30.86</v>
      </c>
      <c r="E134" s="112">
        <f t="shared" ref="E134" si="1">D134*C134</f>
        <v>74064</v>
      </c>
      <c r="F134" s="87">
        <v>49.35</v>
      </c>
      <c r="G134" s="14">
        <f t="shared" ref="G134" si="2">F134*C134</f>
        <v>118440</v>
      </c>
      <c r="H134" s="87">
        <f>G134-E134</f>
        <v>44376</v>
      </c>
      <c r="I134" s="407">
        <f>SUM(G134:G134)</f>
        <v>118440</v>
      </c>
    </row>
    <row r="135" spans="1:14" ht="13.5" thickBot="1">
      <c r="A135" s="94">
        <v>45659</v>
      </c>
      <c r="B135" s="79" t="s">
        <v>1594</v>
      </c>
      <c r="C135" s="110">
        <v>1100</v>
      </c>
      <c r="D135" s="111">
        <v>30.86</v>
      </c>
      <c r="E135" s="112">
        <f t="shared" ref="E135" si="3">D135*C135</f>
        <v>33946</v>
      </c>
      <c r="F135" s="87">
        <v>49.35</v>
      </c>
      <c r="G135" s="14">
        <f t="shared" ref="G135" si="4">F135*C135</f>
        <v>54285</v>
      </c>
      <c r="H135" s="87">
        <f>G135-E135</f>
        <v>20339</v>
      </c>
      <c r="I135" s="407">
        <f>SUM(G135:G135)</f>
        <v>54285</v>
      </c>
    </row>
    <row r="136" spans="1:14" ht="13.5" thickBot="1">
      <c r="A136" s="94"/>
      <c r="B136" s="87"/>
      <c r="C136" s="12"/>
      <c r="D136" s="12"/>
      <c r="E136" s="87">
        <f>SUM(E134:E135)</f>
        <v>108010</v>
      </c>
      <c r="F136" s="87"/>
      <c r="G136" s="87">
        <f>SUM(G134:G135)</f>
        <v>172725</v>
      </c>
      <c r="H136" s="113">
        <f>SUM(H134:H135)</f>
        <v>64715</v>
      </c>
      <c r="I136" s="568">
        <f>(SUM(G134:G135))-(SUM(E134:E135))</f>
        <v>64715</v>
      </c>
    </row>
    <row r="137" spans="1:14">
      <c r="A137" s="94"/>
      <c r="B137" s="87"/>
      <c r="C137" s="12"/>
      <c r="D137" s="12"/>
      <c r="E137" s="87"/>
      <c r="F137" s="87"/>
      <c r="G137" s="87"/>
      <c r="H137" s="87"/>
      <c r="I137" s="87"/>
    </row>
    <row r="138" spans="1:14">
      <c r="A138" s="94">
        <v>45345</v>
      </c>
      <c r="B138" s="79" t="s">
        <v>135</v>
      </c>
      <c r="C138" s="114">
        <v>35000</v>
      </c>
      <c r="D138" s="391">
        <v>1.064435</v>
      </c>
      <c r="E138" s="112">
        <f>D138*C138</f>
        <v>37255.224999999999</v>
      </c>
      <c r="F138" s="392">
        <v>1.055499</v>
      </c>
      <c r="G138" s="14">
        <f>F138*C138</f>
        <v>36942.464999999997</v>
      </c>
      <c r="H138" s="87">
        <f>G138-E138</f>
        <v>-312.76000000000204</v>
      </c>
      <c r="I138" s="87"/>
    </row>
    <row r="139" spans="1:14" s="11" customFormat="1">
      <c r="A139" s="94">
        <v>45345</v>
      </c>
      <c r="B139" s="79" t="s">
        <v>135</v>
      </c>
      <c r="C139" s="114">
        <v>40000</v>
      </c>
      <c r="D139" s="391">
        <v>1.064435</v>
      </c>
      <c r="E139" s="112">
        <f>D139*C139</f>
        <v>42577.4</v>
      </c>
      <c r="F139" s="392">
        <v>1.055499</v>
      </c>
      <c r="G139" s="14"/>
      <c r="H139" s="87"/>
      <c r="I139" s="87"/>
      <c r="K139" s="75"/>
      <c r="L139" s="75"/>
      <c r="M139" s="75"/>
      <c r="N139" s="75"/>
    </row>
    <row r="140" spans="1:14" s="11" customFormat="1">
      <c r="A140" s="557">
        <v>45345</v>
      </c>
      <c r="B140" s="434" t="s">
        <v>135</v>
      </c>
      <c r="C140" s="565">
        <v>50000</v>
      </c>
      <c r="D140" s="566">
        <v>1.0032049999999999</v>
      </c>
      <c r="E140" s="437"/>
      <c r="F140" s="461"/>
      <c r="G140" s="14"/>
      <c r="H140" s="87"/>
      <c r="I140" s="87"/>
      <c r="K140" s="75"/>
      <c r="L140" s="75"/>
      <c r="M140" s="75"/>
      <c r="N140" s="75"/>
    </row>
    <row r="141" spans="1:14">
      <c r="A141" s="94">
        <v>45400</v>
      </c>
      <c r="B141" s="79" t="s">
        <v>136</v>
      </c>
      <c r="C141" s="110">
        <v>10</v>
      </c>
      <c r="D141" s="80">
        <v>135</v>
      </c>
      <c r="E141" s="112">
        <f>D141*C141</f>
        <v>1350</v>
      </c>
      <c r="F141" s="87">
        <v>144</v>
      </c>
      <c r="G141" s="14">
        <f>F141*C141</f>
        <v>1440</v>
      </c>
      <c r="H141" s="87">
        <f>G141-E141</f>
        <v>90</v>
      </c>
      <c r="I141" s="87"/>
    </row>
    <row r="142" spans="1:14">
      <c r="A142" s="94">
        <v>45418</v>
      </c>
      <c r="B142" s="79" t="s">
        <v>137</v>
      </c>
      <c r="C142" s="110">
        <v>38</v>
      </c>
      <c r="D142" s="80">
        <v>30.5</v>
      </c>
      <c r="E142" s="112">
        <f>D142*C142</f>
        <v>1159</v>
      </c>
      <c r="F142" s="87">
        <v>18.48</v>
      </c>
      <c r="G142" s="14">
        <f>F142*C142</f>
        <v>702.24</v>
      </c>
      <c r="H142" s="87">
        <f>G142-E142</f>
        <v>-456.76</v>
      </c>
      <c r="I142" s="87"/>
    </row>
    <row r="143" spans="1:14" ht="13.5" thickBot="1">
      <c r="A143" s="94">
        <v>45418</v>
      </c>
      <c r="B143" s="79" t="s">
        <v>138</v>
      </c>
      <c r="C143" s="110">
        <v>26</v>
      </c>
      <c r="D143" s="80">
        <v>37.115000000000002</v>
      </c>
      <c r="E143" s="112">
        <f>D143*C143</f>
        <v>964.99</v>
      </c>
      <c r="F143" s="87">
        <v>29.62</v>
      </c>
      <c r="G143" s="14">
        <f>F143*C143</f>
        <v>770.12</v>
      </c>
      <c r="H143" s="87">
        <f>G143-E143</f>
        <v>-194.87</v>
      </c>
      <c r="I143" s="407">
        <f>SUM(G138:G143)</f>
        <v>39854.824999999997</v>
      </c>
    </row>
    <row r="144" spans="1:14" ht="13.5" thickBot="1">
      <c r="A144" s="94"/>
      <c r="B144" s="87"/>
      <c r="C144" s="12"/>
      <c r="D144" s="12"/>
      <c r="E144" s="87">
        <f>SUM(E138:E143)</f>
        <v>83306.615000000005</v>
      </c>
      <c r="F144" s="87"/>
      <c r="G144" s="87">
        <f>SUM(G138:G143)</f>
        <v>39854.824999999997</v>
      </c>
      <c r="H144" s="87">
        <f>G144-E144</f>
        <v>-43451.790000000008</v>
      </c>
      <c r="I144" s="568">
        <f>(SUM(G138:G143))-(SUM(E138:E143))</f>
        <v>-43451.790000000008</v>
      </c>
    </row>
    <row r="145" spans="1:10">
      <c r="A145" s="94"/>
      <c r="B145" s="87"/>
      <c r="C145" s="87"/>
      <c r="D145" s="87"/>
      <c r="E145" s="14"/>
      <c r="F145" s="87"/>
      <c r="G145" s="87"/>
      <c r="H145" s="87"/>
      <c r="I145" s="87"/>
    </row>
    <row r="146" spans="1:10">
      <c r="A146" s="94">
        <v>45509</v>
      </c>
      <c r="B146" s="79" t="s">
        <v>1722</v>
      </c>
      <c r="C146" s="110">
        <v>1</v>
      </c>
      <c r="D146" s="80">
        <v>2500</v>
      </c>
      <c r="E146" s="112">
        <f>D146*C146</f>
        <v>2500</v>
      </c>
      <c r="F146" s="87">
        <v>4550</v>
      </c>
      <c r="G146" s="14">
        <f>C146*F146</f>
        <v>4550</v>
      </c>
      <c r="H146" s="87">
        <f>G146-E146</f>
        <v>2050</v>
      </c>
      <c r="I146" s="87"/>
    </row>
    <row r="147" spans="1:10">
      <c r="A147" s="94">
        <v>45509</v>
      </c>
      <c r="B147" s="79" t="s">
        <v>140</v>
      </c>
      <c r="C147" s="110">
        <v>16</v>
      </c>
      <c r="D147" s="80">
        <v>4100</v>
      </c>
      <c r="E147" s="112">
        <f>D147*C147</f>
        <v>65600</v>
      </c>
      <c r="F147" s="87">
        <f>F146*1.73</f>
        <v>7871.5</v>
      </c>
      <c r="G147" s="14">
        <f>C147*F147</f>
        <v>125944</v>
      </c>
      <c r="H147" s="87">
        <f>G147-E147</f>
        <v>60344</v>
      </c>
      <c r="I147" s="87"/>
    </row>
    <row r="148" spans="1:10" ht="13.5" thickBot="1">
      <c r="A148" s="94">
        <v>45509</v>
      </c>
      <c r="B148" s="79" t="s">
        <v>141</v>
      </c>
      <c r="C148" s="110">
        <v>1</v>
      </c>
      <c r="D148" s="80">
        <v>16200</v>
      </c>
      <c r="E148" s="112">
        <f>D148*C148</f>
        <v>16200</v>
      </c>
      <c r="F148" s="87">
        <f>F147*4</f>
        <v>31486</v>
      </c>
      <c r="G148" s="14">
        <f>C148*F148</f>
        <v>31486</v>
      </c>
      <c r="H148" s="87">
        <f>G148-E148</f>
        <v>15286</v>
      </c>
      <c r="I148" s="407">
        <f>SUM(G146:G148)</f>
        <v>161980</v>
      </c>
    </row>
    <row r="149" spans="1:10" ht="13.5" thickBot="1">
      <c r="A149" s="94"/>
      <c r="B149" s="87"/>
      <c r="C149" s="12"/>
      <c r="D149" s="12"/>
      <c r="E149" s="87">
        <f>SUM(E146:E148)</f>
        <v>84300</v>
      </c>
      <c r="F149" s="87"/>
      <c r="G149" s="87"/>
      <c r="H149" s="87"/>
      <c r="I149" s="568">
        <f>(SUM(G146:G148))-(SUM(E146:E148))</f>
        <v>77680</v>
      </c>
    </row>
    <row r="150" spans="1:10">
      <c r="A150" s="94"/>
      <c r="B150" s="87" t="s">
        <v>142</v>
      </c>
      <c r="C150" s="116">
        <v>33.250599999999999</v>
      </c>
      <c r="D150" s="12"/>
      <c r="E150" s="87"/>
      <c r="F150" s="87"/>
      <c r="G150" s="14"/>
      <c r="H150" s="87"/>
      <c r="I150" s="87"/>
      <c r="J150" s="542"/>
    </row>
    <row r="151" spans="1:10">
      <c r="A151" s="94"/>
      <c r="B151" s="87" t="s">
        <v>143</v>
      </c>
      <c r="C151" s="116">
        <v>36.854999999999997</v>
      </c>
      <c r="D151" s="12"/>
      <c r="E151" s="87"/>
      <c r="F151" s="87"/>
      <c r="G151" s="14"/>
      <c r="H151" s="87"/>
      <c r="I151" s="87"/>
      <c r="J151" s="542"/>
    </row>
    <row r="152" spans="1:10">
      <c r="A152" s="94"/>
      <c r="B152" s="87" t="s">
        <v>144</v>
      </c>
      <c r="C152" s="12"/>
      <c r="D152" s="12"/>
      <c r="E152" s="87"/>
      <c r="F152" s="87"/>
      <c r="G152" s="14">
        <v>0</v>
      </c>
      <c r="H152" s="87"/>
      <c r="I152" s="87"/>
      <c r="J152" s="542"/>
    </row>
    <row r="153" spans="1:10" ht="13.5" thickBot="1">
      <c r="A153" s="94"/>
      <c r="B153" s="87" t="s">
        <v>145</v>
      </c>
      <c r="C153" s="12"/>
      <c r="D153" s="12"/>
      <c r="E153" s="87"/>
      <c r="F153" s="87"/>
      <c r="G153" s="14">
        <v>10000</v>
      </c>
      <c r="H153" s="87"/>
      <c r="I153" s="87"/>
      <c r="J153" s="542"/>
    </row>
    <row r="154" spans="1:10" ht="13.5" thickBot="1">
      <c r="A154" s="94"/>
      <c r="B154" s="87"/>
      <c r="C154" s="87"/>
      <c r="D154" s="87"/>
      <c r="E154" s="117"/>
      <c r="F154" s="118"/>
      <c r="G154" s="119" t="s">
        <v>146</v>
      </c>
      <c r="H154" s="569">
        <f>I149+I144+I136</f>
        <v>98943.209999999992</v>
      </c>
      <c r="I154" s="87"/>
      <c r="J154" s="542"/>
    </row>
    <row r="155" spans="1:10" ht="13.5" thickBot="1">
      <c r="A155" s="94"/>
      <c r="B155" s="87"/>
      <c r="C155" s="120"/>
      <c r="D155" s="89"/>
      <c r="E155" s="87"/>
      <c r="F155" s="87"/>
      <c r="G155" s="120"/>
      <c r="H155" s="87"/>
      <c r="I155" s="87"/>
      <c r="J155" s="542"/>
    </row>
    <row r="156" spans="1:10" ht="13.5" thickBot="1">
      <c r="A156" s="94"/>
      <c r="B156" s="87"/>
      <c r="C156" s="120"/>
      <c r="D156" s="15" t="s">
        <v>147</v>
      </c>
      <c r="E156" s="87"/>
      <c r="F156" s="87"/>
      <c r="G156" s="470">
        <f>SUM(G128:G153)</f>
        <v>632897.64999999991</v>
      </c>
      <c r="H156" s="87"/>
      <c r="I156" s="87"/>
      <c r="J156" s="542"/>
    </row>
    <row r="157" spans="1:10">
      <c r="A157" s="94"/>
      <c r="B157" s="563"/>
      <c r="C157" s="564" t="str">
        <f>A124</f>
        <v>EYLÜL  2025 e</v>
      </c>
      <c r="D157" s="564" t="s">
        <v>148</v>
      </c>
      <c r="E157" s="87"/>
      <c r="F157" s="87"/>
      <c r="G157" s="123"/>
      <c r="H157" s="87"/>
      <c r="I157" s="87"/>
      <c r="J157" s="542"/>
    </row>
    <row r="158" spans="1:10">
      <c r="A158" s="94"/>
      <c r="B158" s="11"/>
      <c r="C158" s="426"/>
      <c r="D158" s="427"/>
      <c r="E158" s="393"/>
      <c r="F158" s="393"/>
      <c r="G158" s="397"/>
      <c r="H158" s="87"/>
      <c r="I158" s="87"/>
      <c r="J158" s="542"/>
    </row>
    <row r="159" spans="1:10">
      <c r="A159" s="418"/>
      <c r="B159" s="87" t="s">
        <v>1676</v>
      </c>
      <c r="C159" s="87"/>
      <c r="D159" s="87"/>
      <c r="E159" s="87"/>
      <c r="F159" s="87"/>
      <c r="G159" s="87"/>
      <c r="H159" s="87"/>
      <c r="I159" s="11"/>
      <c r="J159" s="542"/>
    </row>
    <row r="160" spans="1:10">
      <c r="A160" s="94">
        <v>45345</v>
      </c>
      <c r="B160" s="79" t="s">
        <v>135</v>
      </c>
      <c r="C160" s="114">
        <v>50000</v>
      </c>
      <c r="D160" s="391">
        <v>1.0032049999999999</v>
      </c>
      <c r="E160" s="112">
        <f>D160*C160</f>
        <v>50160.249999999993</v>
      </c>
      <c r="F160" s="392">
        <v>1.0055810000000001</v>
      </c>
      <c r="G160" s="14">
        <f>F160*C160</f>
        <v>50279.05</v>
      </c>
      <c r="H160" s="87">
        <f>G160-E160</f>
        <v>118.80000000001019</v>
      </c>
      <c r="J160" s="542"/>
    </row>
    <row r="161" spans="1:14">
      <c r="A161" s="94">
        <v>45873</v>
      </c>
      <c r="B161" s="79" t="s">
        <v>1885</v>
      </c>
      <c r="C161" s="562"/>
      <c r="D161" s="111"/>
      <c r="E161" s="112"/>
      <c r="F161" s="87"/>
      <c r="G161" s="14"/>
      <c r="H161" s="87"/>
      <c r="I161" s="11"/>
      <c r="J161" s="542"/>
    </row>
    <row r="162" spans="1:14" s="11" customFormat="1">
      <c r="A162" s="94">
        <v>45345</v>
      </c>
      <c r="B162" s="79" t="s">
        <v>135</v>
      </c>
      <c r="C162" s="114">
        <v>40000</v>
      </c>
      <c r="D162" s="391">
        <v>1.064435</v>
      </c>
      <c r="E162" s="112">
        <f>D162*C162</f>
        <v>42577.4</v>
      </c>
      <c r="F162" s="392">
        <v>1.0473730000000001</v>
      </c>
      <c r="G162" s="14">
        <f>F162*C162</f>
        <v>41894.920000000006</v>
      </c>
      <c r="H162" s="87">
        <f>G162-E162</f>
        <v>-682.47999999999593</v>
      </c>
      <c r="J162" s="542"/>
      <c r="K162" s="75"/>
      <c r="L162" s="75"/>
      <c r="M162" s="75"/>
      <c r="N162" s="75"/>
    </row>
    <row r="163" spans="1:14" s="11" customFormat="1">
      <c r="A163" s="94">
        <v>45896</v>
      </c>
      <c r="B163" s="79" t="s">
        <v>1668</v>
      </c>
      <c r="E163" s="112"/>
      <c r="F163" s="87"/>
      <c r="G163" s="14"/>
      <c r="H163" s="87"/>
      <c r="J163" s="542"/>
      <c r="K163" s="75"/>
      <c r="L163" s="75"/>
      <c r="M163" s="75"/>
      <c r="N163" s="75"/>
    </row>
    <row r="164" spans="1:14" s="11" customFormat="1" ht="13.5" thickBot="1">
      <c r="A164" s="94">
        <v>45898</v>
      </c>
      <c r="B164" s="79" t="s">
        <v>1987</v>
      </c>
      <c r="C164" s="562"/>
      <c r="E164" s="112"/>
      <c r="F164" s="87"/>
      <c r="G164" s="14"/>
      <c r="H164" s="87"/>
      <c r="J164" s="542"/>
      <c r="K164" s="75"/>
      <c r="L164" s="75"/>
      <c r="M164" s="75"/>
      <c r="N164" s="75"/>
    </row>
    <row r="165" spans="1:14">
      <c r="A165" s="557"/>
      <c r="B165" s="416"/>
      <c r="C165" s="416"/>
      <c r="D165" s="405"/>
      <c r="E165" s="405">
        <f>SUM(E160:E163)</f>
        <v>92737.65</v>
      </c>
      <c r="F165" s="405"/>
      <c r="G165" s="405">
        <f>SUM(G160:G163)</f>
        <v>92173.97</v>
      </c>
      <c r="H165" s="468">
        <f>SUM(H160:H164)</f>
        <v>-563.67999999998574</v>
      </c>
      <c r="I165" s="11"/>
      <c r="J165" s="542"/>
    </row>
    <row r="166" spans="1:14">
      <c r="A166" s="94"/>
      <c r="B166" s="11"/>
      <c r="C166" s="11"/>
      <c r="D166" s="392"/>
      <c r="E166" s="87"/>
      <c r="F166" s="87" t="s">
        <v>878</v>
      </c>
      <c r="G166" s="87"/>
      <c r="H166" s="87">
        <f>H165+'07_25'!H159</f>
        <v>110207.79195300007</v>
      </c>
      <c r="I166" s="11"/>
      <c r="J166" s="542"/>
    </row>
    <row r="167" spans="1:14" s="11" customFormat="1">
      <c r="A167" s="94"/>
      <c r="D167" s="87"/>
      <c r="E167" s="87"/>
      <c r="F167" s="87"/>
      <c r="G167" s="87"/>
      <c r="H167" s="87"/>
      <c r="J167" s="542"/>
      <c r="K167" s="75"/>
      <c r="L167" s="75"/>
      <c r="M167" s="75"/>
      <c r="N167" s="75"/>
    </row>
    <row r="168" spans="1:14">
      <c r="A168" s="94"/>
      <c r="B168" s="11"/>
      <c r="C168" s="11"/>
      <c r="D168" s="87"/>
      <c r="E168" s="87"/>
      <c r="F168" s="87"/>
      <c r="G168" s="87"/>
      <c r="H168" s="87"/>
      <c r="I168" s="11"/>
      <c r="J168" s="542"/>
    </row>
    <row r="169" spans="1:14" ht="18">
      <c r="A169" s="476" t="s">
        <v>1733</v>
      </c>
      <c r="B169" s="11"/>
      <c r="C169" s="11"/>
      <c r="D169" s="87"/>
      <c r="E169" s="87"/>
      <c r="F169" s="87"/>
      <c r="G169" s="87"/>
      <c r="H169" s="87"/>
      <c r="I169" s="11"/>
      <c r="J169" s="542"/>
    </row>
    <row r="170" spans="1:14" ht="15.75">
      <c r="A170" s="94"/>
      <c r="B170" s="464">
        <f>1-76.4616%</f>
        <v>0.23538399999999993</v>
      </c>
      <c r="C170" s="465">
        <v>0.76461599999999996</v>
      </c>
      <c r="D170" s="392"/>
      <c r="E170" s="87"/>
      <c r="F170" s="87"/>
      <c r="G170" s="87"/>
      <c r="H170" s="87"/>
      <c r="I170" s="11"/>
      <c r="J170" s="542"/>
    </row>
    <row r="171" spans="1:14" ht="15.75">
      <c r="A171" s="94"/>
      <c r="B171" s="464" t="s">
        <v>1861</v>
      </c>
      <c r="C171" s="465"/>
      <c r="D171" s="392"/>
      <c r="E171" s="87"/>
      <c r="F171" s="87"/>
      <c r="G171" s="87"/>
      <c r="H171" s="87"/>
      <c r="I171" s="11"/>
      <c r="J171" s="542"/>
    </row>
    <row r="172" spans="1:14" ht="15.75">
      <c r="A172" s="94"/>
      <c r="B172" s="464" t="s">
        <v>1734</v>
      </c>
      <c r="C172" s="465"/>
      <c r="D172" s="392"/>
      <c r="E172" s="87"/>
      <c r="F172" s="87"/>
      <c r="G172" s="87"/>
      <c r="H172" s="87"/>
      <c r="I172" s="11"/>
      <c r="J172" s="542"/>
    </row>
    <row r="173" spans="1:14" ht="15.75">
      <c r="A173" s="94"/>
      <c r="B173" s="464" t="s">
        <v>1737</v>
      </c>
      <c r="C173" s="465"/>
      <c r="D173" s="392"/>
      <c r="E173" s="87"/>
      <c r="F173" s="87"/>
      <c r="G173" s="87"/>
      <c r="H173" s="87"/>
      <c r="I173" s="11"/>
      <c r="J173" s="542"/>
    </row>
    <row r="174" spans="1:14" ht="15.75">
      <c r="A174" s="94"/>
      <c r="B174" s="464" t="s">
        <v>1736</v>
      </c>
      <c r="C174" s="465"/>
      <c r="D174" s="392"/>
      <c r="E174" s="87"/>
      <c r="F174" s="87"/>
      <c r="G174" s="87"/>
      <c r="H174" s="87"/>
      <c r="I174" s="11"/>
      <c r="J174" s="542"/>
    </row>
    <row r="175" spans="1:14" s="11" customFormat="1" ht="15.75">
      <c r="A175" s="94"/>
      <c r="B175" s="464"/>
      <c r="C175" s="465"/>
      <c r="D175" s="392">
        <v>238</v>
      </c>
      <c r="E175" s="87">
        <v>872.26</v>
      </c>
      <c r="F175" s="87"/>
      <c r="G175" s="87"/>
      <c r="H175" s="87"/>
      <c r="I175" s="480">
        <f>E175*D175</f>
        <v>207597.88</v>
      </c>
      <c r="J175" s="542"/>
      <c r="K175" s="75"/>
      <c r="L175" s="75"/>
      <c r="M175" s="75"/>
      <c r="N175" s="75"/>
    </row>
    <row r="176" spans="1:14" ht="16.5" thickBot="1">
      <c r="A176" s="94"/>
      <c r="B176" s="464"/>
      <c r="C176" s="11" t="s">
        <v>1739</v>
      </c>
      <c r="D176" s="11" t="s">
        <v>1738</v>
      </c>
      <c r="E176" s="87" t="s">
        <v>1730</v>
      </c>
      <c r="F176" s="473">
        <v>138749.76000000001</v>
      </c>
      <c r="G176" s="11" t="s">
        <v>1731</v>
      </c>
      <c r="H176" s="87" t="s">
        <v>3</v>
      </c>
      <c r="I176" s="11"/>
      <c r="J176" s="542"/>
    </row>
    <row r="177" spans="1:10" ht="13.5" thickBot="1">
      <c r="A177" s="94"/>
      <c r="B177" s="79" t="s">
        <v>1859</v>
      </c>
      <c r="C177" s="114">
        <v>160</v>
      </c>
      <c r="D177" s="373">
        <f>C177</f>
        <v>160</v>
      </c>
      <c r="E177" s="80">
        <v>872.26</v>
      </c>
      <c r="F177" s="474">
        <f>E177*D177</f>
        <v>139561.60000000001</v>
      </c>
      <c r="G177" s="469">
        <v>962.89330700000005</v>
      </c>
      <c r="H177" s="540">
        <f>E177*C177</f>
        <v>139561.60000000001</v>
      </c>
      <c r="I177" s="528">
        <f>H177</f>
        <v>139561.60000000001</v>
      </c>
      <c r="J177" s="542"/>
    </row>
    <row r="178" spans="1:10" ht="13.5" thickBot="1">
      <c r="A178" s="94"/>
      <c r="B178" s="79" t="s">
        <v>1858</v>
      </c>
      <c r="C178" s="114">
        <v>78</v>
      </c>
      <c r="D178" s="373">
        <f>D177+C178</f>
        <v>238</v>
      </c>
      <c r="E178" s="80">
        <v>872.26</v>
      </c>
      <c r="F178" s="474">
        <f t="shared" ref="F178:F202" si="5">E178*D178</f>
        <v>207597.88</v>
      </c>
      <c r="G178" s="391">
        <f>G179</f>
        <v>962.89330700000005</v>
      </c>
      <c r="H178" s="540">
        <f>E178*C178</f>
        <v>68036.28</v>
      </c>
      <c r="I178" s="570">
        <f>I177+H178</f>
        <v>207597.88</v>
      </c>
      <c r="J178" s="542"/>
    </row>
    <row r="179" spans="1:10" ht="13.5" thickBot="1">
      <c r="A179" s="558">
        <v>45755</v>
      </c>
      <c r="B179" s="475" t="s">
        <v>1826</v>
      </c>
      <c r="C179" s="114">
        <v>-21</v>
      </c>
      <c r="D179" s="373">
        <f>D178+C179</f>
        <v>217</v>
      </c>
      <c r="E179" s="80"/>
      <c r="F179" s="474">
        <f t="shared" si="5"/>
        <v>0</v>
      </c>
      <c r="G179" s="391">
        <f>G177</f>
        <v>962.89330700000005</v>
      </c>
      <c r="H179" s="541">
        <f>G179*C179</f>
        <v>-20220.759447</v>
      </c>
      <c r="I179" s="528">
        <f>I178+H179</f>
        <v>187377.12055300002</v>
      </c>
      <c r="J179" s="542"/>
    </row>
    <row r="180" spans="1:10" ht="13.5" thickBot="1">
      <c r="A180" s="559"/>
      <c r="B180" s="79" t="s">
        <v>1732</v>
      </c>
      <c r="C180" s="538"/>
      <c r="D180" s="373">
        <f t="shared" ref="D180:D202" si="6">D179+C180</f>
        <v>217</v>
      </c>
      <c r="E180" s="80"/>
      <c r="F180" s="474">
        <f t="shared" si="5"/>
        <v>0</v>
      </c>
      <c r="G180" s="391">
        <f>G178</f>
        <v>962.89330700000005</v>
      </c>
      <c r="H180" s="373">
        <v>-300.32</v>
      </c>
      <c r="I180" s="528">
        <f>I179+H180</f>
        <v>187076.80055300001</v>
      </c>
      <c r="J180" s="542"/>
    </row>
    <row r="181" spans="1:10" ht="13.5" thickBot="1">
      <c r="A181" s="558">
        <v>45786</v>
      </c>
      <c r="B181" s="475" t="s">
        <v>1827</v>
      </c>
      <c r="C181" s="539">
        <v>-20</v>
      </c>
      <c r="D181" s="373">
        <f t="shared" si="6"/>
        <v>197</v>
      </c>
      <c r="E181" s="80"/>
      <c r="F181" s="474">
        <f t="shared" si="5"/>
        <v>0</v>
      </c>
      <c r="G181" s="391">
        <v>1000.86</v>
      </c>
      <c r="H181" s="541">
        <f>G181*C181</f>
        <v>-20017.2</v>
      </c>
      <c r="I181" s="528">
        <f>I180+H181</f>
        <v>167059.600553</v>
      </c>
      <c r="J181" s="542"/>
    </row>
    <row r="182" spans="1:10" ht="13.5" thickBot="1">
      <c r="A182" s="558"/>
      <c r="B182" s="79" t="s">
        <v>1732</v>
      </c>
      <c r="C182" s="539"/>
      <c r="D182" s="373">
        <f t="shared" si="6"/>
        <v>197</v>
      </c>
      <c r="E182" s="80"/>
      <c r="F182" s="474">
        <f t="shared" si="5"/>
        <v>0</v>
      </c>
      <c r="G182" s="391">
        <v>1000.86</v>
      </c>
      <c r="H182" s="541">
        <v>-257.18</v>
      </c>
      <c r="I182" s="528">
        <f t="shared" ref="I182:I202" si="7">I181+H182</f>
        <v>166802.420553</v>
      </c>
      <c r="J182" s="542"/>
    </row>
    <row r="183" spans="1:10" ht="13.5" thickBot="1">
      <c r="A183" s="559">
        <v>45818</v>
      </c>
      <c r="B183" s="475" t="s">
        <v>1828</v>
      </c>
      <c r="C183" s="538">
        <v>-20</v>
      </c>
      <c r="D183" s="373">
        <f t="shared" si="6"/>
        <v>177</v>
      </c>
      <c r="E183" s="80"/>
      <c r="F183" s="474">
        <f t="shared" si="5"/>
        <v>0</v>
      </c>
      <c r="G183" s="391">
        <v>1043.4576589999999</v>
      </c>
      <c r="H183" s="541">
        <f>G183*C183</f>
        <v>-20869.153179999998</v>
      </c>
      <c r="I183" s="528">
        <f t="shared" si="7"/>
        <v>145933.26737300001</v>
      </c>
      <c r="J183" s="542"/>
    </row>
    <row r="184" spans="1:10" ht="13.5" thickBot="1">
      <c r="A184" s="559"/>
      <c r="B184" s="79" t="s">
        <v>1732</v>
      </c>
      <c r="C184" s="538"/>
      <c r="D184" s="373">
        <f t="shared" si="6"/>
        <v>177</v>
      </c>
      <c r="E184" s="80"/>
      <c r="F184" s="474">
        <f t="shared" si="5"/>
        <v>0</v>
      </c>
      <c r="G184" s="391">
        <v>1043.4576589999999</v>
      </c>
      <c r="H184" s="373">
        <v>-342.39</v>
      </c>
      <c r="I184" s="528">
        <f t="shared" si="7"/>
        <v>145590.877373</v>
      </c>
      <c r="J184" s="542"/>
    </row>
    <row r="185" spans="1:10" ht="13.5" thickBot="1">
      <c r="A185" s="559">
        <v>45846</v>
      </c>
      <c r="B185" s="475" t="s">
        <v>1829</v>
      </c>
      <c r="C185" s="538">
        <v>-19</v>
      </c>
      <c r="D185" s="373">
        <f t="shared" si="6"/>
        <v>158</v>
      </c>
      <c r="E185" s="543"/>
      <c r="F185" s="474">
        <f t="shared" si="5"/>
        <v>0</v>
      </c>
      <c r="G185" s="391">
        <v>1080.914657</v>
      </c>
      <c r="H185" s="541">
        <f>G185*C185</f>
        <v>-20537.378483</v>
      </c>
      <c r="I185" s="528">
        <f t="shared" si="7"/>
        <v>125053.49888999999</v>
      </c>
      <c r="J185" s="412"/>
    </row>
    <row r="186" spans="1:10" ht="13.5" thickBot="1">
      <c r="A186" s="559"/>
      <c r="B186" s="79" t="s">
        <v>1732</v>
      </c>
      <c r="C186" s="538"/>
      <c r="D186" s="373">
        <f t="shared" si="6"/>
        <v>158</v>
      </c>
      <c r="E186" s="543"/>
      <c r="F186" s="474">
        <f t="shared" si="5"/>
        <v>0</v>
      </c>
      <c r="G186" s="391">
        <v>1080</v>
      </c>
      <c r="H186" s="373">
        <v>-396.44</v>
      </c>
      <c r="I186" s="528">
        <f t="shared" si="7"/>
        <v>124657.05888999999</v>
      </c>
      <c r="J186" s="542"/>
    </row>
    <row r="187" spans="1:10" ht="13.5" thickBot="1">
      <c r="A187" s="559">
        <v>45855</v>
      </c>
      <c r="B187" s="475" t="s">
        <v>1893</v>
      </c>
      <c r="C187" s="538">
        <v>-30</v>
      </c>
      <c r="D187" s="373">
        <f t="shared" si="6"/>
        <v>128</v>
      </c>
      <c r="E187" s="543"/>
      <c r="F187" s="474">
        <f t="shared" si="5"/>
        <v>0</v>
      </c>
      <c r="G187" s="391">
        <v>1093.412452</v>
      </c>
      <c r="H187" s="541">
        <f>G187*C187</f>
        <v>-32802.37356</v>
      </c>
      <c r="I187" s="528">
        <f t="shared" si="7"/>
        <v>91854.685329999978</v>
      </c>
      <c r="J187" s="542"/>
    </row>
    <row r="188" spans="1:10" ht="13.5" thickBot="1">
      <c r="A188" s="559">
        <v>45867</v>
      </c>
      <c r="B188" s="79" t="s">
        <v>1732</v>
      </c>
      <c r="C188" s="538"/>
      <c r="D188" s="373">
        <f t="shared" si="6"/>
        <v>128</v>
      </c>
      <c r="E188" s="543"/>
      <c r="F188" s="474">
        <f t="shared" si="5"/>
        <v>0</v>
      </c>
      <c r="G188" s="391">
        <v>1109.5565340000001</v>
      </c>
      <c r="H188" s="373">
        <v>-663.45</v>
      </c>
      <c r="I188" s="12">
        <f t="shared" si="7"/>
        <v>91191.235329999981</v>
      </c>
      <c r="J188" s="542"/>
    </row>
    <row r="189" spans="1:10" ht="13.5" thickBot="1">
      <c r="A189" s="94">
        <v>45905</v>
      </c>
      <c r="B189" s="544" t="s">
        <v>1831</v>
      </c>
      <c r="C189" s="377">
        <v>-18</v>
      </c>
      <c r="D189" s="87">
        <f t="shared" si="6"/>
        <v>110</v>
      </c>
      <c r="E189" s="393"/>
      <c r="F189" s="397">
        <f t="shared" si="5"/>
        <v>0</v>
      </c>
      <c r="G189" s="391">
        <v>1155.9289100000001</v>
      </c>
      <c r="H189" s="136">
        <f>G189*C189</f>
        <v>-20806.720380000002</v>
      </c>
      <c r="I189" s="12">
        <f t="shared" si="7"/>
        <v>70384.514949999982</v>
      </c>
      <c r="J189" s="542"/>
    </row>
    <row r="190" spans="1:10" ht="13.5" thickBot="1">
      <c r="A190" s="94"/>
      <c r="B190" s="79" t="s">
        <v>1732</v>
      </c>
      <c r="C190" s="377"/>
      <c r="D190" s="87">
        <f t="shared" si="6"/>
        <v>110</v>
      </c>
      <c r="E190" s="393"/>
      <c r="F190" s="397">
        <f t="shared" si="5"/>
        <v>0</v>
      </c>
      <c r="G190" s="391">
        <v>1155.9289100000001</v>
      </c>
      <c r="H190" s="87">
        <v>-500.89</v>
      </c>
      <c r="I190" s="12">
        <f t="shared" si="7"/>
        <v>69883.624949999983</v>
      </c>
      <c r="J190" s="542"/>
    </row>
    <row r="191" spans="1:10" ht="13.5" thickBot="1">
      <c r="A191" s="94"/>
      <c r="B191" s="544" t="s">
        <v>1832</v>
      </c>
      <c r="C191" s="377">
        <v>-17</v>
      </c>
      <c r="D191" s="87">
        <f t="shared" si="6"/>
        <v>93</v>
      </c>
      <c r="E191" s="393"/>
      <c r="F191" s="397">
        <f t="shared" si="5"/>
        <v>0</v>
      </c>
      <c r="G191" s="391">
        <v>1109.5565340000001</v>
      </c>
      <c r="H191" s="136">
        <f>G191*C191</f>
        <v>-18862.461078</v>
      </c>
      <c r="I191" s="12">
        <f t="shared" si="7"/>
        <v>51021.163871999983</v>
      </c>
      <c r="J191" s="542"/>
    </row>
    <row r="192" spans="1:10" ht="13.5" thickBot="1">
      <c r="A192" s="94"/>
      <c r="B192" s="79" t="s">
        <v>1732</v>
      </c>
      <c r="C192" s="377"/>
      <c r="D192" s="87">
        <f t="shared" si="6"/>
        <v>93</v>
      </c>
      <c r="E192" s="393"/>
      <c r="F192" s="397">
        <f t="shared" si="5"/>
        <v>0</v>
      </c>
      <c r="G192" s="391">
        <v>1109.5565340000001</v>
      </c>
      <c r="H192" s="87"/>
      <c r="I192" s="12">
        <f t="shared" si="7"/>
        <v>51021.163871999983</v>
      </c>
      <c r="J192" s="542"/>
    </row>
    <row r="193" spans="1:10" ht="13.5" thickBot="1">
      <c r="A193" s="94"/>
      <c r="B193" s="544" t="s">
        <v>1833</v>
      </c>
      <c r="C193" s="377">
        <v>-20</v>
      </c>
      <c r="D193" s="87">
        <f t="shared" si="6"/>
        <v>73</v>
      </c>
      <c r="E193" s="393"/>
      <c r="F193" s="397">
        <f t="shared" si="5"/>
        <v>0</v>
      </c>
      <c r="G193" s="391">
        <v>1109.5565340000001</v>
      </c>
      <c r="H193" s="136">
        <f>G193*C193</f>
        <v>-22191.130680000002</v>
      </c>
      <c r="I193" s="12">
        <f t="shared" si="7"/>
        <v>28830.033191999981</v>
      </c>
      <c r="J193" s="542"/>
    </row>
    <row r="194" spans="1:10" ht="13.5" thickBot="1">
      <c r="A194" s="94"/>
      <c r="B194" s="79" t="s">
        <v>1732</v>
      </c>
      <c r="C194" s="377"/>
      <c r="D194" s="87">
        <f t="shared" si="6"/>
        <v>73</v>
      </c>
      <c r="E194" s="393"/>
      <c r="F194" s="397">
        <f t="shared" si="5"/>
        <v>0</v>
      </c>
      <c r="G194" s="391">
        <v>1109.5565340000001</v>
      </c>
      <c r="H194" s="87"/>
      <c r="I194" s="12">
        <f t="shared" si="7"/>
        <v>28830.033191999981</v>
      </c>
      <c r="J194" s="542"/>
    </row>
    <row r="195" spans="1:10" ht="13.5" thickBot="1">
      <c r="A195" s="94"/>
      <c r="B195" s="544" t="s">
        <v>1834</v>
      </c>
      <c r="C195" s="377">
        <v>-20</v>
      </c>
      <c r="D195" s="87">
        <f t="shared" si="6"/>
        <v>53</v>
      </c>
      <c r="E195" s="393"/>
      <c r="F195" s="397">
        <f t="shared" si="5"/>
        <v>0</v>
      </c>
      <c r="G195" s="391">
        <v>1109.5565340000001</v>
      </c>
      <c r="H195" s="136">
        <f>G195*C195</f>
        <v>-22191.130680000002</v>
      </c>
      <c r="I195" s="12">
        <f t="shared" si="7"/>
        <v>6638.9025119999787</v>
      </c>
      <c r="J195" s="542"/>
    </row>
    <row r="196" spans="1:10" ht="13.5" thickBot="1">
      <c r="A196" s="94"/>
      <c r="B196" s="79" t="s">
        <v>1732</v>
      </c>
      <c r="C196" s="377"/>
      <c r="D196" s="87">
        <f t="shared" si="6"/>
        <v>53</v>
      </c>
      <c r="E196" s="393"/>
      <c r="F196" s="397">
        <f t="shared" si="5"/>
        <v>0</v>
      </c>
      <c r="G196" s="391">
        <v>1109.5565340000001</v>
      </c>
      <c r="H196" s="87"/>
      <c r="I196" s="12">
        <f t="shared" si="7"/>
        <v>6638.9025119999787</v>
      </c>
      <c r="J196" s="542"/>
    </row>
    <row r="197" spans="1:10" ht="13.5" thickBot="1">
      <c r="A197" s="94"/>
      <c r="B197" s="544" t="s">
        <v>1835</v>
      </c>
      <c r="C197" s="377">
        <v>-20</v>
      </c>
      <c r="D197" s="87">
        <f t="shared" si="6"/>
        <v>33</v>
      </c>
      <c r="E197" s="393"/>
      <c r="F197" s="397">
        <f t="shared" si="5"/>
        <v>0</v>
      </c>
      <c r="G197" s="391">
        <v>1109.5565340000001</v>
      </c>
      <c r="H197" s="136">
        <f>G197*C197</f>
        <v>-22191.130680000002</v>
      </c>
      <c r="I197" s="12">
        <f t="shared" si="7"/>
        <v>-15552.228168000023</v>
      </c>
      <c r="J197" s="542"/>
    </row>
    <row r="198" spans="1:10" ht="13.5" thickBot="1">
      <c r="A198" s="94"/>
      <c r="B198" s="79" t="s">
        <v>1732</v>
      </c>
      <c r="C198" s="377"/>
      <c r="D198" s="87">
        <f t="shared" si="6"/>
        <v>33</v>
      </c>
      <c r="E198" s="393"/>
      <c r="F198" s="397">
        <f t="shared" si="5"/>
        <v>0</v>
      </c>
      <c r="G198" s="391">
        <v>1109.5565340000001</v>
      </c>
      <c r="H198" s="87"/>
      <c r="I198" s="12">
        <f t="shared" si="7"/>
        <v>-15552.228168000023</v>
      </c>
      <c r="J198" s="542"/>
    </row>
    <row r="199" spans="1:10" ht="13.5" thickBot="1">
      <c r="A199" s="94"/>
      <c r="B199" s="544" t="s">
        <v>1836</v>
      </c>
      <c r="C199" s="377">
        <v>-20</v>
      </c>
      <c r="D199" s="87">
        <f t="shared" si="6"/>
        <v>13</v>
      </c>
      <c r="E199" s="393"/>
      <c r="F199" s="397">
        <f t="shared" si="5"/>
        <v>0</v>
      </c>
      <c r="G199" s="391">
        <v>1109.5565340000001</v>
      </c>
      <c r="H199" s="136">
        <f>G199*C199</f>
        <v>-22191.130680000002</v>
      </c>
      <c r="I199" s="12">
        <f t="shared" si="7"/>
        <v>-37743.358848000025</v>
      </c>
      <c r="J199" s="542"/>
    </row>
    <row r="200" spans="1:10" ht="13.5" thickBot="1">
      <c r="A200" s="94"/>
      <c r="B200" s="79" t="s">
        <v>1732</v>
      </c>
      <c r="C200" s="377"/>
      <c r="D200" s="87">
        <f t="shared" si="6"/>
        <v>13</v>
      </c>
      <c r="E200" s="393"/>
      <c r="F200" s="397">
        <f t="shared" si="5"/>
        <v>0</v>
      </c>
      <c r="G200" s="391">
        <v>1109.5565340000001</v>
      </c>
      <c r="H200" s="87"/>
      <c r="I200" s="12">
        <f t="shared" si="7"/>
        <v>-37743.358848000025</v>
      </c>
      <c r="J200" s="542"/>
    </row>
    <row r="201" spans="1:10" ht="13.5" thickBot="1">
      <c r="A201" s="94"/>
      <c r="B201" s="544" t="s">
        <v>1837</v>
      </c>
      <c r="C201" s="377">
        <v>-11</v>
      </c>
      <c r="D201" s="87">
        <f t="shared" si="6"/>
        <v>2</v>
      </c>
      <c r="E201" s="393"/>
      <c r="F201" s="397">
        <f t="shared" si="5"/>
        <v>0</v>
      </c>
      <c r="G201" s="391">
        <v>1109.5565340000001</v>
      </c>
      <c r="H201" s="136">
        <f>G201*C201</f>
        <v>-12205.121874</v>
      </c>
      <c r="I201" s="12">
        <f t="shared" si="7"/>
        <v>-49948.480722000022</v>
      </c>
      <c r="J201" s="542"/>
    </row>
    <row r="202" spans="1:10">
      <c r="A202" s="94"/>
      <c r="B202" s="79" t="s">
        <v>1732</v>
      </c>
      <c r="C202" s="377"/>
      <c r="D202" s="87">
        <f t="shared" si="6"/>
        <v>2</v>
      </c>
      <c r="E202" s="393"/>
      <c r="F202" s="397">
        <f t="shared" si="5"/>
        <v>0</v>
      </c>
      <c r="G202" s="391">
        <v>1109.5565340000001</v>
      </c>
      <c r="H202" s="87"/>
      <c r="I202" s="12">
        <f t="shared" si="7"/>
        <v>-49948.480722000022</v>
      </c>
      <c r="J202" s="542"/>
    </row>
    <row r="203" spans="1:10">
      <c r="A203" s="94"/>
      <c r="B203" s="395"/>
      <c r="C203" s="377"/>
      <c r="D203" s="87"/>
      <c r="E203" s="393"/>
      <c r="F203" s="397"/>
      <c r="G203" s="425"/>
      <c r="H203" s="87"/>
      <c r="I203" s="12"/>
      <c r="J203" s="542"/>
    </row>
    <row r="204" spans="1:10">
      <c r="A204" s="560"/>
      <c r="B204" s="454"/>
      <c r="C204" s="524">
        <f>SUM(C179:C203)</f>
        <v>-236</v>
      </c>
      <c r="D204" s="525"/>
      <c r="E204" s="393"/>
      <c r="F204" s="397"/>
      <c r="G204" s="525"/>
      <c r="H204" s="571">
        <f>SUM(H179:H203)</f>
        <v>-257546.36072200001</v>
      </c>
      <c r="I204" s="428"/>
      <c r="J204" s="542"/>
    </row>
    <row r="205" spans="1:10">
      <c r="A205" s="561"/>
      <c r="B205" s="395"/>
      <c r="C205" s="396"/>
      <c r="D205" s="393"/>
      <c r="E205" s="393"/>
      <c r="F205" s="393"/>
      <c r="G205" s="393"/>
      <c r="H205" s="397"/>
      <c r="I205" s="87"/>
      <c r="J205" s="542"/>
    </row>
    <row r="206" spans="1:10">
      <c r="A206" s="94"/>
      <c r="B206" s="87" t="s">
        <v>1860</v>
      </c>
      <c r="C206" s="426"/>
      <c r="D206" s="427"/>
      <c r="E206" s="393"/>
      <c r="F206" s="393"/>
      <c r="G206" s="397"/>
      <c r="H206" s="87"/>
      <c r="I206" s="87"/>
      <c r="J206" s="542"/>
    </row>
    <row r="207" spans="1:10">
      <c r="A207" s="94"/>
      <c r="B207" s="11"/>
      <c r="C207" s="11"/>
      <c r="D207" s="87"/>
      <c r="E207" s="87"/>
      <c r="F207" s="87"/>
      <c r="G207" s="87"/>
      <c r="H207" s="87"/>
      <c r="I207" s="11"/>
      <c r="J207" s="542"/>
    </row>
    <row r="208" spans="1:10">
      <c r="A208" s="94"/>
      <c r="B208" s="11"/>
      <c r="C208" s="11"/>
      <c r="D208" s="87"/>
      <c r="E208" s="87"/>
      <c r="F208" s="87"/>
      <c r="G208" s="87"/>
      <c r="H208" s="87"/>
      <c r="I208" s="11"/>
      <c r="J208" s="542"/>
    </row>
  </sheetData>
  <conditionalFormatting sqref="F146:F148 F134">
    <cfRule type="cellIs" dxfId="92" priority="17" operator="lessThan">
      <formula>D134</formula>
    </cfRule>
  </conditionalFormatting>
  <conditionalFormatting sqref="F141:F143">
    <cfRule type="cellIs" dxfId="91" priority="18" operator="lessThan">
      <formula>D141</formula>
    </cfRule>
  </conditionalFormatting>
  <conditionalFormatting sqref="F138">
    <cfRule type="cellIs" dxfId="90" priority="14" operator="lessThan">
      <formula>D138</formula>
    </cfRule>
  </conditionalFormatting>
  <conditionalFormatting sqref="F161">
    <cfRule type="cellIs" dxfId="89" priority="9" operator="lessThan">
      <formula>D161</formula>
    </cfRule>
  </conditionalFormatting>
  <conditionalFormatting sqref="F140">
    <cfRule type="cellIs" dxfId="88" priority="8" operator="lessThan">
      <formula>D140</formula>
    </cfRule>
  </conditionalFormatting>
  <conditionalFormatting sqref="F135">
    <cfRule type="cellIs" dxfId="87" priority="7" operator="lessThan">
      <formula>D135</formula>
    </cfRule>
  </conditionalFormatting>
  <conditionalFormatting sqref="F160">
    <cfRule type="cellIs" dxfId="86" priority="6" operator="lessThan">
      <formula>D160</formula>
    </cfRule>
  </conditionalFormatting>
  <conditionalFormatting sqref="F139">
    <cfRule type="cellIs" dxfId="85" priority="5" operator="lessThan">
      <formula>D139</formula>
    </cfRule>
  </conditionalFormatting>
  <conditionalFormatting sqref="F162">
    <cfRule type="cellIs" dxfId="84" priority="1" operator="lessThan">
      <formula>D162</formula>
    </cfRule>
  </conditionalFormatting>
  <conditionalFormatting sqref="F163:F164">
    <cfRule type="cellIs" dxfId="83" priority="20" operator="lessThan">
      <formula>#REF!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N200"/>
  <sheetViews>
    <sheetView topLeftCell="A140" zoomScale="145" zoomScaleNormal="145" workbookViewId="0">
      <selection activeCell="F159" sqref="F159:H159"/>
    </sheetView>
  </sheetViews>
  <sheetFormatPr defaultColWidth="12.28515625" defaultRowHeight="12.75"/>
  <cols>
    <col min="1" max="1" width="12.28515625" style="94"/>
    <col min="2" max="2" width="35.85546875" customWidth="1"/>
    <col min="3" max="3" width="9.42578125" customWidth="1"/>
    <col min="4" max="4" width="11.5703125" style="74" customWidth="1"/>
    <col min="5" max="6" width="12.28515625" style="74"/>
    <col min="7" max="7" width="13.5703125" style="74" customWidth="1"/>
    <col min="8" max="8" width="12.28515625" style="74"/>
    <col min="10" max="10" width="10.140625" style="542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418" t="s">
        <v>83</v>
      </c>
      <c r="C2" s="76" t="s">
        <v>59</v>
      </c>
      <c r="D2" s="74">
        <f>SUM(D4:D26)</f>
        <v>15000</v>
      </c>
      <c r="E2" s="74">
        <f>SUM(E4:E26)</f>
        <v>-93124.89</v>
      </c>
      <c r="F2" s="74">
        <f>SUM(F4:F26)</f>
        <v>17494.509999999998</v>
      </c>
      <c r="G2" s="74">
        <f>SUM(G4:G26)</f>
        <v>-127505.39000000001</v>
      </c>
      <c r="H2" s="74">
        <f>F2+G2</f>
        <v>-110010.88000000002</v>
      </c>
    </row>
    <row r="3" spans="1:14">
      <c r="B3" s="15"/>
    </row>
    <row r="4" spans="1:14">
      <c r="B4" s="38"/>
      <c r="H4" s="74">
        <f t="shared" ref="H4:H28" si="0">H3+F4+G4</f>
        <v>0</v>
      </c>
    </row>
    <row r="5" spans="1:14">
      <c r="B5" s="38"/>
      <c r="H5" s="74">
        <f t="shared" si="0"/>
        <v>0</v>
      </c>
    </row>
    <row r="6" spans="1:14">
      <c r="A6" s="554"/>
      <c r="B6" s="78" t="s">
        <v>861</v>
      </c>
      <c r="C6" s="79"/>
      <c r="D6" s="80"/>
      <c r="E6" s="80"/>
      <c r="G6" s="74">
        <v>-20000</v>
      </c>
      <c r="H6" s="74">
        <f t="shared" si="0"/>
        <v>-20000</v>
      </c>
    </row>
    <row r="7" spans="1:14" s="11" customFormat="1">
      <c r="A7" s="554"/>
      <c r="B7" s="78" t="s">
        <v>1883</v>
      </c>
      <c r="C7" s="79"/>
      <c r="D7" s="80"/>
      <c r="E7" s="80"/>
      <c r="F7" s="87"/>
      <c r="G7" s="87">
        <v>-1500</v>
      </c>
      <c r="H7" s="87">
        <f t="shared" si="0"/>
        <v>-21500</v>
      </c>
      <c r="J7" s="542"/>
      <c r="K7" s="75"/>
      <c r="L7" s="75"/>
      <c r="M7" s="75"/>
      <c r="N7" s="75"/>
    </row>
    <row r="8" spans="1:14">
      <c r="A8" s="554">
        <v>45845</v>
      </c>
      <c r="B8" s="78" t="s">
        <v>60</v>
      </c>
      <c r="C8" s="82"/>
      <c r="D8" s="83"/>
      <c r="E8" s="83">
        <f>E30</f>
        <v>-39087.630000000005</v>
      </c>
      <c r="F8" s="84"/>
      <c r="G8" s="84">
        <f>E8</f>
        <v>-39087.630000000005</v>
      </c>
      <c r="H8" s="87">
        <f t="shared" si="0"/>
        <v>-60587.630000000005</v>
      </c>
    </row>
    <row r="9" spans="1:14">
      <c r="A9" s="554"/>
      <c r="B9" s="78" t="s">
        <v>61</v>
      </c>
      <c r="C9" s="82"/>
      <c r="D9" s="83"/>
      <c r="E9" s="83">
        <f>E105</f>
        <v>-1620.2</v>
      </c>
      <c r="F9" s="84"/>
      <c r="G9" s="84">
        <v>-1620.5</v>
      </c>
      <c r="H9" s="87">
        <f t="shared" si="0"/>
        <v>-62208.130000000005</v>
      </c>
    </row>
    <row r="10" spans="1:14">
      <c r="G10" s="84"/>
      <c r="H10" s="87">
        <f t="shared" si="0"/>
        <v>-62208.130000000005</v>
      </c>
    </row>
    <row r="11" spans="1:14">
      <c r="A11" s="401">
        <v>45846</v>
      </c>
      <c r="B11" s="422" t="s">
        <v>62</v>
      </c>
      <c r="C11" s="422"/>
      <c r="D11" s="373"/>
      <c r="E11" s="373">
        <v>-2117.06</v>
      </c>
      <c r="G11" s="74">
        <v>-2168.5100000000002</v>
      </c>
      <c r="H11" s="87">
        <f t="shared" si="0"/>
        <v>-64376.640000000007</v>
      </c>
    </row>
    <row r="12" spans="1:14">
      <c r="A12" s="401">
        <v>45846</v>
      </c>
      <c r="B12" s="422" t="s">
        <v>501</v>
      </c>
      <c r="C12" s="422"/>
      <c r="D12" s="373"/>
      <c r="E12" s="373">
        <v>-25000</v>
      </c>
      <c r="G12" s="74">
        <v>-25000</v>
      </c>
      <c r="H12" s="87">
        <f t="shared" si="0"/>
        <v>-89376.640000000014</v>
      </c>
      <c r="J12" s="542">
        <v>67000</v>
      </c>
    </row>
    <row r="13" spans="1:14">
      <c r="B13" s="88" t="s">
        <v>64</v>
      </c>
      <c r="C13" s="89"/>
      <c r="D13" s="87"/>
      <c r="E13" s="87">
        <v>0</v>
      </c>
      <c r="H13" s="87">
        <f t="shared" si="0"/>
        <v>-89376.640000000014</v>
      </c>
      <c r="J13" s="542">
        <v>47</v>
      </c>
    </row>
    <row r="14" spans="1:14" s="75" customFormat="1">
      <c r="A14" s="401">
        <v>45855</v>
      </c>
      <c r="B14" s="512" t="s">
        <v>65</v>
      </c>
      <c r="C14" s="512"/>
      <c r="D14" s="373"/>
      <c r="E14" s="373">
        <v>-1000</v>
      </c>
      <c r="F14" s="74"/>
      <c r="G14" s="74">
        <v>-75</v>
      </c>
      <c r="H14" s="87">
        <f t="shared" si="0"/>
        <v>-89451.640000000014</v>
      </c>
      <c r="J14" s="542"/>
    </row>
    <row r="15" spans="1:14" s="75" customFormat="1">
      <c r="A15" s="401">
        <v>45855</v>
      </c>
      <c r="B15" s="512" t="s">
        <v>66</v>
      </c>
      <c r="C15" s="512"/>
      <c r="D15" s="373"/>
      <c r="E15" s="373">
        <v>-200</v>
      </c>
      <c r="F15" s="74"/>
      <c r="G15" s="74">
        <v>-50</v>
      </c>
      <c r="H15" s="87">
        <f t="shared" si="0"/>
        <v>-89501.640000000014</v>
      </c>
      <c r="J15" s="542"/>
    </row>
    <row r="16" spans="1:14" s="75" customFormat="1">
      <c r="A16" s="94"/>
      <c r="B16" s="86" t="s">
        <v>67</v>
      </c>
      <c r="C16" s="86"/>
      <c r="D16" s="87"/>
      <c r="E16" s="87">
        <v>-200</v>
      </c>
      <c r="F16" s="74"/>
      <c r="G16" s="74"/>
      <c r="H16" s="87">
        <f t="shared" si="0"/>
        <v>-89501.640000000014</v>
      </c>
      <c r="J16" s="542"/>
    </row>
    <row r="17" spans="1:14" s="75" customFormat="1">
      <c r="A17" s="94"/>
      <c r="B17" s="403" t="s">
        <v>68</v>
      </c>
      <c r="C17" s="403"/>
      <c r="D17" s="373">
        <v>15000</v>
      </c>
      <c r="E17" s="373"/>
      <c r="F17" s="373">
        <v>17494.509999999998</v>
      </c>
      <c r="G17" s="74"/>
      <c r="H17" s="87">
        <f t="shared" si="0"/>
        <v>-72007.130000000019</v>
      </c>
      <c r="J17" s="542"/>
      <c r="K17" s="90"/>
      <c r="L17" s="91"/>
      <c r="M17" s="92"/>
    </row>
    <row r="18" spans="1:14" s="75" customFormat="1">
      <c r="A18" s="94"/>
      <c r="B18" s="403" t="s">
        <v>69</v>
      </c>
      <c r="C18" s="403"/>
      <c r="D18" s="373"/>
      <c r="E18" s="373">
        <v>-7500</v>
      </c>
      <c r="F18" s="74"/>
      <c r="G18" s="74">
        <v>-9000</v>
      </c>
      <c r="H18" s="87">
        <f t="shared" si="0"/>
        <v>-81007.130000000019</v>
      </c>
      <c r="J18" s="542"/>
      <c r="K18" s="90"/>
      <c r="L18" s="91"/>
      <c r="M18" s="92"/>
    </row>
    <row r="19" spans="1:14" s="75" customFormat="1">
      <c r="A19" s="94"/>
      <c r="B19" s="403" t="s">
        <v>70</v>
      </c>
      <c r="C19" s="403"/>
      <c r="D19" s="373"/>
      <c r="E19" s="373">
        <v>-7500</v>
      </c>
      <c r="F19" s="74"/>
      <c r="G19" s="74">
        <v>-20000</v>
      </c>
      <c r="H19" s="87">
        <f t="shared" si="0"/>
        <v>-101007.13000000002</v>
      </c>
      <c r="J19" s="542"/>
      <c r="K19" s="90"/>
      <c r="L19" s="91"/>
      <c r="M19" s="92"/>
    </row>
    <row r="20" spans="1:14" s="75" customFormat="1">
      <c r="A20" s="94"/>
      <c r="B20" s="403" t="s">
        <v>71</v>
      </c>
      <c r="C20" s="403"/>
      <c r="D20" s="373"/>
      <c r="E20" s="373">
        <v>-7500</v>
      </c>
      <c r="F20" s="74"/>
      <c r="G20" s="74">
        <v>-7500</v>
      </c>
      <c r="H20" s="87">
        <f t="shared" si="0"/>
        <v>-108507.13000000002</v>
      </c>
      <c r="J20" s="542"/>
      <c r="K20" s="90"/>
      <c r="L20" s="91"/>
      <c r="M20" s="92"/>
    </row>
    <row r="21" spans="1:14" s="75" customFormat="1">
      <c r="A21" s="94">
        <v>45868</v>
      </c>
      <c r="B21" s="403" t="s">
        <v>1918</v>
      </c>
      <c r="C21" s="403"/>
      <c r="D21" s="373"/>
      <c r="E21" s="373"/>
      <c r="F21" s="87"/>
      <c r="G21" s="87">
        <v>-213.75</v>
      </c>
      <c r="H21" s="87">
        <f t="shared" si="0"/>
        <v>-108720.88000000002</v>
      </c>
      <c r="J21" s="542"/>
      <c r="K21" s="90"/>
      <c r="L21" s="91"/>
      <c r="M21" s="92"/>
    </row>
    <row r="22" spans="1:14" s="75" customFormat="1">
      <c r="A22" s="94">
        <v>45869</v>
      </c>
      <c r="B22" s="422" t="s">
        <v>72</v>
      </c>
      <c r="C22" s="422"/>
      <c r="D22" s="373"/>
      <c r="E22" s="373">
        <v>-600</v>
      </c>
      <c r="F22" s="74"/>
      <c r="G22" s="74">
        <v>-495</v>
      </c>
      <c r="H22" s="87">
        <f t="shared" si="0"/>
        <v>-109215.88000000002</v>
      </c>
      <c r="J22" s="542"/>
      <c r="K22" s="90"/>
      <c r="L22" s="91"/>
      <c r="M22" s="92"/>
    </row>
    <row r="23" spans="1:14" s="75" customFormat="1">
      <c r="A23" s="94">
        <v>45869</v>
      </c>
      <c r="B23" s="422" t="s">
        <v>73</v>
      </c>
      <c r="C23" s="422"/>
      <c r="D23" s="373"/>
      <c r="E23" s="373">
        <v>-800</v>
      </c>
      <c r="F23" s="74"/>
      <c r="G23" s="74">
        <v>-795</v>
      </c>
      <c r="H23" s="87">
        <f t="shared" si="0"/>
        <v>-110010.88000000002</v>
      </c>
      <c r="J23" s="542"/>
      <c r="K23" s="90"/>
      <c r="L23" s="91"/>
      <c r="M23" s="92"/>
    </row>
    <row r="24" spans="1:14">
      <c r="B24" s="97" t="s">
        <v>84</v>
      </c>
      <c r="C24" s="97"/>
      <c r="H24" s="87">
        <f t="shared" si="0"/>
        <v>-110010.88000000002</v>
      </c>
      <c r="I24" s="75"/>
    </row>
    <row r="25" spans="1:14">
      <c r="H25" s="87">
        <f t="shared" si="0"/>
        <v>-110010.88000000002</v>
      </c>
    </row>
    <row r="26" spans="1:14" s="75" customFormat="1">
      <c r="A26" s="94"/>
      <c r="B26"/>
      <c r="C26"/>
      <c r="D26" s="74"/>
      <c r="E26" s="74"/>
      <c r="F26" s="74"/>
      <c r="G26" s="74"/>
      <c r="H26" s="87">
        <f t="shared" si="0"/>
        <v>-110010.88000000002</v>
      </c>
      <c r="I26"/>
      <c r="J26" s="542"/>
    </row>
    <row r="27" spans="1:14" s="75" customFormat="1">
      <c r="A27" s="94"/>
      <c r="D27" s="74"/>
      <c r="E27" s="74"/>
      <c r="F27" s="74"/>
      <c r="G27" s="74"/>
      <c r="H27" s="87">
        <f t="shared" si="0"/>
        <v>-110010.88000000002</v>
      </c>
      <c r="J27" s="542"/>
    </row>
    <row r="28" spans="1:14" s="74" customFormat="1">
      <c r="A28" s="94"/>
      <c r="B28" s="75"/>
      <c r="C28" s="75"/>
      <c r="H28" s="87">
        <f t="shared" si="0"/>
        <v>-110010.88000000002</v>
      </c>
      <c r="I28" s="75"/>
      <c r="J28" s="542"/>
      <c r="K28" s="75"/>
      <c r="L28" s="75"/>
      <c r="M28" s="75"/>
      <c r="N28" s="75"/>
    </row>
    <row r="29" spans="1:14" s="74" customFormat="1">
      <c r="A29" s="418"/>
      <c r="B29" s="98"/>
      <c r="J29" s="542"/>
      <c r="K29" s="75"/>
      <c r="L29" s="75"/>
      <c r="M29" s="75"/>
      <c r="N29" s="75"/>
    </row>
    <row r="30" spans="1:14">
      <c r="A30" s="419"/>
      <c r="B30" s="100" t="s">
        <v>75</v>
      </c>
      <c r="C30" s="99"/>
      <c r="E30" s="74">
        <f>SUM(E32:E103)</f>
        <v>-39087.630000000005</v>
      </c>
      <c r="I30" s="74"/>
    </row>
    <row r="31" spans="1:14" s="74" customFormat="1">
      <c r="A31" s="94"/>
      <c r="B31"/>
      <c r="C31"/>
      <c r="I31"/>
      <c r="J31" s="542"/>
      <c r="K31" s="75"/>
      <c r="L31" s="75"/>
      <c r="M31" s="75"/>
      <c r="N31" s="75"/>
    </row>
    <row r="32" spans="1:14" s="74" customFormat="1">
      <c r="A32" s="94">
        <v>45715</v>
      </c>
      <c r="B32" s="87" t="s">
        <v>1628</v>
      </c>
      <c r="C32" s="87">
        <v>5938.68</v>
      </c>
      <c r="D32" s="87" t="s">
        <v>515</v>
      </c>
      <c r="E32" s="87">
        <v>-989.78</v>
      </c>
      <c r="F32" s="74">
        <v>0</v>
      </c>
      <c r="J32" s="542"/>
      <c r="K32" s="75"/>
      <c r="L32" s="75"/>
      <c r="M32" s="75"/>
      <c r="N32" s="75"/>
    </row>
    <row r="33" spans="1:14" s="87" customFormat="1">
      <c r="A33" s="94">
        <v>45811</v>
      </c>
      <c r="B33" s="87" t="s">
        <v>1823</v>
      </c>
      <c r="C33" s="87">
        <v>5250</v>
      </c>
      <c r="D33" s="87" t="s">
        <v>1822</v>
      </c>
      <c r="E33" s="87">
        <v>-1750</v>
      </c>
      <c r="F33" s="87">
        <v>0</v>
      </c>
      <c r="J33" s="542"/>
      <c r="K33" s="75"/>
      <c r="L33" s="75"/>
      <c r="M33" s="75"/>
      <c r="N33" s="75"/>
    </row>
    <row r="34" spans="1:14" s="87" customFormat="1">
      <c r="A34" s="94">
        <v>45811</v>
      </c>
      <c r="B34" s="87" t="s">
        <v>1823</v>
      </c>
      <c r="C34" s="87">
        <v>5250</v>
      </c>
      <c r="D34" s="87" t="s">
        <v>1822</v>
      </c>
      <c r="E34" s="87">
        <v>-1750</v>
      </c>
      <c r="F34" s="87">
        <v>0</v>
      </c>
      <c r="J34" s="542"/>
      <c r="K34" s="75"/>
      <c r="L34" s="75"/>
      <c r="M34" s="75"/>
      <c r="N34" s="75"/>
    </row>
    <row r="35" spans="1:14" s="87" customFormat="1">
      <c r="A35" s="94">
        <v>45811</v>
      </c>
      <c r="B35" s="87" t="s">
        <v>435</v>
      </c>
      <c r="C35" s="87">
        <v>5250</v>
      </c>
      <c r="D35" s="87" t="s">
        <v>1839</v>
      </c>
      <c r="E35" s="87">
        <v>-1750</v>
      </c>
      <c r="F35" s="87">
        <v>0</v>
      </c>
      <c r="J35" s="542"/>
      <c r="K35" s="75"/>
      <c r="L35" s="75"/>
      <c r="M35" s="75"/>
      <c r="N35" s="75"/>
    </row>
    <row r="36" spans="1:14" s="87" customFormat="1">
      <c r="A36" s="94">
        <v>45811</v>
      </c>
      <c r="B36" s="87" t="s">
        <v>1821</v>
      </c>
      <c r="C36" s="87">
        <v>14500</v>
      </c>
      <c r="D36" s="87" t="s">
        <v>1839</v>
      </c>
      <c r="E36" s="87">
        <v>-4833.33</v>
      </c>
      <c r="F36" s="87">
        <v>0</v>
      </c>
      <c r="J36" s="542"/>
      <c r="K36" s="75"/>
      <c r="L36" s="75"/>
      <c r="M36" s="75"/>
      <c r="N36" s="75"/>
    </row>
    <row r="37" spans="1:14" s="87" customFormat="1">
      <c r="A37" s="94">
        <v>45817</v>
      </c>
      <c r="B37" s="87" t="s">
        <v>1850</v>
      </c>
      <c r="D37" s="87" t="s">
        <v>1851</v>
      </c>
      <c r="E37" s="87">
        <v>-406.67</v>
      </c>
      <c r="F37" s="87">
        <v>0</v>
      </c>
      <c r="J37" s="542"/>
      <c r="K37" s="75"/>
      <c r="L37" s="75"/>
      <c r="M37" s="75"/>
      <c r="N37" s="75"/>
    </row>
    <row r="38" spans="1:14" s="87" customFormat="1">
      <c r="A38" s="94">
        <v>45790</v>
      </c>
      <c r="B38" s="103" t="s">
        <v>330</v>
      </c>
      <c r="C38" s="87">
        <v>1407.46</v>
      </c>
      <c r="D38" s="87" t="s">
        <v>651</v>
      </c>
      <c r="E38" s="87">
        <v>-234.58</v>
      </c>
      <c r="F38" s="87">
        <v>0</v>
      </c>
      <c r="J38" s="542"/>
      <c r="K38" s="75"/>
      <c r="L38" s="75"/>
      <c r="M38" s="75"/>
      <c r="N38" s="75"/>
    </row>
    <row r="39" spans="1:14" s="74" customFormat="1">
      <c r="A39" s="94">
        <v>45828</v>
      </c>
      <c r="B39" s="103" t="s">
        <v>1879</v>
      </c>
      <c r="C39" s="74">
        <v>6500</v>
      </c>
      <c r="D39" s="87" t="s">
        <v>1839</v>
      </c>
      <c r="E39" s="74">
        <v>-2166.67</v>
      </c>
      <c r="J39" s="542"/>
      <c r="K39" s="75"/>
      <c r="L39" s="75"/>
      <c r="M39" s="75"/>
      <c r="N39" s="75"/>
    </row>
    <row r="40" spans="1:14" s="74" customFormat="1">
      <c r="A40" s="94">
        <v>45805</v>
      </c>
      <c r="B40" s="103" t="s">
        <v>118</v>
      </c>
      <c r="C40" s="193">
        <v>1380</v>
      </c>
      <c r="D40" s="87" t="s">
        <v>1839</v>
      </c>
      <c r="E40" s="87">
        <v>-460</v>
      </c>
      <c r="F40" s="87">
        <v>0</v>
      </c>
      <c r="J40" s="542"/>
      <c r="K40" s="75"/>
      <c r="L40" s="75"/>
      <c r="M40" s="75"/>
      <c r="N40" s="75"/>
    </row>
    <row r="41" spans="1:14">
      <c r="A41" s="94">
        <v>45805</v>
      </c>
      <c r="B41" s="103" t="s">
        <v>118</v>
      </c>
      <c r="C41" s="193">
        <v>4373.6000000000004</v>
      </c>
      <c r="D41" s="87" t="s">
        <v>1839</v>
      </c>
      <c r="E41" s="87">
        <v>-1457.87</v>
      </c>
      <c r="F41" s="87">
        <v>0</v>
      </c>
      <c r="I41" s="74"/>
    </row>
    <row r="42" spans="1:14" s="74" customFormat="1">
      <c r="A42" s="94"/>
      <c r="B42" s="87" t="s">
        <v>1816</v>
      </c>
      <c r="C42" s="87">
        <v>0</v>
      </c>
      <c r="I42"/>
      <c r="J42" s="542"/>
      <c r="K42" s="75"/>
      <c r="L42" s="75"/>
      <c r="M42" s="75"/>
      <c r="N42" s="75"/>
    </row>
    <row r="43" spans="1:14" s="74" customFormat="1">
      <c r="A43" s="418"/>
      <c r="J43" s="542"/>
      <c r="K43" s="75"/>
      <c r="L43" s="75"/>
      <c r="M43" s="75"/>
      <c r="N43" s="75"/>
    </row>
    <row r="44" spans="1:14" s="74" customFormat="1">
      <c r="A44" s="94">
        <v>45802</v>
      </c>
      <c r="B44" s="103" t="s">
        <v>1603</v>
      </c>
      <c r="C44" s="102"/>
      <c r="E44" s="74">
        <v>-80</v>
      </c>
      <c r="J44" s="542"/>
      <c r="K44" s="75"/>
      <c r="L44" s="75"/>
      <c r="M44" s="75"/>
      <c r="N44" s="75"/>
    </row>
    <row r="45" spans="1:14" s="87" customFormat="1">
      <c r="A45" s="94">
        <v>45802</v>
      </c>
      <c r="B45" s="103" t="s">
        <v>1819</v>
      </c>
      <c r="C45" s="74"/>
      <c r="D45" s="74"/>
      <c r="E45" s="74">
        <v>-120</v>
      </c>
      <c r="F45" s="74">
        <v>0</v>
      </c>
      <c r="J45" s="542"/>
      <c r="K45" s="75"/>
      <c r="L45" s="75"/>
      <c r="M45" s="75"/>
      <c r="N45" s="75"/>
    </row>
    <row r="46" spans="1:14" s="87" customFormat="1">
      <c r="A46" s="94">
        <v>45802</v>
      </c>
      <c r="B46" s="103" t="s">
        <v>1820</v>
      </c>
      <c r="C46" s="102"/>
      <c r="D46" s="74"/>
      <c r="E46" s="74">
        <v>-200</v>
      </c>
      <c r="F46" s="74">
        <v>0</v>
      </c>
      <c r="J46" s="542"/>
      <c r="K46" s="75"/>
      <c r="L46" s="75"/>
      <c r="M46" s="75"/>
      <c r="N46" s="75"/>
    </row>
    <row r="47" spans="1:14" s="87" customFormat="1">
      <c r="A47" s="94">
        <v>45802</v>
      </c>
      <c r="B47" s="103" t="s">
        <v>1819</v>
      </c>
      <c r="C47" s="102"/>
      <c r="D47" s="74"/>
      <c r="E47" s="74">
        <v>-350</v>
      </c>
      <c r="F47" s="74">
        <v>0</v>
      </c>
      <c r="J47" s="542"/>
      <c r="K47" s="75"/>
      <c r="L47" s="75"/>
      <c r="M47" s="75"/>
      <c r="N47" s="75"/>
    </row>
    <row r="48" spans="1:14" s="87" customFormat="1">
      <c r="A48" s="94"/>
      <c r="C48" s="102"/>
      <c r="E48" s="87">
        <v>-250</v>
      </c>
      <c r="J48" s="542"/>
      <c r="K48" s="75"/>
      <c r="L48" s="75"/>
      <c r="M48" s="75"/>
      <c r="N48" s="75"/>
    </row>
    <row r="49" spans="1:14" s="87" customFormat="1">
      <c r="A49" s="94">
        <v>45803</v>
      </c>
      <c r="B49" s="102" t="s">
        <v>1818</v>
      </c>
      <c r="C49" s="102"/>
      <c r="D49" s="74"/>
      <c r="E49" s="74">
        <v>-250</v>
      </c>
      <c r="F49" s="74">
        <v>0</v>
      </c>
      <c r="J49" s="542"/>
      <c r="K49" s="75"/>
      <c r="L49" s="75"/>
      <c r="M49" s="75"/>
      <c r="N49" s="75"/>
    </row>
    <row r="50" spans="1:14" s="87" customFormat="1">
      <c r="A50" s="94">
        <v>45804</v>
      </c>
      <c r="B50" s="74" t="s">
        <v>1797</v>
      </c>
      <c r="C50" s="74"/>
      <c r="D50" s="74"/>
      <c r="E50" s="74">
        <v>-1380</v>
      </c>
      <c r="F50" s="74">
        <v>0</v>
      </c>
      <c r="J50" s="542"/>
      <c r="K50" s="75"/>
      <c r="L50" s="75"/>
      <c r="M50" s="75"/>
      <c r="N50" s="75"/>
    </row>
    <row r="51" spans="1:14" s="87" customFormat="1">
      <c r="A51" s="94">
        <v>45804</v>
      </c>
      <c r="B51" s="87" t="s">
        <v>1817</v>
      </c>
      <c r="C51" s="102"/>
      <c r="D51" s="74"/>
      <c r="E51" s="74">
        <v>-4373.6000000000004</v>
      </c>
      <c r="F51" s="74">
        <v>0</v>
      </c>
      <c r="J51" s="542"/>
      <c r="K51" s="75"/>
      <c r="L51" s="75"/>
      <c r="M51" s="75"/>
      <c r="N51" s="75"/>
    </row>
    <row r="52" spans="1:14" s="87" customFormat="1">
      <c r="A52" s="94">
        <v>45804</v>
      </c>
      <c r="B52" s="74" t="s">
        <v>1815</v>
      </c>
      <c r="C52" s="74"/>
      <c r="D52" s="74"/>
      <c r="E52" s="74">
        <v>-234.3</v>
      </c>
      <c r="F52" s="74">
        <v>0</v>
      </c>
      <c r="J52" s="542"/>
      <c r="K52" s="75"/>
      <c r="L52" s="75"/>
      <c r="M52" s="75"/>
      <c r="N52" s="75"/>
    </row>
    <row r="53" spans="1:14" s="87" customFormat="1">
      <c r="A53" s="94">
        <v>45805</v>
      </c>
      <c r="B53" s="74" t="s">
        <v>1603</v>
      </c>
      <c r="C53" s="74"/>
      <c r="D53" s="74"/>
      <c r="E53" s="74">
        <v>-80</v>
      </c>
      <c r="F53" s="74">
        <v>1</v>
      </c>
      <c r="G53" s="74"/>
      <c r="J53" s="542"/>
      <c r="K53" s="75"/>
      <c r="L53" s="75"/>
      <c r="M53" s="75"/>
      <c r="N53" s="75"/>
    </row>
    <row r="54" spans="1:14" s="87" customFormat="1">
      <c r="A54" s="94"/>
      <c r="B54" s="103"/>
      <c r="C54" s="102"/>
      <c r="J54" s="542"/>
      <c r="K54" s="75"/>
      <c r="L54" s="75"/>
      <c r="M54" s="75"/>
      <c r="N54" s="75"/>
    </row>
    <row r="55" spans="1:14" s="87" customFormat="1">
      <c r="A55" s="94">
        <v>45805</v>
      </c>
      <c r="B55" s="103" t="s">
        <v>643</v>
      </c>
      <c r="C55" s="102"/>
      <c r="E55" s="87">
        <v>-575</v>
      </c>
      <c r="F55" s="87">
        <v>0</v>
      </c>
      <c r="J55" s="542"/>
      <c r="K55" s="75"/>
      <c r="L55" s="75"/>
      <c r="M55" s="75"/>
      <c r="N55" s="75"/>
    </row>
    <row r="56" spans="1:14" s="87" customFormat="1">
      <c r="A56" s="94">
        <v>45805</v>
      </c>
      <c r="B56" s="103" t="s">
        <v>118</v>
      </c>
      <c r="C56" s="193" t="s">
        <v>1872</v>
      </c>
      <c r="D56" s="87" t="s">
        <v>1822</v>
      </c>
      <c r="E56" s="87">
        <v>1380</v>
      </c>
      <c r="F56" s="87">
        <v>0</v>
      </c>
      <c r="J56" s="542"/>
      <c r="K56" s="75"/>
      <c r="L56" s="75"/>
      <c r="M56" s="75"/>
      <c r="N56" s="75"/>
    </row>
    <row r="57" spans="1:14" s="87" customFormat="1">
      <c r="A57" s="94">
        <v>45805</v>
      </c>
      <c r="B57" s="103" t="s">
        <v>118</v>
      </c>
      <c r="C57" s="193" t="s">
        <v>1872</v>
      </c>
      <c r="D57" s="87" t="s">
        <v>1822</v>
      </c>
      <c r="E57" s="87">
        <v>4373.6000000000004</v>
      </c>
      <c r="F57" s="87">
        <v>0</v>
      </c>
      <c r="J57" s="542"/>
      <c r="K57" s="75"/>
      <c r="L57" s="75"/>
      <c r="M57" s="75"/>
      <c r="N57" s="75"/>
    </row>
    <row r="58" spans="1:14" s="87" customFormat="1">
      <c r="A58" s="94">
        <v>45806</v>
      </c>
      <c r="B58" s="103" t="s">
        <v>119</v>
      </c>
      <c r="C58" s="102"/>
      <c r="E58" s="87">
        <v>-112.44</v>
      </c>
      <c r="F58" s="87">
        <v>0</v>
      </c>
      <c r="J58" s="542"/>
      <c r="K58" s="75"/>
      <c r="L58" s="75"/>
      <c r="M58" s="75"/>
      <c r="N58" s="75"/>
    </row>
    <row r="59" spans="1:14" s="87" customFormat="1">
      <c r="A59" s="94">
        <v>45807</v>
      </c>
      <c r="B59" s="103" t="s">
        <v>643</v>
      </c>
      <c r="C59" s="102"/>
      <c r="E59" s="87">
        <v>-500</v>
      </c>
      <c r="F59" s="87">
        <v>0</v>
      </c>
      <c r="J59" s="542"/>
      <c r="K59" s="75"/>
      <c r="L59" s="75"/>
      <c r="M59" s="75"/>
      <c r="N59" s="75"/>
    </row>
    <row r="60" spans="1:14" s="87" customFormat="1">
      <c r="A60" s="94">
        <v>45808</v>
      </c>
      <c r="B60" s="103" t="s">
        <v>119</v>
      </c>
      <c r="C60" s="102"/>
      <c r="E60" s="87">
        <v>-61.44</v>
      </c>
      <c r="F60" s="87">
        <v>0</v>
      </c>
      <c r="J60" s="542"/>
      <c r="K60" s="75"/>
      <c r="L60" s="75"/>
      <c r="M60" s="75"/>
      <c r="N60" s="75"/>
    </row>
    <row r="61" spans="1:14" s="87" customFormat="1">
      <c r="A61" s="94">
        <v>45811</v>
      </c>
      <c r="B61" s="103" t="s">
        <v>1619</v>
      </c>
      <c r="C61" s="102"/>
      <c r="E61" s="87">
        <v>-850</v>
      </c>
      <c r="F61" s="87">
        <v>0</v>
      </c>
      <c r="J61" s="542"/>
      <c r="K61" s="75"/>
      <c r="L61" s="75"/>
      <c r="M61" s="75"/>
      <c r="N61" s="75"/>
    </row>
    <row r="62" spans="1:14" s="87" customFormat="1">
      <c r="A62" s="94">
        <v>45811</v>
      </c>
      <c r="B62" s="103" t="s">
        <v>1855</v>
      </c>
      <c r="C62" s="102"/>
      <c r="E62" s="87">
        <v>-195</v>
      </c>
      <c r="F62" s="87">
        <v>0</v>
      </c>
      <c r="J62" s="542"/>
      <c r="K62" s="75"/>
      <c r="L62" s="75"/>
      <c r="M62" s="75"/>
      <c r="N62" s="75"/>
    </row>
    <row r="63" spans="1:14" s="87" customFormat="1">
      <c r="A63" s="94">
        <v>45811</v>
      </c>
      <c r="B63" s="103" t="s">
        <v>1854</v>
      </c>
      <c r="C63" s="102"/>
      <c r="E63" s="87">
        <v>-494</v>
      </c>
      <c r="F63" s="87">
        <v>0</v>
      </c>
      <c r="J63" s="542"/>
      <c r="K63" s="75"/>
      <c r="L63" s="75"/>
      <c r="M63" s="75"/>
      <c r="N63" s="75"/>
    </row>
    <row r="64" spans="1:14" s="87" customFormat="1">
      <c r="A64" s="94">
        <v>45812</v>
      </c>
      <c r="B64" s="103" t="s">
        <v>1840</v>
      </c>
      <c r="C64" s="102"/>
      <c r="E64" s="87">
        <v>-150</v>
      </c>
      <c r="F64" s="87">
        <v>0</v>
      </c>
      <c r="J64" s="542"/>
      <c r="K64" s="75"/>
      <c r="L64" s="75"/>
      <c r="M64" s="75"/>
      <c r="N64" s="75"/>
    </row>
    <row r="65" spans="1:14" s="87" customFormat="1">
      <c r="A65" s="94">
        <v>45812</v>
      </c>
      <c r="B65" s="103" t="s">
        <v>121</v>
      </c>
      <c r="C65" s="102">
        <v>21573.62</v>
      </c>
      <c r="J65" s="542"/>
      <c r="K65" s="75"/>
      <c r="L65" s="75"/>
      <c r="M65" s="75"/>
      <c r="N65" s="75"/>
    </row>
    <row r="66" spans="1:14" s="87" customFormat="1">
      <c r="A66" s="94">
        <v>45934</v>
      </c>
      <c r="B66" s="103" t="s">
        <v>1841</v>
      </c>
      <c r="C66" s="102"/>
      <c r="E66" s="87">
        <v>-40</v>
      </c>
      <c r="F66" s="87">
        <v>0</v>
      </c>
      <c r="J66" s="542"/>
      <c r="K66" s="75"/>
      <c r="L66" s="75"/>
      <c r="M66" s="75"/>
      <c r="N66" s="75"/>
    </row>
    <row r="67" spans="1:14" s="87" customFormat="1">
      <c r="A67" s="94">
        <v>45813</v>
      </c>
      <c r="B67" s="103"/>
      <c r="C67" s="102"/>
      <c r="E67" s="87">
        <v>-250</v>
      </c>
      <c r="F67" s="87">
        <v>0</v>
      </c>
      <c r="J67" s="542"/>
      <c r="K67" s="75"/>
      <c r="L67" s="75"/>
      <c r="M67" s="75"/>
      <c r="N67" s="75"/>
    </row>
    <row r="68" spans="1:14" s="87" customFormat="1">
      <c r="A68" s="94">
        <v>45813</v>
      </c>
      <c r="B68" s="103"/>
      <c r="C68" s="102"/>
      <c r="E68" s="87">
        <v>-340</v>
      </c>
      <c r="F68" s="87">
        <v>0</v>
      </c>
      <c r="J68" s="542"/>
      <c r="K68" s="75"/>
      <c r="L68" s="75"/>
      <c r="M68" s="75"/>
      <c r="N68" s="75"/>
    </row>
    <row r="69" spans="1:14" s="87" customFormat="1">
      <c r="A69" s="94">
        <v>45813</v>
      </c>
      <c r="B69" s="103"/>
      <c r="C69" s="102"/>
      <c r="E69" s="87">
        <v>-350</v>
      </c>
      <c r="F69" s="87">
        <v>0</v>
      </c>
      <c r="J69" s="542"/>
      <c r="K69" s="75"/>
      <c r="L69" s="75"/>
      <c r="M69" s="75"/>
      <c r="N69" s="75"/>
    </row>
    <row r="70" spans="1:14" s="87" customFormat="1">
      <c r="A70" s="94">
        <v>45813</v>
      </c>
      <c r="B70" s="103" t="s">
        <v>1853</v>
      </c>
      <c r="C70" s="102"/>
      <c r="E70" s="87">
        <v>-950</v>
      </c>
      <c r="F70" s="87">
        <v>0</v>
      </c>
      <c r="J70" s="542"/>
      <c r="K70" s="75"/>
      <c r="L70" s="75"/>
      <c r="M70" s="75"/>
      <c r="N70" s="75"/>
    </row>
    <row r="71" spans="1:14" s="87" customFormat="1">
      <c r="A71" s="94">
        <v>45813</v>
      </c>
      <c r="B71" s="103" t="s">
        <v>1842</v>
      </c>
      <c r="C71" s="102"/>
      <c r="E71" s="87">
        <v>-160</v>
      </c>
      <c r="F71" s="87">
        <v>0</v>
      </c>
      <c r="J71" s="542"/>
      <c r="K71" s="75"/>
      <c r="L71" s="75"/>
      <c r="M71" s="75"/>
      <c r="N71" s="75"/>
    </row>
    <row r="72" spans="1:14" s="87" customFormat="1">
      <c r="A72" s="94">
        <v>45813</v>
      </c>
      <c r="B72" s="103" t="s">
        <v>1843</v>
      </c>
      <c r="C72" s="102"/>
      <c r="E72" s="87">
        <v>-795.29</v>
      </c>
      <c r="F72" s="87">
        <v>0</v>
      </c>
      <c r="J72" s="542"/>
      <c r="K72" s="75"/>
      <c r="L72" s="75"/>
      <c r="M72" s="75"/>
      <c r="N72" s="75"/>
    </row>
    <row r="73" spans="1:14" s="87" customFormat="1">
      <c r="A73" s="94">
        <v>45815</v>
      </c>
      <c r="B73" s="103"/>
      <c r="C73" s="102"/>
      <c r="E73" s="87">
        <v>-400</v>
      </c>
      <c r="F73" s="87">
        <v>0</v>
      </c>
      <c r="J73" s="542"/>
      <c r="K73" s="75"/>
      <c r="L73" s="75"/>
      <c r="M73" s="75"/>
      <c r="N73" s="75"/>
    </row>
    <row r="74" spans="1:14" s="87" customFormat="1">
      <c r="A74" s="94">
        <v>45815</v>
      </c>
      <c r="B74" s="103" t="s">
        <v>1856</v>
      </c>
      <c r="C74" s="102"/>
      <c r="E74" s="87">
        <v>-3570</v>
      </c>
      <c r="F74" s="87">
        <v>0</v>
      </c>
      <c r="J74" s="542"/>
      <c r="K74" s="75"/>
      <c r="L74" s="75"/>
      <c r="M74" s="75"/>
      <c r="N74" s="75"/>
    </row>
    <row r="75" spans="1:14" s="87" customFormat="1">
      <c r="A75" s="94">
        <v>45816</v>
      </c>
      <c r="B75" s="103" t="s">
        <v>1844</v>
      </c>
      <c r="C75" s="102"/>
      <c r="E75" s="87">
        <v>-520</v>
      </c>
      <c r="F75" s="87">
        <v>0</v>
      </c>
      <c r="J75" s="542"/>
      <c r="K75" s="75"/>
      <c r="L75" s="75"/>
      <c r="M75" s="75"/>
      <c r="N75" s="75"/>
    </row>
    <row r="76" spans="1:14" s="87" customFormat="1">
      <c r="A76" s="94">
        <v>45816</v>
      </c>
      <c r="B76" s="103" t="s">
        <v>1845</v>
      </c>
      <c r="C76" s="102"/>
      <c r="E76" s="87">
        <v>-580</v>
      </c>
      <c r="F76" s="87">
        <v>0</v>
      </c>
      <c r="J76" s="542"/>
      <c r="K76" s="75"/>
      <c r="L76" s="75"/>
      <c r="M76" s="75"/>
      <c r="N76" s="75"/>
    </row>
    <row r="77" spans="1:14" s="87" customFormat="1">
      <c r="A77" s="94">
        <v>45813</v>
      </c>
      <c r="B77" s="103" t="s">
        <v>1846</v>
      </c>
      <c r="C77" s="102"/>
      <c r="E77" s="87">
        <v>-1500</v>
      </c>
      <c r="F77" s="87">
        <v>0</v>
      </c>
      <c r="J77" s="542"/>
      <c r="K77" s="75"/>
      <c r="L77" s="75"/>
      <c r="M77" s="75"/>
      <c r="N77" s="75"/>
    </row>
    <row r="78" spans="1:14" s="87" customFormat="1">
      <c r="A78" s="94"/>
      <c r="B78" s="103" t="s">
        <v>1847</v>
      </c>
      <c r="C78" s="102"/>
      <c r="E78" s="87">
        <v>-149.94999999999999</v>
      </c>
      <c r="F78" s="87">
        <v>0</v>
      </c>
      <c r="J78" s="542"/>
      <c r="K78" s="75"/>
      <c r="L78" s="75"/>
      <c r="M78" s="75"/>
      <c r="N78" s="75"/>
    </row>
    <row r="79" spans="1:14" s="87" customFormat="1">
      <c r="A79" s="94">
        <v>45817</v>
      </c>
      <c r="B79" s="103" t="s">
        <v>1848</v>
      </c>
      <c r="C79" s="102"/>
      <c r="E79" s="87">
        <v>-1304.99</v>
      </c>
      <c r="F79" s="87">
        <v>0</v>
      </c>
      <c r="J79" s="542"/>
      <c r="K79" s="75"/>
      <c r="L79" s="75"/>
      <c r="M79" s="75"/>
      <c r="N79" s="75"/>
    </row>
    <row r="80" spans="1:14" s="87" customFormat="1">
      <c r="A80" s="94">
        <v>45817</v>
      </c>
      <c r="B80" s="103" t="s">
        <v>1849</v>
      </c>
      <c r="C80" s="102"/>
      <c r="E80" s="87">
        <v>-1199.99</v>
      </c>
      <c r="F80" s="87">
        <v>0</v>
      </c>
      <c r="J80" s="542"/>
      <c r="K80" s="75"/>
      <c r="L80" s="75"/>
      <c r="M80" s="75"/>
      <c r="N80" s="75"/>
    </row>
    <row r="81" spans="1:14" s="87" customFormat="1">
      <c r="A81" s="94">
        <v>45817</v>
      </c>
      <c r="B81" s="103"/>
      <c r="C81" s="102"/>
      <c r="E81" s="87">
        <v>-558</v>
      </c>
      <c r="F81" s="87">
        <v>0</v>
      </c>
      <c r="J81" s="542"/>
      <c r="K81" s="75"/>
      <c r="L81" s="75"/>
      <c r="M81" s="75"/>
      <c r="N81" s="75"/>
    </row>
    <row r="82" spans="1:14" s="87" customFormat="1">
      <c r="A82" s="94">
        <v>45818</v>
      </c>
      <c r="B82" s="103" t="s">
        <v>1852</v>
      </c>
      <c r="C82" s="102"/>
      <c r="E82" s="87">
        <v>-240</v>
      </c>
      <c r="F82" s="87">
        <v>0</v>
      </c>
      <c r="J82" s="542"/>
      <c r="K82" s="75"/>
      <c r="L82" s="75"/>
      <c r="M82" s="75"/>
      <c r="N82" s="75"/>
    </row>
    <row r="83" spans="1:14" s="87" customFormat="1">
      <c r="A83" s="94">
        <v>45820</v>
      </c>
      <c r="B83" s="103" t="s">
        <v>119</v>
      </c>
      <c r="C83" s="102"/>
      <c r="E83" s="87">
        <v>-101.31</v>
      </c>
      <c r="F83" s="87">
        <v>101.31</v>
      </c>
      <c r="J83" s="542"/>
      <c r="K83" s="75"/>
      <c r="L83" s="75"/>
      <c r="M83" s="75"/>
      <c r="N83" s="75"/>
    </row>
    <row r="84" spans="1:14" s="87" customFormat="1">
      <c r="A84" s="94">
        <v>45821</v>
      </c>
      <c r="B84" s="103" t="s">
        <v>1873</v>
      </c>
      <c r="C84" s="102"/>
      <c r="E84" s="87">
        <v>-315</v>
      </c>
      <c r="J84" s="542"/>
      <c r="K84" s="75"/>
      <c r="L84" s="75"/>
      <c r="M84" s="75"/>
      <c r="N84" s="75"/>
    </row>
    <row r="85" spans="1:14" s="87" customFormat="1">
      <c r="A85" s="94">
        <v>45913</v>
      </c>
      <c r="B85" s="103" t="s">
        <v>1873</v>
      </c>
      <c r="C85" s="102"/>
      <c r="E85" s="87">
        <v>-60</v>
      </c>
      <c r="J85" s="542"/>
      <c r="K85" s="75"/>
      <c r="L85" s="75"/>
      <c r="M85" s="75"/>
      <c r="N85" s="75"/>
    </row>
    <row r="86" spans="1:14" s="87" customFormat="1">
      <c r="A86" s="94">
        <v>45821</v>
      </c>
      <c r="B86" s="103" t="s">
        <v>1874</v>
      </c>
      <c r="C86" s="102"/>
      <c r="E86" s="87">
        <v>-1425</v>
      </c>
      <c r="J86" s="542"/>
      <c r="K86" s="75"/>
      <c r="L86" s="75"/>
      <c r="M86" s="75"/>
      <c r="N86" s="75"/>
    </row>
    <row r="87" spans="1:14" s="87" customFormat="1">
      <c r="A87" s="94">
        <v>45822</v>
      </c>
      <c r="B87" s="103" t="s">
        <v>119</v>
      </c>
      <c r="C87" s="102"/>
      <c r="E87" s="87">
        <v>-510.46</v>
      </c>
      <c r="J87" s="542"/>
      <c r="K87" s="75"/>
      <c r="L87" s="75"/>
      <c r="M87" s="75"/>
      <c r="N87" s="75"/>
    </row>
    <row r="88" spans="1:14" s="87" customFormat="1">
      <c r="A88" s="94">
        <v>45824</v>
      </c>
      <c r="B88" s="103" t="s">
        <v>1875</v>
      </c>
      <c r="C88" s="102"/>
      <c r="E88" s="87">
        <v>-260</v>
      </c>
      <c r="J88" s="542"/>
      <c r="K88" s="75"/>
      <c r="L88" s="75"/>
      <c r="M88" s="75"/>
      <c r="N88" s="75"/>
    </row>
    <row r="89" spans="1:14" s="87" customFormat="1">
      <c r="A89" s="94">
        <v>45825</v>
      </c>
      <c r="B89" s="103" t="s">
        <v>643</v>
      </c>
      <c r="C89" s="102"/>
      <c r="E89" s="87">
        <v>-300</v>
      </c>
      <c r="J89" s="542"/>
      <c r="K89" s="75"/>
      <c r="L89" s="75"/>
      <c r="M89" s="75"/>
      <c r="N89" s="75"/>
    </row>
    <row r="90" spans="1:14" s="87" customFormat="1">
      <c r="A90" s="94">
        <v>45825</v>
      </c>
      <c r="B90" s="103" t="s">
        <v>1873</v>
      </c>
      <c r="C90" s="102"/>
      <c r="E90" s="87">
        <v>-300</v>
      </c>
      <c r="J90" s="542"/>
      <c r="K90" s="75"/>
      <c r="L90" s="75"/>
      <c r="M90" s="75"/>
      <c r="N90" s="75"/>
    </row>
    <row r="91" spans="1:14" s="87" customFormat="1">
      <c r="A91" s="94">
        <v>45826</v>
      </c>
      <c r="B91" s="103" t="s">
        <v>1873</v>
      </c>
      <c r="C91" s="102"/>
      <c r="E91" s="87">
        <v>-280</v>
      </c>
      <c r="J91" s="542"/>
      <c r="K91" s="75"/>
      <c r="L91" s="75"/>
      <c r="M91" s="75"/>
      <c r="N91" s="75"/>
    </row>
    <row r="92" spans="1:14" s="87" customFormat="1">
      <c r="A92" s="94">
        <v>45826</v>
      </c>
      <c r="B92" s="103" t="s">
        <v>119</v>
      </c>
      <c r="C92" s="102"/>
      <c r="E92" s="87">
        <v>-304.55</v>
      </c>
      <c r="J92" s="542"/>
      <c r="K92" s="75"/>
      <c r="L92" s="75"/>
      <c r="M92" s="75"/>
      <c r="N92" s="75"/>
    </row>
    <row r="93" spans="1:14" s="87" customFormat="1">
      <c r="A93" s="94">
        <v>45827</v>
      </c>
      <c r="B93" s="103" t="s">
        <v>1603</v>
      </c>
      <c r="C93" s="102"/>
      <c r="E93" s="87">
        <v>-200</v>
      </c>
      <c r="J93" s="542"/>
      <c r="K93" s="75"/>
      <c r="L93" s="75"/>
      <c r="M93" s="75"/>
      <c r="N93" s="75"/>
    </row>
    <row r="94" spans="1:14" s="87" customFormat="1">
      <c r="A94" s="94">
        <v>45827</v>
      </c>
      <c r="B94" s="103" t="s">
        <v>119</v>
      </c>
      <c r="C94" s="102"/>
      <c r="E94" s="87">
        <v>-82.01</v>
      </c>
      <c r="J94" s="542"/>
      <c r="K94" s="75"/>
      <c r="L94" s="75"/>
      <c r="M94" s="75"/>
      <c r="N94" s="75"/>
    </row>
    <row r="95" spans="1:14" s="87" customFormat="1">
      <c r="A95" s="94">
        <v>45828</v>
      </c>
      <c r="B95" s="87" t="s">
        <v>1876</v>
      </c>
      <c r="C95" s="102"/>
      <c r="E95" s="87">
        <v>-710</v>
      </c>
      <c r="J95" s="542"/>
      <c r="K95" s="75"/>
      <c r="L95" s="75"/>
      <c r="M95" s="75"/>
      <c r="N95" s="75"/>
    </row>
    <row r="96" spans="1:14" s="87" customFormat="1">
      <c r="A96" s="94">
        <v>45829</v>
      </c>
      <c r="B96" s="103" t="s">
        <v>1873</v>
      </c>
      <c r="C96" s="102"/>
      <c r="E96" s="87">
        <v>-280</v>
      </c>
      <c r="J96" s="542"/>
      <c r="K96" s="75"/>
      <c r="L96" s="75"/>
      <c r="M96" s="75"/>
      <c r="N96" s="75"/>
    </row>
    <row r="97" spans="1:14" s="87" customFormat="1">
      <c r="A97" s="94">
        <v>45832</v>
      </c>
      <c r="B97" s="103" t="s">
        <v>1877</v>
      </c>
      <c r="C97" s="102"/>
      <c r="E97" s="87">
        <v>-500</v>
      </c>
      <c r="J97" s="542"/>
      <c r="K97" s="75"/>
      <c r="L97" s="75"/>
      <c r="M97" s="75"/>
      <c r="N97" s="75"/>
    </row>
    <row r="98" spans="1:14" s="87" customFormat="1">
      <c r="A98" s="94">
        <v>45832</v>
      </c>
      <c r="B98" s="103" t="s">
        <v>1878</v>
      </c>
      <c r="C98" s="102"/>
      <c r="E98" s="87">
        <v>-250</v>
      </c>
      <c r="J98" s="542"/>
      <c r="K98" s="75"/>
      <c r="L98" s="75"/>
      <c r="M98" s="75"/>
      <c r="N98" s="75"/>
    </row>
    <row r="99" spans="1:14" s="87" customFormat="1" ht="15">
      <c r="A99" s="94"/>
      <c r="B99" s="103"/>
      <c r="C99" s="102"/>
      <c r="E99" s="101" t="s">
        <v>76</v>
      </c>
      <c r="J99" s="542"/>
      <c r="K99" s="75"/>
      <c r="L99" s="75"/>
      <c r="M99" s="75"/>
      <c r="N99" s="75"/>
    </row>
    <row r="100" spans="1:14" s="87" customFormat="1">
      <c r="A100" s="94"/>
      <c r="B100" s="103"/>
      <c r="C100" s="102"/>
      <c r="J100" s="542"/>
      <c r="K100" s="75"/>
      <c r="L100" s="75"/>
      <c r="M100" s="75"/>
      <c r="N100" s="75"/>
    </row>
    <row r="101" spans="1:14" s="87" customFormat="1">
      <c r="A101" s="94"/>
      <c r="B101" s="103"/>
      <c r="C101" s="102"/>
      <c r="J101" s="542"/>
      <c r="K101" s="75"/>
      <c r="L101" s="75"/>
      <c r="M101" s="75"/>
      <c r="N101" s="75"/>
    </row>
    <row r="102" spans="1:14" s="87" customFormat="1">
      <c r="A102" s="94"/>
      <c r="B102" s="103"/>
      <c r="C102" s="102"/>
      <c r="J102" s="542"/>
      <c r="K102" s="75"/>
      <c r="L102" s="75"/>
      <c r="M102" s="75"/>
      <c r="N102" s="75"/>
    </row>
    <row r="103" spans="1:14" s="74" customFormat="1">
      <c r="A103" s="94"/>
      <c r="B103" s="3"/>
      <c r="J103" s="542"/>
      <c r="K103" s="75"/>
      <c r="L103" s="75"/>
      <c r="M103" s="75"/>
      <c r="N103" s="75"/>
    </row>
    <row r="104" spans="1:14" s="74" customFormat="1">
      <c r="A104" s="94"/>
      <c r="B104" s="102"/>
      <c r="C104" s="102"/>
      <c r="J104" s="542"/>
      <c r="K104" s="75"/>
      <c r="L104" s="75"/>
      <c r="M104" s="75"/>
      <c r="N104" s="75"/>
    </row>
    <row r="105" spans="1:14" s="74" customFormat="1">
      <c r="A105" s="419"/>
      <c r="B105" s="100" t="s">
        <v>77</v>
      </c>
      <c r="C105" s="99"/>
      <c r="E105" s="74">
        <f>SUM(E106:E109)</f>
        <v>-1620.2</v>
      </c>
      <c r="J105" s="542"/>
      <c r="K105" s="75"/>
      <c r="L105" s="75"/>
      <c r="M105" s="75"/>
      <c r="N105" s="75"/>
    </row>
    <row r="106" spans="1:14" s="74" customFormat="1">
      <c r="A106" s="94"/>
      <c r="B106" s="102"/>
      <c r="C106" s="102"/>
      <c r="J106" s="542"/>
      <c r="K106" s="75"/>
      <c r="L106" s="75"/>
      <c r="M106" s="75"/>
      <c r="N106" s="75"/>
    </row>
    <row r="107" spans="1:14" s="74" customFormat="1">
      <c r="A107" s="94">
        <v>45728</v>
      </c>
      <c r="B107" s="87" t="s">
        <v>1678</v>
      </c>
      <c r="C107" s="11"/>
      <c r="D107" s="87" t="s">
        <v>1712</v>
      </c>
      <c r="E107" s="87">
        <v>-625</v>
      </c>
      <c r="J107" s="542"/>
      <c r="K107" s="75"/>
      <c r="L107" s="75"/>
      <c r="M107" s="75"/>
      <c r="N107" s="75"/>
    </row>
    <row r="108" spans="1:14" s="74" customFormat="1">
      <c r="A108" s="94"/>
      <c r="B108" s="3" t="s">
        <v>1871</v>
      </c>
      <c r="C108" s="102"/>
      <c r="E108" s="74">
        <v>-995.2</v>
      </c>
      <c r="J108" s="542"/>
      <c r="K108" s="75"/>
      <c r="L108" s="75"/>
      <c r="M108" s="75"/>
      <c r="N108" s="75"/>
    </row>
    <row r="109" spans="1:14" s="74" customFormat="1" ht="15">
      <c r="A109" s="94"/>
      <c r="B109" s="3"/>
      <c r="C109" s="102"/>
      <c r="E109" s="101" t="s">
        <v>76</v>
      </c>
      <c r="J109" s="542"/>
      <c r="K109" s="75"/>
      <c r="L109" s="75"/>
      <c r="M109" s="75"/>
      <c r="N109" s="75"/>
    </row>
    <row r="110" spans="1:14" s="74" customFormat="1">
      <c r="A110" s="94"/>
      <c r="B110" s="3"/>
      <c r="C110" s="102"/>
      <c r="J110" s="542"/>
      <c r="K110" s="75"/>
      <c r="L110" s="75"/>
      <c r="M110" s="75"/>
      <c r="N110" s="75"/>
    </row>
    <row r="111" spans="1:14" s="74" customFormat="1">
      <c r="A111" s="94"/>
      <c r="B111" s="3"/>
      <c r="C111" s="102"/>
      <c r="J111" s="542"/>
      <c r="K111" s="75"/>
      <c r="L111" s="75"/>
      <c r="M111" s="75"/>
      <c r="N111" s="75"/>
    </row>
    <row r="112" spans="1:14" s="74" customFormat="1">
      <c r="A112" s="94"/>
      <c r="B112" s="3"/>
      <c r="C112" s="102"/>
      <c r="J112" s="542"/>
      <c r="K112" s="75"/>
      <c r="L112" s="75"/>
      <c r="M112" s="75"/>
      <c r="N112" s="75"/>
    </row>
    <row r="113" spans="1:14" s="74" customFormat="1">
      <c r="A113" s="94"/>
      <c r="B113" s="3"/>
      <c r="C113" s="102"/>
      <c r="J113" s="542"/>
      <c r="K113" s="75"/>
      <c r="L113" s="75"/>
      <c r="M113" s="75"/>
      <c r="N113" s="75"/>
    </row>
    <row r="114" spans="1:14" s="74" customFormat="1">
      <c r="A114" s="94"/>
      <c r="B114" s="3"/>
      <c r="C114" s="102"/>
      <c r="J114" s="542"/>
      <c r="K114" s="75"/>
      <c r="L114" s="75"/>
      <c r="M114" s="75"/>
      <c r="N114" s="75"/>
    </row>
    <row r="115" spans="1:14">
      <c r="A115" s="555" t="s">
        <v>1884</v>
      </c>
      <c r="B115" s="100" t="s">
        <v>128</v>
      </c>
      <c r="C115" s="99">
        <v>2025</v>
      </c>
      <c r="D115" s="87"/>
      <c r="E115" s="87"/>
      <c r="F115" s="87"/>
      <c r="G115" s="87">
        <f>SUM(G119:G145)</f>
        <v>477298.03</v>
      </c>
      <c r="H115" s="87"/>
      <c r="I115" s="87"/>
    </row>
    <row r="116" spans="1:14">
      <c r="A116" s="555"/>
      <c r="B116" s="100"/>
      <c r="C116" s="99"/>
      <c r="D116" s="87"/>
      <c r="E116" s="87"/>
      <c r="F116" s="87"/>
      <c r="G116" s="87"/>
      <c r="H116" s="87"/>
      <c r="I116" s="87"/>
    </row>
    <row r="117" spans="1:14">
      <c r="A117" s="555"/>
      <c r="B117" s="100"/>
      <c r="C117" s="99"/>
      <c r="D117" s="87"/>
      <c r="E117" s="87" t="s">
        <v>129</v>
      </c>
      <c r="F117" s="87"/>
      <c r="G117" s="87"/>
      <c r="H117" s="87"/>
      <c r="I117" s="87"/>
    </row>
    <row r="118" spans="1:14">
      <c r="B118" s="87" t="s">
        <v>69</v>
      </c>
      <c r="C118" s="87"/>
      <c r="D118" s="87"/>
      <c r="E118" s="87"/>
      <c r="F118" s="87"/>
      <c r="G118" s="87">
        <v>0</v>
      </c>
      <c r="H118" s="87"/>
      <c r="I118" s="87"/>
    </row>
    <row r="119" spans="1:14">
      <c r="B119" s="87" t="s">
        <v>70</v>
      </c>
      <c r="C119" s="87"/>
      <c r="D119" s="87"/>
      <c r="E119" s="87"/>
      <c r="F119" s="87"/>
      <c r="G119" s="87">
        <v>0</v>
      </c>
      <c r="H119" s="87"/>
      <c r="I119" s="87"/>
    </row>
    <row r="120" spans="1:14">
      <c r="A120" s="556">
        <v>45843</v>
      </c>
      <c r="B120" s="87" t="s">
        <v>1727</v>
      </c>
      <c r="C120" s="87"/>
      <c r="D120" s="87"/>
      <c r="E120" s="87">
        <v>51330</v>
      </c>
      <c r="F120" s="87">
        <v>-36000</v>
      </c>
      <c r="G120" s="87">
        <f>E120+F120</f>
        <v>15330</v>
      </c>
      <c r="H120" s="87"/>
      <c r="I120" s="87"/>
    </row>
    <row r="121" spans="1:14">
      <c r="A121" s="556"/>
      <c r="B121" s="87" t="s">
        <v>1728</v>
      </c>
      <c r="C121" s="87"/>
      <c r="D121" s="87"/>
      <c r="E121" s="87"/>
      <c r="F121" s="87"/>
      <c r="G121" s="87">
        <f>D101</f>
        <v>0</v>
      </c>
      <c r="H121" s="87"/>
      <c r="I121" s="87"/>
    </row>
    <row r="122" spans="1:14">
      <c r="A122" s="556">
        <v>45777</v>
      </c>
      <c r="B122" s="87" t="s">
        <v>131</v>
      </c>
      <c r="C122" s="12"/>
      <c r="D122" s="12"/>
      <c r="E122" s="87"/>
      <c r="F122" s="87"/>
      <c r="G122" s="14">
        <v>13743</v>
      </c>
      <c r="H122" s="87"/>
      <c r="I122" s="87"/>
    </row>
    <row r="123" spans="1:14">
      <c r="A123" s="556">
        <v>45777</v>
      </c>
      <c r="B123" s="87" t="s">
        <v>132</v>
      </c>
      <c r="C123" s="12"/>
      <c r="D123" s="12"/>
      <c r="E123" s="87"/>
      <c r="F123" s="87"/>
      <c r="G123" s="14">
        <v>0</v>
      </c>
      <c r="H123" s="87"/>
      <c r="I123" s="87"/>
    </row>
    <row r="124" spans="1:14">
      <c r="B124" s="87"/>
      <c r="C124" s="12"/>
      <c r="D124" s="12"/>
      <c r="E124" s="87"/>
      <c r="F124" s="87"/>
      <c r="G124" s="14"/>
      <c r="H124" s="87"/>
      <c r="I124" s="87" t="s">
        <v>1677</v>
      </c>
    </row>
    <row r="125" spans="1:14">
      <c r="B125" s="79"/>
      <c r="C125" s="110"/>
      <c r="D125" s="110"/>
      <c r="E125" s="112"/>
      <c r="F125" s="87"/>
      <c r="G125" s="14"/>
      <c r="H125" s="87"/>
      <c r="I125" s="87"/>
    </row>
    <row r="126" spans="1:14">
      <c r="A126" s="94">
        <v>45620</v>
      </c>
      <c r="B126" s="79" t="s">
        <v>1595</v>
      </c>
      <c r="C126" s="110"/>
      <c r="D126" s="110">
        <v>32.549999999999997</v>
      </c>
      <c r="E126" s="112">
        <f t="shared" ref="E126:E128" si="1">D126*C126</f>
        <v>0</v>
      </c>
      <c r="F126" s="87">
        <v>48.35</v>
      </c>
      <c r="G126" s="14">
        <f>F126*C126</f>
        <v>0</v>
      </c>
      <c r="H126" s="87"/>
      <c r="I126" s="87">
        <f>G126-E126</f>
        <v>0</v>
      </c>
    </row>
    <row r="127" spans="1:14" s="11" customFormat="1">
      <c r="A127" s="94">
        <v>45659</v>
      </c>
      <c r="B127" s="79" t="s">
        <v>1594</v>
      </c>
      <c r="C127" s="110"/>
      <c r="D127" s="111">
        <v>30.86</v>
      </c>
      <c r="E127" s="112">
        <f t="shared" ref="E127" si="2">D127*C127</f>
        <v>0</v>
      </c>
      <c r="F127" s="87">
        <f>F126</f>
        <v>48.35</v>
      </c>
      <c r="G127" s="14">
        <f t="shared" ref="G127" si="3">F127*C127</f>
        <v>0</v>
      </c>
      <c r="H127" s="407">
        <f>SUM(G125:G127)</f>
        <v>0</v>
      </c>
      <c r="I127" s="87">
        <f t="shared" ref="I127" si="4">G127-E127</f>
        <v>0</v>
      </c>
      <c r="J127" s="542"/>
      <c r="K127" s="75"/>
      <c r="L127" s="75"/>
      <c r="M127" s="75"/>
      <c r="N127" s="75"/>
    </row>
    <row r="128" spans="1:14">
      <c r="A128" s="94">
        <v>45659</v>
      </c>
      <c r="B128" s="79" t="s">
        <v>1594</v>
      </c>
      <c r="C128" s="110">
        <v>3500</v>
      </c>
      <c r="D128" s="111">
        <v>30.86</v>
      </c>
      <c r="E128" s="112">
        <f t="shared" si="1"/>
        <v>108010</v>
      </c>
      <c r="F128" s="87">
        <v>47.55</v>
      </c>
      <c r="G128" s="14">
        <f t="shared" ref="G128" si="5">F128*C128</f>
        <v>166425</v>
      </c>
      <c r="H128" s="407">
        <f>SUM(G126:G128)</f>
        <v>166425</v>
      </c>
      <c r="I128" s="87">
        <f t="shared" ref="I128" si="6">G128-E128</f>
        <v>58415</v>
      </c>
    </row>
    <row r="129" spans="1:9" ht="13.5" thickBot="1">
      <c r="B129" s="79"/>
      <c r="C129" s="110"/>
      <c r="D129" s="111"/>
      <c r="E129" s="112"/>
      <c r="F129" s="87"/>
      <c r="G129" s="14"/>
      <c r="H129" s="407"/>
      <c r="I129" s="87"/>
    </row>
    <row r="130" spans="1:9" ht="13.5" thickBot="1">
      <c r="B130" s="87"/>
      <c r="C130" s="12"/>
      <c r="D130" s="12"/>
      <c r="E130" s="87">
        <f>SUM(E125:E128)</f>
        <v>108010</v>
      </c>
      <c r="F130" s="87"/>
      <c r="G130" s="87"/>
      <c r="H130" s="113">
        <f>(SUM(G125:G128))-(SUM(E125:E128))</f>
        <v>58415</v>
      </c>
      <c r="I130" s="113">
        <f>SUM(I125:I128)</f>
        <v>58415</v>
      </c>
    </row>
    <row r="131" spans="1:9">
      <c r="B131" s="87"/>
      <c r="C131" s="12"/>
      <c r="D131" s="12"/>
      <c r="E131" s="87"/>
      <c r="F131" s="87"/>
      <c r="G131" s="87"/>
      <c r="H131" s="87"/>
      <c r="I131" s="87"/>
    </row>
    <row r="132" spans="1:9">
      <c r="A132" s="94">
        <v>45345</v>
      </c>
      <c r="B132" s="79" t="s">
        <v>135</v>
      </c>
      <c r="C132" s="114">
        <v>125000</v>
      </c>
      <c r="D132" s="80">
        <v>1.0399430000000001</v>
      </c>
      <c r="E132" s="112">
        <f>D132*C132</f>
        <v>129992.87500000001</v>
      </c>
      <c r="F132" s="392">
        <v>1.0006139999999999</v>
      </c>
      <c r="G132" s="14">
        <f>F132*C132</f>
        <v>125076.74999999999</v>
      </c>
      <c r="H132" s="87"/>
      <c r="I132" s="87">
        <f t="shared" ref="I132:I135" si="7">G132-E132</f>
        <v>-4916.1250000000291</v>
      </c>
    </row>
    <row r="133" spans="1:9">
      <c r="A133" s="94">
        <v>45400</v>
      </c>
      <c r="B133" s="79" t="s">
        <v>136</v>
      </c>
      <c r="C133" s="110">
        <v>10</v>
      </c>
      <c r="D133" s="80">
        <v>135</v>
      </c>
      <c r="E133" s="112">
        <f>D133*C133</f>
        <v>1350</v>
      </c>
      <c r="F133" s="87">
        <v>140</v>
      </c>
      <c r="G133" s="14">
        <f>F133*C133</f>
        <v>1400</v>
      </c>
      <c r="H133" s="87"/>
      <c r="I133" s="87">
        <f t="shared" si="7"/>
        <v>50</v>
      </c>
    </row>
    <row r="134" spans="1:9">
      <c r="A134" s="94">
        <v>45418</v>
      </c>
      <c r="B134" s="79" t="s">
        <v>137</v>
      </c>
      <c r="C134" s="110">
        <v>38</v>
      </c>
      <c r="D134" s="80">
        <v>30.5</v>
      </c>
      <c r="E134" s="112">
        <f>D134*C134</f>
        <v>1159</v>
      </c>
      <c r="F134" s="87">
        <v>15.9</v>
      </c>
      <c r="G134" s="14">
        <f>F134*C134</f>
        <v>604.20000000000005</v>
      </c>
      <c r="H134" s="87"/>
      <c r="I134" s="87">
        <f t="shared" si="7"/>
        <v>-554.79999999999995</v>
      </c>
    </row>
    <row r="135" spans="1:9" ht="13.5" thickBot="1">
      <c r="A135" s="94">
        <v>45418</v>
      </c>
      <c r="B135" s="79" t="s">
        <v>138</v>
      </c>
      <c r="C135" s="110">
        <v>26</v>
      </c>
      <c r="D135" s="80">
        <v>37.115000000000002</v>
      </c>
      <c r="E135" s="112">
        <f>D135*C135</f>
        <v>964.99</v>
      </c>
      <c r="F135" s="87">
        <v>24.58</v>
      </c>
      <c r="G135" s="14">
        <f>F135*C135</f>
        <v>639.07999999999993</v>
      </c>
      <c r="H135" s="407">
        <f>SUM(G132:G135)</f>
        <v>127720.02999999998</v>
      </c>
      <c r="I135" s="87">
        <f t="shared" si="7"/>
        <v>-325.91000000000008</v>
      </c>
    </row>
    <row r="136" spans="1:9" ht="13.5" thickBot="1">
      <c r="B136" s="87"/>
      <c r="C136" s="12"/>
      <c r="D136" s="12"/>
      <c r="E136" s="87">
        <f>SUM(E132:E135)</f>
        <v>133466.86499999999</v>
      </c>
      <c r="F136" s="87"/>
      <c r="G136" s="87"/>
      <c r="H136" s="113">
        <f>(SUM(G132:G135))-(SUM(E132:E135))</f>
        <v>-5746.8350000000064</v>
      </c>
      <c r="I136" s="87"/>
    </row>
    <row r="137" spans="1:9">
      <c r="B137" s="87"/>
      <c r="C137" s="87"/>
      <c r="D137" s="87"/>
      <c r="E137" s="14"/>
      <c r="F137" s="87"/>
      <c r="G137" s="87"/>
      <c r="H137" s="87"/>
      <c r="I137" s="87"/>
    </row>
    <row r="138" spans="1:9">
      <c r="A138" s="94">
        <v>45509</v>
      </c>
      <c r="B138" s="79" t="s">
        <v>1722</v>
      </c>
      <c r="C138" s="110">
        <v>1</v>
      </c>
      <c r="D138" s="80">
        <v>2500</v>
      </c>
      <c r="E138" s="112">
        <f>D138*C138</f>
        <v>2500</v>
      </c>
      <c r="F138" s="87">
        <v>4300</v>
      </c>
      <c r="G138" s="14">
        <f>C138*F138</f>
        <v>4300</v>
      </c>
      <c r="H138" s="87"/>
      <c r="I138" s="87">
        <f t="shared" ref="I138:I140" si="8">G138-E138</f>
        <v>1800</v>
      </c>
    </row>
    <row r="139" spans="1:9">
      <c r="A139" s="94">
        <v>45509</v>
      </c>
      <c r="B139" s="79" t="s">
        <v>140</v>
      </c>
      <c r="C139" s="110">
        <v>16</v>
      </c>
      <c r="D139" s="80">
        <v>4100</v>
      </c>
      <c r="E139" s="112">
        <f>D139*C139</f>
        <v>65600</v>
      </c>
      <c r="F139" s="87">
        <f>F138*1.73</f>
        <v>7439</v>
      </c>
      <c r="G139" s="14">
        <f>C139*F139</f>
        <v>119024</v>
      </c>
      <c r="H139" s="87"/>
      <c r="I139" s="87">
        <f t="shared" si="8"/>
        <v>53424</v>
      </c>
    </row>
    <row r="140" spans="1:9" ht="13.5" thickBot="1">
      <c r="A140" s="94">
        <v>45509</v>
      </c>
      <c r="B140" s="79" t="s">
        <v>141</v>
      </c>
      <c r="C140" s="110">
        <v>1</v>
      </c>
      <c r="D140" s="80">
        <v>16200</v>
      </c>
      <c r="E140" s="112">
        <f>D140*C140</f>
        <v>16200</v>
      </c>
      <c r="F140" s="87">
        <f>F139*4</f>
        <v>29756</v>
      </c>
      <c r="G140" s="14">
        <f>C140*F140</f>
        <v>29756</v>
      </c>
      <c r="H140" s="407">
        <f>SUM(G138:G140)</f>
        <v>153080</v>
      </c>
      <c r="I140" s="87">
        <f t="shared" si="8"/>
        <v>13556</v>
      </c>
    </row>
    <row r="141" spans="1:9" ht="13.5" thickBot="1">
      <c r="B141" s="87"/>
      <c r="C141" s="12"/>
      <c r="D141" s="12"/>
      <c r="E141" s="87">
        <f>SUM(E138:E140)</f>
        <v>84300</v>
      </c>
      <c r="F141" s="87"/>
      <c r="G141" s="87"/>
      <c r="H141" s="113">
        <f>(SUM(G138:G140))-(SUM(E138:E140))</f>
        <v>68780</v>
      </c>
      <c r="I141" s="87"/>
    </row>
    <row r="142" spans="1:9">
      <c r="B142" s="87" t="s">
        <v>142</v>
      </c>
      <c r="C142" s="116">
        <v>33.250599999999999</v>
      </c>
      <c r="D142" s="12"/>
      <c r="E142" s="87"/>
      <c r="F142" s="87"/>
      <c r="G142" s="14"/>
      <c r="H142" s="87"/>
      <c r="I142" s="87"/>
    </row>
    <row r="143" spans="1:9">
      <c r="B143" s="87" t="s">
        <v>143</v>
      </c>
      <c r="C143" s="116">
        <v>36.854999999999997</v>
      </c>
      <c r="D143" s="12"/>
      <c r="E143" s="87"/>
      <c r="F143" s="87"/>
      <c r="G143" s="14"/>
      <c r="H143" s="87"/>
      <c r="I143" s="87"/>
    </row>
    <row r="144" spans="1:9">
      <c r="B144" s="87" t="s">
        <v>144</v>
      </c>
      <c r="C144" s="12"/>
      <c r="D144" s="12"/>
      <c r="E144" s="87"/>
      <c r="F144" s="87"/>
      <c r="G144" s="14">
        <v>0</v>
      </c>
      <c r="H144" s="87"/>
      <c r="I144" s="87"/>
    </row>
    <row r="145" spans="1:12" ht="13.5" thickBot="1">
      <c r="B145" s="87" t="s">
        <v>145</v>
      </c>
      <c r="C145" s="12"/>
      <c r="D145" s="12"/>
      <c r="E145" s="87"/>
      <c r="F145" s="87"/>
      <c r="G145" s="14">
        <v>1000</v>
      </c>
      <c r="H145" s="87"/>
      <c r="I145" s="87"/>
    </row>
    <row r="146" spans="1:12" ht="13.5" thickBot="1">
      <c r="B146" s="87"/>
      <c r="C146" s="87"/>
      <c r="D146" s="87"/>
      <c r="E146" s="117"/>
      <c r="F146" s="118"/>
      <c r="G146" s="119" t="s">
        <v>146</v>
      </c>
      <c r="H146" s="417">
        <f>H141+H136+H130</f>
        <v>121448.16499999999</v>
      </c>
      <c r="I146" s="87"/>
    </row>
    <row r="147" spans="1:12" ht="13.5" thickBot="1">
      <c r="B147" s="87"/>
      <c r="C147" s="120"/>
      <c r="D147" s="89"/>
      <c r="E147" s="87"/>
      <c r="F147" s="87"/>
      <c r="G147" s="120"/>
      <c r="H147" s="87"/>
      <c r="I147" s="87"/>
    </row>
    <row r="148" spans="1:12" ht="13.5" thickBot="1">
      <c r="B148" s="87"/>
      <c r="C148" s="120"/>
      <c r="D148" s="15" t="s">
        <v>147</v>
      </c>
      <c r="E148" s="87"/>
      <c r="F148" s="87"/>
      <c r="G148" s="470">
        <f>SUM(G119:G145)</f>
        <v>477298.03</v>
      </c>
      <c r="H148" s="87"/>
      <c r="I148" s="87"/>
    </row>
    <row r="149" spans="1:12">
      <c r="B149" s="87"/>
      <c r="C149" s="122" t="str">
        <f>A115</f>
        <v>AĞSTOS  2025 e</v>
      </c>
      <c r="D149" s="122" t="s">
        <v>148</v>
      </c>
      <c r="E149" s="87"/>
      <c r="F149" s="87"/>
      <c r="G149" s="123"/>
      <c r="H149" s="87"/>
      <c r="I149" s="87"/>
    </row>
    <row r="150" spans="1:12">
      <c r="B150" s="11"/>
      <c r="C150" s="426"/>
      <c r="D150" s="427"/>
      <c r="E150" s="393"/>
      <c r="F150" s="393"/>
      <c r="G150" s="397"/>
      <c r="H150" s="87"/>
      <c r="I150" s="87"/>
    </row>
    <row r="151" spans="1:12">
      <c r="A151" s="418"/>
      <c r="B151" s="87" t="s">
        <v>1676</v>
      </c>
      <c r="C151" s="87"/>
      <c r="D151" s="87"/>
      <c r="E151" s="87"/>
      <c r="F151" s="87"/>
      <c r="G151" s="87"/>
      <c r="H151" s="87"/>
      <c r="I151" s="11"/>
    </row>
    <row r="152" spans="1:12">
      <c r="A152" s="94">
        <v>45620</v>
      </c>
      <c r="B152" s="79" t="s">
        <v>1595</v>
      </c>
      <c r="C152" s="110">
        <v>1000</v>
      </c>
      <c r="D152" s="110">
        <v>32.549999999999997</v>
      </c>
      <c r="E152" s="112">
        <f t="shared" ref="E152:E153" si="9">D152*C152</f>
        <v>32549.999999999996</v>
      </c>
      <c r="F152" s="87">
        <v>46.820999999999998</v>
      </c>
      <c r="G152" s="14">
        <f>F152*C152</f>
        <v>46821</v>
      </c>
      <c r="H152" s="87">
        <f>G152-E152</f>
        <v>14271.000000000004</v>
      </c>
      <c r="L152" s="75">
        <v>70232.2</v>
      </c>
    </row>
    <row r="153" spans="1:12">
      <c r="A153" s="94">
        <v>45659</v>
      </c>
      <c r="B153" s="79" t="s">
        <v>1594</v>
      </c>
      <c r="C153" s="110">
        <v>500</v>
      </c>
      <c r="D153" s="111">
        <v>30.86</v>
      </c>
      <c r="E153" s="112">
        <f t="shared" si="9"/>
        <v>15430</v>
      </c>
      <c r="F153" s="87">
        <f>F152</f>
        <v>46.820999999999998</v>
      </c>
      <c r="G153" s="14">
        <f t="shared" ref="G153" si="10">F153*C153</f>
        <v>23410.5</v>
      </c>
      <c r="H153" s="87">
        <f>G153-E153</f>
        <v>7980.5</v>
      </c>
      <c r="L153" s="75">
        <v>1500</v>
      </c>
    </row>
    <row r="154" spans="1:12">
      <c r="B154" s="79" t="s">
        <v>1885</v>
      </c>
      <c r="C154" s="110"/>
      <c r="D154" s="111"/>
      <c r="E154" s="112"/>
      <c r="F154" s="111"/>
      <c r="G154" s="14">
        <v>-157.5</v>
      </c>
      <c r="H154" s="87"/>
      <c r="I154" s="11"/>
      <c r="L154" s="75">
        <f>L152/L153</f>
        <v>46.821466666666666</v>
      </c>
    </row>
    <row r="155" spans="1:12">
      <c r="B155" s="79">
        <v>70074.7</v>
      </c>
      <c r="C155" s="110"/>
      <c r="D155" s="111"/>
      <c r="E155" s="112"/>
      <c r="F155" s="392"/>
      <c r="G155" s="14"/>
      <c r="H155" s="87"/>
      <c r="I155" s="431"/>
    </row>
    <row r="156" spans="1:12">
      <c r="A156" s="445"/>
      <c r="B156" s="79"/>
      <c r="C156" s="110"/>
      <c r="D156" s="111"/>
      <c r="E156" s="112"/>
      <c r="F156" s="87"/>
      <c r="G156" s="14"/>
      <c r="H156" s="87"/>
      <c r="I156" s="87"/>
    </row>
    <row r="157" spans="1:12" ht="13.5" thickBot="1">
      <c r="A157" s="445"/>
      <c r="B157" s="79"/>
      <c r="C157" s="395"/>
      <c r="D157" s="393"/>
      <c r="E157" s="393"/>
      <c r="F157" s="393"/>
      <c r="G157" s="393"/>
      <c r="H157" s="395"/>
      <c r="I157" s="11"/>
    </row>
    <row r="158" spans="1:12">
      <c r="A158" s="557"/>
      <c r="B158" s="416"/>
      <c r="C158" s="416"/>
      <c r="D158" s="405"/>
      <c r="E158" s="405"/>
      <c r="F158" s="405"/>
      <c r="G158" s="405">
        <f>SUM(G152:G157)</f>
        <v>70074</v>
      </c>
      <c r="H158" s="468">
        <f>SUM(H152:H157)</f>
        <v>22251.500000000004</v>
      </c>
      <c r="I158" s="11"/>
    </row>
    <row r="159" spans="1:12">
      <c r="B159" s="11"/>
      <c r="C159" s="11"/>
      <c r="D159" s="87"/>
      <c r="E159" s="87"/>
      <c r="F159" s="87" t="s">
        <v>878</v>
      </c>
      <c r="G159" s="87"/>
      <c r="H159" s="87">
        <f>H158+'06_25'!H132</f>
        <v>110771.47195300006</v>
      </c>
      <c r="I159" s="11"/>
    </row>
    <row r="160" spans="1:12">
      <c r="B160" s="11"/>
      <c r="C160" s="11"/>
      <c r="D160" s="87"/>
      <c r="E160" s="87"/>
      <c r="F160" s="87"/>
      <c r="G160" s="87"/>
      <c r="H160" s="87"/>
      <c r="I160" s="11"/>
    </row>
    <row r="161" spans="1:10" ht="18">
      <c r="A161" s="476" t="s">
        <v>1733</v>
      </c>
      <c r="B161" s="11"/>
      <c r="C161" s="11"/>
      <c r="D161" s="87"/>
      <c r="E161" s="87"/>
      <c r="F161" s="87"/>
      <c r="G161" s="87"/>
      <c r="H161" s="87"/>
      <c r="I161" s="11"/>
    </row>
    <row r="162" spans="1:10" ht="15.75">
      <c r="B162" s="464">
        <f>1-76.4616%</f>
        <v>0.23538399999999993</v>
      </c>
      <c r="C162" s="465">
        <v>0.76461599999999996</v>
      </c>
      <c r="D162" s="392"/>
      <c r="E162" s="87"/>
      <c r="F162" s="87"/>
      <c r="G162" s="87"/>
      <c r="H162" s="87"/>
      <c r="I162" s="11"/>
    </row>
    <row r="163" spans="1:10" ht="15.75">
      <c r="B163" s="464" t="s">
        <v>1861</v>
      </c>
      <c r="C163" s="465"/>
      <c r="D163" s="392"/>
      <c r="E163" s="87"/>
      <c r="F163" s="87"/>
      <c r="G163" s="87"/>
      <c r="H163" s="87"/>
      <c r="I163" s="11"/>
    </row>
    <row r="164" spans="1:10" ht="15.75">
      <c r="B164" s="464" t="s">
        <v>1734</v>
      </c>
      <c r="C164" s="465"/>
      <c r="D164" s="392"/>
      <c r="E164" s="87"/>
      <c r="F164" s="87"/>
      <c r="G164" s="87"/>
      <c r="H164" s="87"/>
      <c r="I164" s="11"/>
    </row>
    <row r="165" spans="1:10" ht="15.75">
      <c r="B165" s="464" t="s">
        <v>1737</v>
      </c>
      <c r="C165" s="465"/>
      <c r="D165" s="392"/>
      <c r="E165" s="87"/>
      <c r="F165" s="87"/>
      <c r="G165" s="87"/>
      <c r="H165" s="87"/>
      <c r="I165" s="11"/>
    </row>
    <row r="166" spans="1:10" ht="15.75">
      <c r="B166" s="464" t="s">
        <v>1736</v>
      </c>
      <c r="C166" s="465"/>
      <c r="D166" s="392"/>
      <c r="E166" s="87"/>
      <c r="F166" s="87"/>
      <c r="G166" s="87"/>
      <c r="H166" s="87"/>
      <c r="I166" s="11"/>
    </row>
    <row r="167" spans="1:10" ht="16.5" thickBot="1">
      <c r="B167" s="464"/>
      <c r="C167" s="11" t="s">
        <v>1739</v>
      </c>
      <c r="D167" s="11" t="s">
        <v>1738</v>
      </c>
      <c r="E167" s="87" t="s">
        <v>1730</v>
      </c>
      <c r="F167" s="473">
        <v>138749.76000000001</v>
      </c>
      <c r="G167" s="11" t="s">
        <v>1731</v>
      </c>
      <c r="H167" s="87" t="s">
        <v>3</v>
      </c>
      <c r="I167" s="11"/>
    </row>
    <row r="168" spans="1:10" ht="13.5" thickBot="1">
      <c r="B168" s="79" t="s">
        <v>1859</v>
      </c>
      <c r="C168" s="114">
        <v>160</v>
      </c>
      <c r="D168" s="373">
        <f>C168</f>
        <v>160</v>
      </c>
      <c r="E168" s="80">
        <v>872.26</v>
      </c>
      <c r="F168" s="474">
        <f>E168*D168</f>
        <v>139561.60000000001</v>
      </c>
      <c r="G168" s="469">
        <v>962.89330700000005</v>
      </c>
      <c r="H168" s="540">
        <f>G168*C168</f>
        <v>154062.92912000002</v>
      </c>
      <c r="I168" s="528">
        <f>H168</f>
        <v>154062.92912000002</v>
      </c>
    </row>
    <row r="169" spans="1:10" ht="13.5" thickBot="1">
      <c r="B169" s="79" t="s">
        <v>1858</v>
      </c>
      <c r="C169" s="114">
        <v>78</v>
      </c>
      <c r="D169" s="373">
        <f>D168+C169</f>
        <v>238</v>
      </c>
      <c r="E169" s="80">
        <v>872.26</v>
      </c>
      <c r="F169" s="474">
        <f t="shared" ref="F169:F193" si="11">E169*D169</f>
        <v>207597.88</v>
      </c>
      <c r="G169" s="391">
        <f>G170</f>
        <v>962.89330700000005</v>
      </c>
      <c r="H169" s="540">
        <f>G169*C169</f>
        <v>75105.677946000011</v>
      </c>
      <c r="I169" s="528">
        <f>I168+H169</f>
        <v>229168.60706600003</v>
      </c>
    </row>
    <row r="170" spans="1:10" ht="13.5" thickBot="1">
      <c r="A170" s="558">
        <v>45755</v>
      </c>
      <c r="B170" s="475" t="s">
        <v>1826</v>
      </c>
      <c r="C170" s="114">
        <v>-21</v>
      </c>
      <c r="D170" s="373">
        <f>D169+C170</f>
        <v>217</v>
      </c>
      <c r="E170" s="80">
        <v>872.26</v>
      </c>
      <c r="F170" s="474">
        <f t="shared" si="11"/>
        <v>189280.41999999998</v>
      </c>
      <c r="G170" s="391">
        <f>G168</f>
        <v>962.89330700000005</v>
      </c>
      <c r="H170" s="541">
        <f>G170*C170</f>
        <v>-20220.759447</v>
      </c>
      <c r="I170" s="528">
        <f>I169+H170</f>
        <v>208947.84761900004</v>
      </c>
    </row>
    <row r="171" spans="1:10" ht="13.5" thickBot="1">
      <c r="A171" s="559"/>
      <c r="B171" s="79" t="s">
        <v>1732</v>
      </c>
      <c r="C171" s="538"/>
      <c r="D171" s="373">
        <f t="shared" ref="D171:D193" si="12">D170+C171</f>
        <v>217</v>
      </c>
      <c r="E171" s="80">
        <v>872.26</v>
      </c>
      <c r="F171" s="474">
        <f t="shared" si="11"/>
        <v>189280.41999999998</v>
      </c>
      <c r="G171" s="391">
        <f>G169</f>
        <v>962.89330700000005</v>
      </c>
      <c r="H171" s="373">
        <v>-300.32</v>
      </c>
      <c r="I171" s="528">
        <f>I170+H171</f>
        <v>208647.52761900003</v>
      </c>
    </row>
    <row r="172" spans="1:10" ht="13.5" thickBot="1">
      <c r="A172" s="558">
        <v>45786</v>
      </c>
      <c r="B172" s="475" t="s">
        <v>1827</v>
      </c>
      <c r="C172" s="539">
        <v>-20</v>
      </c>
      <c r="D172" s="373">
        <f t="shared" si="12"/>
        <v>197</v>
      </c>
      <c r="E172" s="80">
        <v>872.26</v>
      </c>
      <c r="F172" s="474">
        <f t="shared" si="11"/>
        <v>171835.22</v>
      </c>
      <c r="G172" s="391">
        <v>1000.86</v>
      </c>
      <c r="H172" s="541">
        <f>G172*C172</f>
        <v>-20017.2</v>
      </c>
      <c r="I172" s="528">
        <f>I171+H172</f>
        <v>188630.32761900002</v>
      </c>
    </row>
    <row r="173" spans="1:10" ht="13.5" thickBot="1">
      <c r="A173" s="558"/>
      <c r="B173" s="475"/>
      <c r="C173" s="539"/>
      <c r="D173" s="373">
        <f t="shared" si="12"/>
        <v>197</v>
      </c>
      <c r="E173" s="80">
        <v>872.26</v>
      </c>
      <c r="F173" s="474">
        <f t="shared" si="11"/>
        <v>171835.22</v>
      </c>
      <c r="G173" s="391">
        <v>1000.86</v>
      </c>
      <c r="H173" s="541">
        <v>-257.18</v>
      </c>
      <c r="I173" s="528">
        <f t="shared" ref="I173:I193" si="13">I172+H173</f>
        <v>188373.14761900002</v>
      </c>
    </row>
    <row r="174" spans="1:10" ht="13.5" thickBot="1">
      <c r="A174" s="559">
        <v>45818</v>
      </c>
      <c r="B174" s="475" t="s">
        <v>1828</v>
      </c>
      <c r="C174" s="538">
        <v>-20</v>
      </c>
      <c r="D174" s="373">
        <f t="shared" si="12"/>
        <v>177</v>
      </c>
      <c r="E174" s="80">
        <v>872.26</v>
      </c>
      <c r="F174" s="474">
        <f t="shared" si="11"/>
        <v>154390.01999999999</v>
      </c>
      <c r="G174" s="391">
        <v>1043.4576589999999</v>
      </c>
      <c r="H174" s="541">
        <f>G174*C174</f>
        <v>-20869.153179999998</v>
      </c>
      <c r="I174" s="528">
        <f t="shared" si="13"/>
        <v>167503.99443900003</v>
      </c>
    </row>
    <row r="175" spans="1:10" ht="13.5" thickBot="1">
      <c r="A175" s="559"/>
      <c r="B175" s="79"/>
      <c r="C175" s="538"/>
      <c r="D175" s="373">
        <f t="shared" si="12"/>
        <v>177</v>
      </c>
      <c r="E175" s="80">
        <v>872.26</v>
      </c>
      <c r="F175" s="474">
        <f t="shared" si="11"/>
        <v>154390.01999999999</v>
      </c>
      <c r="G175" s="391">
        <v>1043.4576589999999</v>
      </c>
      <c r="H175" s="373">
        <v>-342.39</v>
      </c>
      <c r="I175" s="528">
        <f t="shared" si="13"/>
        <v>167161.60443900002</v>
      </c>
    </row>
    <row r="176" spans="1:10" ht="13.5" thickBot="1">
      <c r="A176" s="559">
        <v>45846</v>
      </c>
      <c r="B176" s="475" t="s">
        <v>1829</v>
      </c>
      <c r="C176" s="538">
        <v>-19</v>
      </c>
      <c r="D176" s="373">
        <f t="shared" si="12"/>
        <v>158</v>
      </c>
      <c r="E176" s="543">
        <v>872.26</v>
      </c>
      <c r="F176" s="474">
        <f t="shared" si="11"/>
        <v>137817.07999999999</v>
      </c>
      <c r="G176" s="391">
        <v>1080.914657</v>
      </c>
      <c r="H176" s="541">
        <f>G176*C176</f>
        <v>-20537.378483</v>
      </c>
      <c r="I176" s="528">
        <f t="shared" si="13"/>
        <v>146624.22595600001</v>
      </c>
      <c r="J176" s="412">
        <v>0.16400000000000001</v>
      </c>
    </row>
    <row r="177" spans="1:9" ht="13.5" thickBot="1">
      <c r="A177" s="559"/>
      <c r="B177" s="79"/>
      <c r="C177" s="538"/>
      <c r="D177" s="373">
        <f t="shared" si="12"/>
        <v>158</v>
      </c>
      <c r="E177" s="543">
        <v>872.26</v>
      </c>
      <c r="F177" s="474">
        <f t="shared" si="11"/>
        <v>137817.07999999999</v>
      </c>
      <c r="G177" s="391">
        <v>1080</v>
      </c>
      <c r="H177" s="373">
        <v>-396.44</v>
      </c>
      <c r="I177" s="528">
        <f t="shared" si="13"/>
        <v>146227.78595600001</v>
      </c>
    </row>
    <row r="178" spans="1:9" ht="13.5" thickBot="1">
      <c r="A178" s="559">
        <v>45855</v>
      </c>
      <c r="B178" s="475" t="s">
        <v>1893</v>
      </c>
      <c r="C178" s="538">
        <v>-30</v>
      </c>
      <c r="D178" s="373">
        <f t="shared" si="12"/>
        <v>128</v>
      </c>
      <c r="E178" s="543">
        <v>872.26</v>
      </c>
      <c r="F178" s="474">
        <f t="shared" si="11"/>
        <v>111649.28</v>
      </c>
      <c r="G178" s="391">
        <v>1093.412452</v>
      </c>
      <c r="H178" s="541">
        <f>G178*C178</f>
        <v>-32802.37356</v>
      </c>
      <c r="I178" s="528">
        <f t="shared" si="13"/>
        <v>113425.412396</v>
      </c>
    </row>
    <row r="179" spans="1:9" ht="13.5" thickBot="1">
      <c r="A179" s="559">
        <v>45867</v>
      </c>
      <c r="B179" s="79"/>
      <c r="C179" s="538"/>
      <c r="D179" s="373">
        <f t="shared" si="12"/>
        <v>128</v>
      </c>
      <c r="E179" s="543">
        <v>872.26</v>
      </c>
      <c r="F179" s="474">
        <f t="shared" si="11"/>
        <v>111649.28</v>
      </c>
      <c r="G179" s="391">
        <v>1109.5565340000001</v>
      </c>
      <c r="H179" s="373">
        <v>-663.45</v>
      </c>
      <c r="I179" s="12">
        <f t="shared" si="13"/>
        <v>112761.962396</v>
      </c>
    </row>
    <row r="180" spans="1:9" ht="13.5" thickBot="1">
      <c r="B180" s="544" t="s">
        <v>1831</v>
      </c>
      <c r="C180" s="377">
        <v>-20</v>
      </c>
      <c r="D180" s="87">
        <f t="shared" si="12"/>
        <v>108</v>
      </c>
      <c r="E180" s="393">
        <v>872.26</v>
      </c>
      <c r="F180" s="397">
        <f t="shared" si="11"/>
        <v>94204.08</v>
      </c>
      <c r="G180" s="425">
        <v>1160</v>
      </c>
      <c r="H180" s="136">
        <f>G180*C180</f>
        <v>-23200</v>
      </c>
      <c r="I180" s="12">
        <f t="shared" si="13"/>
        <v>89561.962396000003</v>
      </c>
    </row>
    <row r="181" spans="1:9" ht="13.5" thickBot="1">
      <c r="B181" s="395"/>
      <c r="C181" s="377"/>
      <c r="D181" s="87">
        <f t="shared" si="12"/>
        <v>108</v>
      </c>
      <c r="E181" s="393">
        <v>872.26</v>
      </c>
      <c r="F181" s="397">
        <f t="shared" si="11"/>
        <v>94204.08</v>
      </c>
      <c r="G181" s="425">
        <v>1160</v>
      </c>
      <c r="H181" s="87"/>
      <c r="I181" s="12">
        <f t="shared" si="13"/>
        <v>89561.962396000003</v>
      </c>
    </row>
    <row r="182" spans="1:9" ht="13.5" thickBot="1">
      <c r="B182" s="544" t="s">
        <v>1832</v>
      </c>
      <c r="C182" s="377">
        <v>-17</v>
      </c>
      <c r="D182" s="87">
        <f t="shared" si="12"/>
        <v>91</v>
      </c>
      <c r="E182" s="393">
        <v>872.26</v>
      </c>
      <c r="F182" s="397">
        <f t="shared" si="11"/>
        <v>79375.66</v>
      </c>
      <c r="G182" s="425">
        <v>1200</v>
      </c>
      <c r="H182" s="136">
        <f>G182*C182</f>
        <v>-20400</v>
      </c>
      <c r="I182" s="12">
        <f t="shared" si="13"/>
        <v>69161.962396000003</v>
      </c>
    </row>
    <row r="183" spans="1:9" ht="13.5" thickBot="1">
      <c r="B183" s="395"/>
      <c r="C183" s="377"/>
      <c r="D183" s="87">
        <f t="shared" si="12"/>
        <v>91</v>
      </c>
      <c r="E183" s="393">
        <v>872.26</v>
      </c>
      <c r="F183" s="397">
        <f t="shared" si="11"/>
        <v>79375.66</v>
      </c>
      <c r="G183" s="425">
        <v>1200</v>
      </c>
      <c r="H183" s="87"/>
      <c r="I183" s="12">
        <f t="shared" si="13"/>
        <v>69161.962396000003</v>
      </c>
    </row>
    <row r="184" spans="1:9" ht="13.5" thickBot="1">
      <c r="B184" s="544" t="s">
        <v>1833</v>
      </c>
      <c r="C184" s="377">
        <v>-20</v>
      </c>
      <c r="D184" s="87">
        <f t="shared" si="12"/>
        <v>71</v>
      </c>
      <c r="E184" s="393">
        <v>872.26</v>
      </c>
      <c r="F184" s="397">
        <f t="shared" si="11"/>
        <v>61930.46</v>
      </c>
      <c r="G184" s="425">
        <v>1240</v>
      </c>
      <c r="H184" s="136">
        <f>G184*C184</f>
        <v>-24800</v>
      </c>
      <c r="I184" s="12">
        <f t="shared" si="13"/>
        <v>44361.962396000003</v>
      </c>
    </row>
    <row r="185" spans="1:9" ht="13.5" thickBot="1">
      <c r="B185" s="395"/>
      <c r="C185" s="377"/>
      <c r="D185" s="87">
        <f t="shared" si="12"/>
        <v>71</v>
      </c>
      <c r="E185" s="393">
        <v>872.26</v>
      </c>
      <c r="F185" s="397">
        <f t="shared" si="11"/>
        <v>61930.46</v>
      </c>
      <c r="G185" s="425">
        <v>1240</v>
      </c>
      <c r="H185" s="87"/>
      <c r="I185" s="12">
        <f t="shared" si="13"/>
        <v>44361.962396000003</v>
      </c>
    </row>
    <row r="186" spans="1:9" ht="13.5" thickBot="1">
      <c r="B186" s="544" t="s">
        <v>1834</v>
      </c>
      <c r="C186" s="377">
        <v>-20</v>
      </c>
      <c r="D186" s="87">
        <f t="shared" si="12"/>
        <v>51</v>
      </c>
      <c r="E186" s="393">
        <v>872.26</v>
      </c>
      <c r="F186" s="397">
        <f t="shared" si="11"/>
        <v>44485.26</v>
      </c>
      <c r="G186" s="425">
        <v>1280</v>
      </c>
      <c r="H186" s="136">
        <f>G186*C186</f>
        <v>-25600</v>
      </c>
      <c r="I186" s="12">
        <f t="shared" si="13"/>
        <v>18761.962396000003</v>
      </c>
    </row>
    <row r="187" spans="1:9" ht="13.5" thickBot="1">
      <c r="B187" s="395"/>
      <c r="C187" s="377"/>
      <c r="D187" s="87">
        <f t="shared" si="12"/>
        <v>51</v>
      </c>
      <c r="E187" s="393">
        <v>872.26</v>
      </c>
      <c r="F187" s="397">
        <f t="shared" si="11"/>
        <v>44485.26</v>
      </c>
      <c r="G187" s="425">
        <v>1280</v>
      </c>
      <c r="H187" s="87"/>
      <c r="I187" s="12">
        <f t="shared" si="13"/>
        <v>18761.962396000003</v>
      </c>
    </row>
    <row r="188" spans="1:9" ht="13.5" thickBot="1">
      <c r="B188" s="544" t="s">
        <v>1835</v>
      </c>
      <c r="C188" s="377">
        <v>-20</v>
      </c>
      <c r="D188" s="87">
        <f t="shared" si="12"/>
        <v>31</v>
      </c>
      <c r="E188" s="393">
        <v>872.26</v>
      </c>
      <c r="F188" s="397">
        <f t="shared" si="11"/>
        <v>27040.06</v>
      </c>
      <c r="G188" s="425">
        <v>1300</v>
      </c>
      <c r="H188" s="136">
        <f>G188*C188</f>
        <v>-26000</v>
      </c>
      <c r="I188" s="12">
        <f t="shared" si="13"/>
        <v>-7238.0376039999974</v>
      </c>
    </row>
    <row r="189" spans="1:9" ht="13.5" thickBot="1">
      <c r="B189" s="395"/>
      <c r="C189" s="377"/>
      <c r="D189" s="87">
        <f t="shared" si="12"/>
        <v>31</v>
      </c>
      <c r="E189" s="393">
        <v>872.26</v>
      </c>
      <c r="F189" s="397">
        <f t="shared" si="11"/>
        <v>27040.06</v>
      </c>
      <c r="G189" s="425">
        <v>1300</v>
      </c>
      <c r="H189" s="87"/>
      <c r="I189" s="12">
        <f t="shared" si="13"/>
        <v>-7238.0376039999974</v>
      </c>
    </row>
    <row r="190" spans="1:9" ht="13.5" thickBot="1">
      <c r="B190" s="544" t="s">
        <v>1836</v>
      </c>
      <c r="C190" s="377">
        <v>-20</v>
      </c>
      <c r="D190" s="87">
        <f t="shared" si="12"/>
        <v>11</v>
      </c>
      <c r="E190" s="393">
        <v>872.26</v>
      </c>
      <c r="F190" s="397">
        <f t="shared" si="11"/>
        <v>9594.86</v>
      </c>
      <c r="G190" s="425">
        <v>1330</v>
      </c>
      <c r="H190" s="136">
        <f>G190*C190</f>
        <v>-26600</v>
      </c>
      <c r="I190" s="12">
        <f t="shared" si="13"/>
        <v>-33838.037603999997</v>
      </c>
    </row>
    <row r="191" spans="1:9" ht="13.5" thickBot="1">
      <c r="B191" s="395"/>
      <c r="C191" s="377"/>
      <c r="D191" s="87">
        <f t="shared" si="12"/>
        <v>11</v>
      </c>
      <c r="E191" s="393">
        <v>872.26</v>
      </c>
      <c r="F191" s="397">
        <f t="shared" si="11"/>
        <v>9594.86</v>
      </c>
      <c r="G191" s="425">
        <v>1330</v>
      </c>
      <c r="H191" s="87"/>
      <c r="I191" s="12">
        <f t="shared" si="13"/>
        <v>-33838.037603999997</v>
      </c>
    </row>
    <row r="192" spans="1:9" ht="13.5" thickBot="1">
      <c r="B192" s="544" t="s">
        <v>1837</v>
      </c>
      <c r="C192" s="377">
        <v>-11</v>
      </c>
      <c r="D192" s="87">
        <f t="shared" si="12"/>
        <v>0</v>
      </c>
      <c r="E192" s="393">
        <v>872.26</v>
      </c>
      <c r="F192" s="397">
        <f t="shared" si="11"/>
        <v>0</v>
      </c>
      <c r="G192" s="425">
        <v>1360</v>
      </c>
      <c r="H192" s="136">
        <f>G192*C192</f>
        <v>-14960</v>
      </c>
      <c r="I192" s="12">
        <f t="shared" si="13"/>
        <v>-48798.037603999997</v>
      </c>
    </row>
    <row r="193" spans="1:9">
      <c r="B193" s="395"/>
      <c r="C193" s="377"/>
      <c r="D193" s="87">
        <f t="shared" si="12"/>
        <v>0</v>
      </c>
      <c r="E193" s="393">
        <v>872.26</v>
      </c>
      <c r="F193" s="397">
        <f t="shared" si="11"/>
        <v>0</v>
      </c>
      <c r="G193" s="425">
        <v>1360</v>
      </c>
      <c r="H193" s="87"/>
      <c r="I193" s="12">
        <f t="shared" si="13"/>
        <v>-48798.037603999997</v>
      </c>
    </row>
    <row r="194" spans="1:9">
      <c r="B194" s="395"/>
      <c r="C194" s="377"/>
      <c r="D194" s="87"/>
      <c r="E194" s="393"/>
      <c r="F194" s="397"/>
      <c r="G194" s="425"/>
      <c r="H194" s="87"/>
      <c r="I194" s="12"/>
    </row>
    <row r="195" spans="1:9">
      <c r="A195" s="560"/>
      <c r="B195" s="454"/>
      <c r="C195" s="524"/>
      <c r="D195" s="525"/>
      <c r="E195" s="393"/>
      <c r="F195" s="397"/>
      <c r="G195" s="525"/>
      <c r="H195" s="526">
        <f>SUM(H170:H194)</f>
        <v>-277966.64467000001</v>
      </c>
      <c r="I195" s="428"/>
    </row>
    <row r="196" spans="1:9">
      <c r="A196" s="561"/>
      <c r="B196" s="395"/>
      <c r="C196" s="396"/>
      <c r="D196" s="393"/>
      <c r="E196" s="393"/>
      <c r="F196" s="393"/>
      <c r="G196" s="393"/>
      <c r="H196" s="397"/>
      <c r="I196" s="87"/>
    </row>
    <row r="197" spans="1:9">
      <c r="B197" s="87" t="s">
        <v>1860</v>
      </c>
      <c r="C197" s="426"/>
      <c r="D197" s="427"/>
      <c r="E197" s="393"/>
      <c r="F197" s="393"/>
      <c r="G197" s="397"/>
      <c r="H197" s="87"/>
      <c r="I197" s="87"/>
    </row>
    <row r="198" spans="1:9">
      <c r="B198" s="11"/>
      <c r="C198" s="11"/>
      <c r="D198" s="87"/>
      <c r="E198" s="87"/>
      <c r="F198" s="87"/>
      <c r="G198" s="87"/>
      <c r="H198" s="87"/>
      <c r="I198" s="11"/>
    </row>
    <row r="199" spans="1:9">
      <c r="B199" s="11"/>
      <c r="C199" s="11"/>
      <c r="D199" s="87"/>
      <c r="E199" s="87"/>
      <c r="F199" s="87"/>
      <c r="G199" s="87"/>
      <c r="H199" s="87"/>
      <c r="I199" s="11"/>
    </row>
    <row r="200" spans="1:9">
      <c r="B200" s="11"/>
      <c r="C200" s="11"/>
      <c r="D200" s="87"/>
      <c r="E200" s="87"/>
      <c r="F200" s="87"/>
      <c r="G200" s="87"/>
      <c r="H200" s="87"/>
      <c r="I200" s="11"/>
    </row>
  </sheetData>
  <conditionalFormatting sqref="F138:F140">
    <cfRule type="cellIs" dxfId="82" priority="11" operator="lessThan">
      <formula>D138</formula>
    </cfRule>
  </conditionalFormatting>
  <conditionalFormatting sqref="F133:F135">
    <cfRule type="cellIs" dxfId="81" priority="12" operator="lessThan">
      <formula>D133</formula>
    </cfRule>
  </conditionalFormatting>
  <conditionalFormatting sqref="F126">
    <cfRule type="cellIs" dxfId="80" priority="14" operator="lessThan">
      <formula>D126</formula>
    </cfRule>
  </conditionalFormatting>
  <conditionalFormatting sqref="F125">
    <cfRule type="cellIs" dxfId="79" priority="8" operator="lessThan">
      <formula>D125</formula>
    </cfRule>
  </conditionalFormatting>
  <conditionalFormatting sqref="F155">
    <cfRule type="cellIs" dxfId="78" priority="9" operator="lessThan">
      <formula>D155</formula>
    </cfRule>
  </conditionalFormatting>
  <conditionalFormatting sqref="F129">
    <cfRule type="cellIs" dxfId="77" priority="5" operator="lessThan">
      <formula>D129</formula>
    </cfRule>
  </conditionalFormatting>
  <conditionalFormatting sqref="F132">
    <cfRule type="cellIs" dxfId="76" priority="6" operator="lessThan">
      <formula>D132</formula>
    </cfRule>
  </conditionalFormatting>
  <conditionalFormatting sqref="F156">
    <cfRule type="cellIs" dxfId="75" priority="4" operator="lessThan">
      <formula>D156</formula>
    </cfRule>
  </conditionalFormatting>
  <conditionalFormatting sqref="F127:F128">
    <cfRule type="cellIs" dxfId="74" priority="3" operator="lessThan">
      <formula>D127</formula>
    </cfRule>
  </conditionalFormatting>
  <conditionalFormatting sqref="F152">
    <cfRule type="cellIs" dxfId="73" priority="2" operator="lessThan">
      <formula>D152</formula>
    </cfRule>
  </conditionalFormatting>
  <conditionalFormatting sqref="F153">
    <cfRule type="cellIs" dxfId="72" priority="1" operator="lessThan">
      <formula>D153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N182"/>
  <sheetViews>
    <sheetView topLeftCell="A115" zoomScale="175" zoomScaleNormal="175" workbookViewId="0">
      <selection activeCell="F132" sqref="F132:H132"/>
    </sheetView>
  </sheetViews>
  <sheetFormatPr defaultColWidth="12.28515625" defaultRowHeight="12.75"/>
  <cols>
    <col min="2" max="2" width="35.85546875" customWidth="1"/>
    <col min="3" max="3" width="9.42578125" customWidth="1"/>
    <col min="4" max="4" width="14.85546875" style="74" customWidth="1"/>
    <col min="5" max="5" width="12.28515625" style="74"/>
    <col min="6" max="6" width="14" style="74" customWidth="1"/>
    <col min="7" max="7" width="13.42578125" style="74" customWidth="1"/>
    <col min="8" max="8" width="12.28515625" style="74"/>
    <col min="10" max="10" width="10.42578125" bestFit="1" customWidth="1"/>
    <col min="11" max="11" width="7.8554687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3" t="s">
        <v>85</v>
      </c>
      <c r="C2" s="76" t="s">
        <v>59</v>
      </c>
      <c r="D2" s="74">
        <f>SUM(D4:D34)</f>
        <v>15000</v>
      </c>
      <c r="E2" s="74">
        <f>SUM(E4:E34)</f>
        <v>-76228.429999999993</v>
      </c>
      <c r="F2" s="74">
        <f>SUM(F4:F34)</f>
        <v>15054.88</v>
      </c>
      <c r="G2" s="74">
        <f>SUM(G4:G34)</f>
        <v>-109005.52</v>
      </c>
      <c r="H2" s="74">
        <f>F2+G2</f>
        <v>-93950.64</v>
      </c>
    </row>
    <row r="3" spans="1:14">
      <c r="B3" s="15"/>
    </row>
    <row r="4" spans="1:14">
      <c r="B4" s="38"/>
      <c r="H4" s="74">
        <f t="shared" ref="H4:H34" si="0">H3+F4+G4</f>
        <v>0</v>
      </c>
    </row>
    <row r="5" spans="1:14" s="11" customFormat="1">
      <c r="A5" s="413">
        <v>45810</v>
      </c>
      <c r="B5" s="379" t="s">
        <v>72</v>
      </c>
      <c r="C5" s="379"/>
      <c r="D5" s="376"/>
      <c r="E5" s="376">
        <v>-600</v>
      </c>
      <c r="F5" s="84"/>
      <c r="G5" s="84">
        <v>-510</v>
      </c>
      <c r="H5" s="84">
        <f t="shared" si="0"/>
        <v>-510</v>
      </c>
      <c r="K5" s="75"/>
      <c r="L5" s="75"/>
      <c r="M5" s="75"/>
      <c r="N5" s="75"/>
    </row>
    <row r="6" spans="1:14" s="11" customFormat="1">
      <c r="A6" s="413">
        <v>45810</v>
      </c>
      <c r="B6" s="379" t="s">
        <v>73</v>
      </c>
      <c r="C6" s="379"/>
      <c r="D6" s="376"/>
      <c r="E6" s="376">
        <v>-800</v>
      </c>
      <c r="F6" s="84"/>
      <c r="G6" s="84">
        <v>-820</v>
      </c>
      <c r="H6" s="84">
        <f t="shared" si="0"/>
        <v>-1330</v>
      </c>
      <c r="K6" s="75"/>
      <c r="L6" s="75"/>
      <c r="M6" s="75"/>
      <c r="N6" s="75"/>
    </row>
    <row r="7" spans="1:14" s="11" customFormat="1">
      <c r="A7" s="413">
        <v>45810</v>
      </c>
      <c r="B7" s="376" t="s">
        <v>1627</v>
      </c>
      <c r="C7" s="376"/>
      <c r="D7" s="376"/>
      <c r="E7" s="376">
        <v>-212.75</v>
      </c>
      <c r="F7" s="84"/>
      <c r="G7" s="84">
        <v>-212.75</v>
      </c>
      <c r="H7" s="84">
        <f t="shared" si="0"/>
        <v>-1542.75</v>
      </c>
      <c r="K7" s="75"/>
      <c r="L7" s="75"/>
      <c r="M7" s="75"/>
      <c r="N7" s="75"/>
    </row>
    <row r="8" spans="1:14" s="11" customFormat="1">
      <c r="A8" s="77">
        <v>45810</v>
      </c>
      <c r="B8" s="78" t="s">
        <v>61</v>
      </c>
      <c r="C8" s="82"/>
      <c r="D8" s="83"/>
      <c r="E8" s="83">
        <f>E76</f>
        <v>-625</v>
      </c>
      <c r="F8" s="84"/>
      <c r="G8" s="84">
        <f>E8</f>
        <v>-625</v>
      </c>
      <c r="H8" s="84">
        <f t="shared" si="0"/>
        <v>-2167.75</v>
      </c>
      <c r="K8" s="75"/>
      <c r="L8" s="75"/>
      <c r="M8" s="75"/>
      <c r="N8" s="75"/>
    </row>
    <row r="9" spans="1:14">
      <c r="A9" s="81">
        <v>45812</v>
      </c>
      <c r="B9" s="78" t="s">
        <v>60</v>
      </c>
      <c r="C9" s="82"/>
      <c r="D9" s="83"/>
      <c r="E9" s="83">
        <f>E38</f>
        <v>-21573.620000000003</v>
      </c>
      <c r="F9" s="84"/>
      <c r="G9" s="84">
        <f>E9</f>
        <v>-21573.620000000003</v>
      </c>
      <c r="H9" s="84">
        <f t="shared" si="0"/>
        <v>-23741.370000000003</v>
      </c>
    </row>
    <row r="10" spans="1:14">
      <c r="A10" s="522">
        <v>45818</v>
      </c>
      <c r="B10" s="379" t="s">
        <v>1587</v>
      </c>
      <c r="C10" s="379"/>
      <c r="D10" s="376"/>
      <c r="E10" s="376">
        <v>-25000</v>
      </c>
      <c r="F10" s="84"/>
      <c r="G10" s="84">
        <v>-25000</v>
      </c>
      <c r="H10" s="84">
        <f t="shared" si="0"/>
        <v>-48741.37</v>
      </c>
    </row>
    <row r="11" spans="1:14">
      <c r="A11" s="380"/>
      <c r="B11" s="381" t="s">
        <v>64</v>
      </c>
      <c r="C11" s="380"/>
      <c r="D11" s="376"/>
      <c r="E11" s="376">
        <v>0</v>
      </c>
      <c r="F11" s="84"/>
      <c r="G11" s="84"/>
      <c r="H11" s="84">
        <f t="shared" si="0"/>
        <v>-48741.37</v>
      </c>
    </row>
    <row r="12" spans="1:14">
      <c r="A12" s="378">
        <v>45819</v>
      </c>
      <c r="B12" s="379" t="s">
        <v>62</v>
      </c>
      <c r="C12" s="379"/>
      <c r="D12" s="376"/>
      <c r="E12" s="376">
        <v>-2117.06</v>
      </c>
      <c r="G12" s="84">
        <v>-2138.15</v>
      </c>
      <c r="H12" s="84">
        <f t="shared" si="0"/>
        <v>-50879.520000000004</v>
      </c>
    </row>
    <row r="13" spans="1:14">
      <c r="A13" s="522">
        <v>45819</v>
      </c>
      <c r="B13" s="379" t="s">
        <v>67</v>
      </c>
      <c r="C13" s="379"/>
      <c r="D13" s="376"/>
      <c r="E13" s="376">
        <v>-200</v>
      </c>
      <c r="G13" s="84">
        <v>-229</v>
      </c>
      <c r="H13" s="84">
        <f t="shared" si="0"/>
        <v>-51108.520000000004</v>
      </c>
    </row>
    <row r="14" spans="1:14">
      <c r="A14" s="378">
        <v>45828</v>
      </c>
      <c r="B14" s="380" t="s">
        <v>1882</v>
      </c>
      <c r="C14" s="380"/>
      <c r="D14" s="376"/>
      <c r="E14" s="376"/>
      <c r="F14" s="376"/>
      <c r="G14" s="376">
        <v>-950</v>
      </c>
      <c r="H14" s="84">
        <f t="shared" si="0"/>
        <v>-52058.520000000004</v>
      </c>
    </row>
    <row r="15" spans="1:14" s="75" customFormat="1">
      <c r="A15" s="378">
        <v>45828</v>
      </c>
      <c r="B15" s="398" t="s">
        <v>65</v>
      </c>
      <c r="C15" s="398">
        <v>316.06</v>
      </c>
      <c r="D15" s="376" t="s">
        <v>1838</v>
      </c>
      <c r="E15" s="376">
        <v>-1000</v>
      </c>
      <c r="F15" s="84"/>
      <c r="G15" s="84">
        <v>-250</v>
      </c>
      <c r="H15" s="84">
        <f t="shared" si="0"/>
        <v>-52308.520000000004</v>
      </c>
    </row>
    <row r="16" spans="1:14" s="75" customFormat="1">
      <c r="A16" s="378">
        <v>45828</v>
      </c>
      <c r="B16" s="398" t="s">
        <v>66</v>
      </c>
      <c r="C16" s="376"/>
      <c r="D16" s="376"/>
      <c r="E16" s="376">
        <v>-200</v>
      </c>
      <c r="F16" s="84"/>
      <c r="G16" s="84">
        <v>0</v>
      </c>
      <c r="H16" s="84">
        <f t="shared" si="0"/>
        <v>-52308.520000000004</v>
      </c>
    </row>
    <row r="17" spans="1:13" s="75" customFormat="1">
      <c r="A17" s="399">
        <v>45832</v>
      </c>
      <c r="B17" s="402" t="s">
        <v>1881</v>
      </c>
      <c r="C17" s="402"/>
      <c r="D17" s="402"/>
      <c r="E17" s="402"/>
      <c r="F17" s="402"/>
      <c r="G17" s="402">
        <v>-10000</v>
      </c>
      <c r="H17" s="84">
        <f t="shared" si="0"/>
        <v>-62308.520000000004</v>
      </c>
    </row>
    <row r="18" spans="1:13" s="75" customFormat="1">
      <c r="A18" s="378">
        <v>45834</v>
      </c>
      <c r="B18" s="376" t="s">
        <v>1880</v>
      </c>
      <c r="C18" s="376"/>
      <c r="D18" s="376"/>
      <c r="E18" s="376"/>
      <c r="F18" s="376"/>
      <c r="G18" s="376">
        <v>-20000</v>
      </c>
      <c r="H18" s="84">
        <f t="shared" si="0"/>
        <v>-82308.52</v>
      </c>
    </row>
    <row r="19" spans="1:13" s="75" customFormat="1">
      <c r="A19" s="378">
        <v>45834</v>
      </c>
      <c r="B19" s="380" t="s">
        <v>1857</v>
      </c>
      <c r="C19" s="380"/>
      <c r="D19" s="376"/>
      <c r="E19" s="376"/>
      <c r="F19" s="376"/>
      <c r="G19" s="376">
        <v>-3000</v>
      </c>
      <c r="H19" s="84">
        <f t="shared" si="0"/>
        <v>-85308.52</v>
      </c>
    </row>
    <row r="20" spans="1:13" s="75" customFormat="1">
      <c r="A20" s="85"/>
      <c r="H20" s="87">
        <f t="shared" si="0"/>
        <v>-85308.52</v>
      </c>
    </row>
    <row r="21" spans="1:13" s="75" customFormat="1">
      <c r="A21" s="399"/>
      <c r="B21" s="403" t="s">
        <v>68</v>
      </c>
      <c r="C21" s="403"/>
      <c r="D21" s="373">
        <v>15000</v>
      </c>
      <c r="E21" s="373"/>
      <c r="F21" s="373">
        <v>15054.88</v>
      </c>
      <c r="G21" s="74"/>
      <c r="H21" s="87">
        <f t="shared" si="0"/>
        <v>-70253.64</v>
      </c>
      <c r="J21" s="90"/>
      <c r="K21" s="90"/>
      <c r="L21" s="91"/>
      <c r="M21" s="92"/>
    </row>
    <row r="22" spans="1:13" s="75" customFormat="1">
      <c r="A22" s="402"/>
      <c r="B22" s="403" t="s">
        <v>69</v>
      </c>
      <c r="C22" s="403"/>
      <c r="D22" s="373"/>
      <c r="E22" s="373">
        <v>-7500</v>
      </c>
      <c r="F22" s="74"/>
      <c r="G22" s="74">
        <v>-7506</v>
      </c>
      <c r="H22" s="87">
        <f t="shared" si="0"/>
        <v>-77759.64</v>
      </c>
      <c r="J22" s="90"/>
      <c r="K22" s="90"/>
      <c r="L22" s="91"/>
      <c r="M22" s="92"/>
    </row>
    <row r="23" spans="1:13" s="75" customFormat="1">
      <c r="A23" s="402"/>
      <c r="B23" s="403" t="s">
        <v>70</v>
      </c>
      <c r="C23" s="403"/>
      <c r="D23" s="373"/>
      <c r="E23" s="373">
        <v>-7500</v>
      </c>
      <c r="F23" s="74"/>
      <c r="G23" s="74">
        <v>-7506</v>
      </c>
      <c r="H23" s="87">
        <f t="shared" si="0"/>
        <v>-85265.64</v>
      </c>
      <c r="J23" s="90"/>
      <c r="K23" s="90"/>
      <c r="L23" s="91"/>
      <c r="M23" s="92"/>
    </row>
    <row r="24" spans="1:13" s="75" customFormat="1">
      <c r="A24" s="402"/>
      <c r="B24" s="403" t="s">
        <v>71</v>
      </c>
      <c r="C24" s="403"/>
      <c r="D24" s="373"/>
      <c r="E24" s="373">
        <v>-7500</v>
      </c>
      <c r="F24" s="74"/>
      <c r="G24" s="74">
        <v>-7500</v>
      </c>
      <c r="H24" s="87">
        <f t="shared" si="0"/>
        <v>-92765.64</v>
      </c>
      <c r="J24" s="90"/>
      <c r="K24" s="90"/>
      <c r="L24" s="91"/>
      <c r="M24" s="92"/>
    </row>
    <row r="25" spans="1:13" s="75" customFormat="1">
      <c r="B25" s="3"/>
      <c r="C25" s="3"/>
      <c r="D25" s="74"/>
      <c r="E25" s="74"/>
      <c r="F25" s="74"/>
      <c r="G25" s="74"/>
      <c r="H25" s="87">
        <f t="shared" si="0"/>
        <v>-92765.64</v>
      </c>
      <c r="J25" s="90"/>
      <c r="K25" s="90"/>
      <c r="L25" s="91"/>
      <c r="M25" s="92"/>
    </row>
    <row r="26" spans="1:13" s="75" customFormat="1">
      <c r="A26" s="93"/>
      <c r="B26" s="89"/>
      <c r="C26" s="89"/>
      <c r="D26" s="87"/>
      <c r="E26" s="87"/>
      <c r="F26" s="74"/>
      <c r="G26" s="74"/>
      <c r="H26" s="87">
        <f t="shared" si="0"/>
        <v>-92765.64</v>
      </c>
      <c r="J26" s="90"/>
      <c r="K26" s="90"/>
      <c r="L26" s="91"/>
      <c r="M26" s="92"/>
    </row>
    <row r="27" spans="1:13" s="75" customFormat="1">
      <c r="A27" s="94"/>
      <c r="B27" s="3"/>
      <c r="C27" s="3"/>
      <c r="D27" s="74"/>
      <c r="E27" s="74"/>
      <c r="F27" s="74"/>
      <c r="G27" s="74"/>
      <c r="H27" s="74">
        <f t="shared" si="0"/>
        <v>-92765.64</v>
      </c>
      <c r="J27" s="90"/>
      <c r="K27" s="90"/>
      <c r="L27" s="91"/>
      <c r="M27" s="92"/>
    </row>
    <row r="28" spans="1:13" s="75" customFormat="1">
      <c r="A28" s="537">
        <v>45838</v>
      </c>
      <c r="B28" s="422" t="s">
        <v>72</v>
      </c>
      <c r="C28" s="422"/>
      <c r="D28" s="373"/>
      <c r="E28" s="373">
        <v>-600</v>
      </c>
      <c r="F28" s="74"/>
      <c r="G28" s="74">
        <v>-485</v>
      </c>
      <c r="H28" s="74">
        <f t="shared" si="0"/>
        <v>-93250.64</v>
      </c>
      <c r="J28" s="90"/>
      <c r="K28" s="90"/>
      <c r="L28" s="91"/>
      <c r="M28" s="92"/>
    </row>
    <row r="29" spans="1:13" s="75" customFormat="1">
      <c r="A29" s="537">
        <v>45838</v>
      </c>
      <c r="B29" s="422" t="s">
        <v>73</v>
      </c>
      <c r="C29" s="422"/>
      <c r="D29" s="373"/>
      <c r="E29" s="373">
        <v>-800</v>
      </c>
      <c r="F29" s="74"/>
      <c r="G29" s="74">
        <v>-700</v>
      </c>
      <c r="H29" s="74">
        <f t="shared" si="0"/>
        <v>-93950.64</v>
      </c>
      <c r="J29" s="90"/>
      <c r="K29" s="90"/>
      <c r="L29" s="91"/>
      <c r="M29" s="92"/>
    </row>
    <row r="30" spans="1:13" s="75" customFormat="1">
      <c r="B30" s="3"/>
      <c r="C30" s="3"/>
      <c r="D30" s="74"/>
      <c r="E30" s="74"/>
      <c r="F30" s="74"/>
      <c r="G30" s="74"/>
      <c r="H30" s="74">
        <f t="shared" si="0"/>
        <v>-93950.64</v>
      </c>
    </row>
    <row r="31" spans="1:13" s="75" customFormat="1">
      <c r="D31" s="74"/>
      <c r="E31" s="74"/>
      <c r="F31" s="74"/>
      <c r="G31" s="74"/>
      <c r="H31" s="74">
        <f t="shared" si="0"/>
        <v>-93950.64</v>
      </c>
    </row>
    <row r="32" spans="1:13">
      <c r="A32" s="96"/>
      <c r="B32" s="97" t="s">
        <v>86</v>
      </c>
      <c r="C32" s="97"/>
      <c r="H32" s="74">
        <f t="shared" si="0"/>
        <v>-93950.64</v>
      </c>
      <c r="I32" s="75"/>
      <c r="J32" s="75"/>
    </row>
    <row r="33" spans="1:14">
      <c r="A33" s="96"/>
      <c r="H33" s="74">
        <f t="shared" si="0"/>
        <v>-93950.64</v>
      </c>
    </row>
    <row r="34" spans="1:14" s="75" customFormat="1">
      <c r="A34"/>
      <c r="B34"/>
      <c r="C34"/>
      <c r="D34" s="74"/>
      <c r="E34" s="74"/>
      <c r="F34" s="74"/>
      <c r="G34" s="74"/>
      <c r="H34" s="74">
        <f t="shared" si="0"/>
        <v>-93950.64</v>
      </c>
      <c r="I34"/>
      <c r="J34"/>
    </row>
    <row r="35" spans="1:14" s="75" customFormat="1">
      <c r="A35" s="94"/>
      <c r="D35" s="74"/>
      <c r="E35" s="74"/>
      <c r="F35" s="74"/>
      <c r="G35" s="74"/>
      <c r="H35" s="74"/>
    </row>
    <row r="36" spans="1:14" s="74" customFormat="1">
      <c r="A36" s="85"/>
      <c r="B36" s="75"/>
      <c r="C36" s="75"/>
      <c r="I36" s="75"/>
      <c r="J36" s="75"/>
      <c r="K36" s="75"/>
      <c r="L36" s="75"/>
      <c r="M36" s="75"/>
      <c r="N36" s="75"/>
    </row>
    <row r="37" spans="1:14" s="74" customFormat="1">
      <c r="B37" s="98"/>
      <c r="K37" s="75"/>
      <c r="L37" s="75"/>
      <c r="M37" s="75"/>
      <c r="N37" s="75"/>
    </row>
    <row r="38" spans="1:14">
      <c r="A38" s="99"/>
      <c r="B38" s="100" t="s">
        <v>75</v>
      </c>
      <c r="C38" s="99"/>
      <c r="E38" s="74">
        <f>SUM(E39:E70)</f>
        <v>-21573.620000000003</v>
      </c>
      <c r="I38" s="74"/>
      <c r="J38" s="74"/>
    </row>
    <row r="39" spans="1:14" s="74" customFormat="1">
      <c r="A39"/>
      <c r="B39"/>
      <c r="C39"/>
      <c r="I39"/>
      <c r="J39"/>
      <c r="K39" s="75"/>
      <c r="L39" s="75"/>
      <c r="M39" s="75"/>
      <c r="N39" s="75"/>
    </row>
    <row r="40" spans="1:14" s="74" customFormat="1">
      <c r="A40" s="85">
        <v>45715</v>
      </c>
      <c r="B40" s="87" t="s">
        <v>1628</v>
      </c>
      <c r="C40" s="87">
        <v>5938.68</v>
      </c>
      <c r="D40" s="87" t="s">
        <v>559</v>
      </c>
      <c r="E40" s="87">
        <v>-989.78</v>
      </c>
      <c r="K40" s="75"/>
      <c r="L40" s="75"/>
      <c r="M40" s="75"/>
      <c r="N40" s="75"/>
    </row>
    <row r="41" spans="1:14" s="74" customFormat="1">
      <c r="A41" s="96">
        <v>45790</v>
      </c>
      <c r="B41" s="103" t="s">
        <v>330</v>
      </c>
      <c r="C41" s="87">
        <v>1407.46</v>
      </c>
      <c r="D41" s="87" t="s">
        <v>686</v>
      </c>
      <c r="E41" s="87">
        <v>-234.58</v>
      </c>
      <c r="K41" s="75"/>
      <c r="L41" s="75"/>
      <c r="M41" s="75"/>
      <c r="N41" s="75"/>
    </row>
    <row r="42" spans="1:14" s="74" customFormat="1">
      <c r="A42" s="85"/>
      <c r="K42" s="75"/>
      <c r="L42" s="75"/>
      <c r="M42" s="75"/>
      <c r="N42" s="75"/>
    </row>
    <row r="43" spans="1:14">
      <c r="A43" s="85">
        <v>45772</v>
      </c>
      <c r="B43" s="74" t="s">
        <v>1764</v>
      </c>
      <c r="C43" s="74"/>
      <c r="E43" s="74">
        <v>-700</v>
      </c>
      <c r="I43" s="74"/>
      <c r="J43" s="74"/>
    </row>
    <row r="44" spans="1:14" s="74" customFormat="1">
      <c r="A44" s="375">
        <v>45772</v>
      </c>
      <c r="B44" t="s">
        <v>1765</v>
      </c>
      <c r="C44"/>
      <c r="E44" s="74">
        <v>-1200</v>
      </c>
      <c r="I44"/>
      <c r="J44"/>
      <c r="K44" s="75"/>
      <c r="L44" s="75"/>
      <c r="M44" s="75"/>
      <c r="N44" s="75"/>
    </row>
    <row r="45" spans="1:14" s="74" customFormat="1">
      <c r="A45" s="96"/>
      <c r="B45" s="102" t="s">
        <v>1797</v>
      </c>
      <c r="C45" s="102"/>
      <c r="E45" s="74">
        <v>-2820</v>
      </c>
      <c r="K45" s="75"/>
      <c r="L45" s="75"/>
      <c r="M45" s="75"/>
      <c r="N45" s="75"/>
    </row>
    <row r="46" spans="1:14" s="87" customFormat="1">
      <c r="A46" s="96">
        <v>45777</v>
      </c>
      <c r="B46" s="102" t="s">
        <v>1603</v>
      </c>
      <c r="C46" s="102"/>
      <c r="E46" s="87">
        <v>-80</v>
      </c>
      <c r="K46" s="75"/>
      <c r="L46" s="75"/>
      <c r="M46" s="75"/>
      <c r="N46" s="75"/>
    </row>
    <row r="47" spans="1:14" s="74" customFormat="1">
      <c r="A47" s="96"/>
      <c r="B47" s="102" t="s">
        <v>121</v>
      </c>
      <c r="C47" s="102"/>
      <c r="D47" s="74">
        <v>7461.57</v>
      </c>
      <c r="K47" s="75"/>
      <c r="L47" s="75"/>
      <c r="M47" s="75"/>
      <c r="N47" s="75"/>
    </row>
    <row r="48" spans="1:14" s="74" customFormat="1">
      <c r="A48" s="96">
        <v>45783</v>
      </c>
      <c r="B48" s="103"/>
      <c r="C48" s="102"/>
      <c r="E48" s="74">
        <v>-250</v>
      </c>
      <c r="K48" s="75"/>
      <c r="L48" s="75"/>
      <c r="M48" s="75"/>
      <c r="N48" s="75"/>
    </row>
    <row r="49" spans="1:14" s="74" customFormat="1">
      <c r="A49" s="96">
        <v>45788</v>
      </c>
      <c r="B49" s="103" t="s">
        <v>1798</v>
      </c>
      <c r="C49" s="102"/>
      <c r="E49" s="74">
        <v>-300</v>
      </c>
      <c r="K49" s="75"/>
      <c r="L49" s="75"/>
      <c r="M49" s="75"/>
      <c r="N49" s="75"/>
    </row>
    <row r="50" spans="1:14" s="74" customFormat="1">
      <c r="A50" s="96">
        <v>45788</v>
      </c>
      <c r="B50" s="103" t="s">
        <v>1799</v>
      </c>
      <c r="E50" s="74">
        <v>-600</v>
      </c>
      <c r="K50" s="75"/>
      <c r="L50" s="75"/>
      <c r="M50" s="75"/>
      <c r="N50" s="75"/>
    </row>
    <row r="51" spans="1:14" s="87" customFormat="1">
      <c r="A51" s="96">
        <v>45789</v>
      </c>
      <c r="B51" s="103" t="s">
        <v>1800</v>
      </c>
      <c r="E51" s="87">
        <v>-3441</v>
      </c>
      <c r="K51" s="75"/>
      <c r="L51" s="75"/>
      <c r="M51" s="75"/>
      <c r="N51" s="75"/>
    </row>
    <row r="52" spans="1:14" s="87" customFormat="1">
      <c r="A52" s="96">
        <v>45789</v>
      </c>
      <c r="B52" s="103" t="s">
        <v>1801</v>
      </c>
      <c r="E52" s="87">
        <v>-800</v>
      </c>
      <c r="K52" s="75"/>
      <c r="L52" s="75"/>
      <c r="M52" s="75"/>
      <c r="N52" s="75"/>
    </row>
    <row r="53" spans="1:14" s="87" customFormat="1">
      <c r="A53" s="96">
        <v>45791</v>
      </c>
      <c r="B53" s="103" t="s">
        <v>1802</v>
      </c>
      <c r="E53" s="87">
        <v>-800</v>
      </c>
      <c r="K53" s="75"/>
      <c r="L53" s="75"/>
      <c r="M53" s="75"/>
      <c r="N53" s="75"/>
    </row>
    <row r="54" spans="1:14" s="87" customFormat="1">
      <c r="A54" s="96">
        <v>45791</v>
      </c>
      <c r="B54" s="103" t="s">
        <v>1808</v>
      </c>
      <c r="E54" s="87">
        <v>-25</v>
      </c>
      <c r="K54" s="75"/>
      <c r="L54" s="75"/>
      <c r="M54" s="75"/>
      <c r="N54" s="75"/>
    </row>
    <row r="55" spans="1:14" s="87" customFormat="1">
      <c r="A55" s="96">
        <v>45791</v>
      </c>
      <c r="B55" s="103" t="s">
        <v>1809</v>
      </c>
      <c r="E55" s="87">
        <v>-25</v>
      </c>
      <c r="K55" s="75"/>
      <c r="L55" s="75"/>
      <c r="M55" s="75"/>
      <c r="N55" s="75"/>
    </row>
    <row r="56" spans="1:14" s="87" customFormat="1">
      <c r="A56" s="96">
        <v>45792</v>
      </c>
      <c r="B56" s="103" t="s">
        <v>1804</v>
      </c>
      <c r="E56" s="87">
        <v>-200</v>
      </c>
      <c r="K56" s="75"/>
      <c r="L56" s="75"/>
      <c r="M56" s="75"/>
      <c r="N56" s="75"/>
    </row>
    <row r="57" spans="1:14" s="87" customFormat="1">
      <c r="A57" s="96">
        <v>45792</v>
      </c>
      <c r="B57" s="103" t="s">
        <v>1805</v>
      </c>
      <c r="E57" s="87">
        <v>-1610</v>
      </c>
      <c r="K57" s="75"/>
      <c r="L57" s="75"/>
      <c r="M57" s="75"/>
      <c r="N57" s="75"/>
    </row>
    <row r="58" spans="1:14" s="87" customFormat="1">
      <c r="A58" s="96">
        <v>45793</v>
      </c>
      <c r="B58" s="103" t="s">
        <v>583</v>
      </c>
      <c r="E58" s="87">
        <v>-491</v>
      </c>
      <c r="K58" s="75"/>
      <c r="L58" s="75"/>
      <c r="M58" s="75"/>
      <c r="N58" s="75"/>
    </row>
    <row r="59" spans="1:14" s="87" customFormat="1">
      <c r="A59" s="96">
        <v>45794</v>
      </c>
      <c r="B59" s="103" t="s">
        <v>1804</v>
      </c>
      <c r="E59" s="87">
        <v>-240</v>
      </c>
      <c r="K59" s="75"/>
      <c r="L59" s="75"/>
      <c r="M59" s="75"/>
      <c r="N59" s="75"/>
    </row>
    <row r="60" spans="1:14" s="74" customFormat="1">
      <c r="A60" s="96">
        <v>45795</v>
      </c>
      <c r="B60" s="103" t="s">
        <v>1803</v>
      </c>
      <c r="C60" s="102"/>
      <c r="E60" s="74">
        <v>-25</v>
      </c>
      <c r="K60" s="75"/>
      <c r="L60" s="75"/>
      <c r="M60" s="75"/>
      <c r="N60" s="75"/>
    </row>
    <row r="61" spans="1:14" s="87" customFormat="1">
      <c r="A61" s="96">
        <v>45795</v>
      </c>
      <c r="B61" s="103" t="s">
        <v>1806</v>
      </c>
      <c r="C61" s="102"/>
      <c r="E61" s="87">
        <v>-660</v>
      </c>
      <c r="K61" s="75"/>
      <c r="L61" s="75"/>
      <c r="M61" s="75"/>
      <c r="N61" s="75"/>
    </row>
    <row r="62" spans="1:14" s="87" customFormat="1">
      <c r="A62" s="96">
        <v>45795</v>
      </c>
      <c r="B62" s="103" t="s">
        <v>1810</v>
      </c>
      <c r="C62" s="102"/>
      <c r="E62" s="87">
        <v>-95</v>
      </c>
      <c r="K62" s="75"/>
      <c r="L62" s="75"/>
      <c r="M62" s="75"/>
      <c r="N62" s="75"/>
    </row>
    <row r="63" spans="1:14" s="87" customFormat="1">
      <c r="A63" s="96">
        <v>45795</v>
      </c>
      <c r="B63" s="103" t="s">
        <v>1807</v>
      </c>
      <c r="C63" s="102"/>
      <c r="E63" s="87">
        <v>-25</v>
      </c>
      <c r="K63" s="75"/>
      <c r="L63" s="75"/>
      <c r="M63" s="75"/>
      <c r="N63" s="75"/>
    </row>
    <row r="64" spans="1:14" s="87" customFormat="1">
      <c r="A64" s="96">
        <v>45796</v>
      </c>
      <c r="B64" s="103" t="s">
        <v>119</v>
      </c>
      <c r="C64" s="102"/>
      <c r="E64" s="87">
        <v>-576.58000000000004</v>
      </c>
      <c r="K64" s="75"/>
      <c r="L64" s="75"/>
      <c r="M64" s="75"/>
      <c r="N64" s="75"/>
    </row>
    <row r="65" spans="1:14" s="87" customFormat="1">
      <c r="A65" s="96">
        <v>45796</v>
      </c>
      <c r="B65" s="103" t="s">
        <v>643</v>
      </c>
      <c r="C65" s="102"/>
      <c r="E65" s="87">
        <v>-370</v>
      </c>
      <c r="K65" s="75"/>
      <c r="L65" s="75"/>
      <c r="M65" s="75"/>
      <c r="N65" s="75"/>
    </row>
    <row r="66" spans="1:14" s="74" customFormat="1">
      <c r="A66" s="96">
        <v>45797</v>
      </c>
      <c r="B66" s="3" t="s">
        <v>1603</v>
      </c>
      <c r="E66" s="74">
        <v>-80</v>
      </c>
      <c r="K66" s="75"/>
      <c r="L66" s="75"/>
      <c r="M66" s="75"/>
      <c r="N66" s="75"/>
    </row>
    <row r="67" spans="1:14" s="87" customFormat="1">
      <c r="A67" s="96">
        <v>45799</v>
      </c>
      <c r="B67" s="89" t="s">
        <v>1813</v>
      </c>
      <c r="E67" s="87">
        <v>-2345</v>
      </c>
      <c r="K67" s="75"/>
      <c r="L67" s="75"/>
      <c r="M67" s="75"/>
      <c r="N67" s="75"/>
    </row>
    <row r="68" spans="1:14" s="87" customFormat="1">
      <c r="A68" s="96">
        <v>45799</v>
      </c>
      <c r="B68" s="89" t="s">
        <v>1811</v>
      </c>
      <c r="E68" s="87">
        <v>-54</v>
      </c>
      <c r="K68" s="75"/>
      <c r="L68" s="75"/>
      <c r="M68" s="75"/>
      <c r="N68" s="75"/>
    </row>
    <row r="69" spans="1:14" s="87" customFormat="1">
      <c r="A69" s="96">
        <v>45800</v>
      </c>
      <c r="B69" s="89" t="s">
        <v>1812</v>
      </c>
      <c r="E69" s="87">
        <v>-2345</v>
      </c>
      <c r="K69" s="75"/>
      <c r="L69" s="75"/>
      <c r="M69" s="75"/>
      <c r="N69" s="75"/>
    </row>
    <row r="70" spans="1:14" s="87" customFormat="1">
      <c r="A70" s="96">
        <v>45802</v>
      </c>
      <c r="B70" s="89" t="s">
        <v>119</v>
      </c>
      <c r="E70" s="87">
        <v>-191.68</v>
      </c>
      <c r="K70" s="75"/>
      <c r="L70" s="75"/>
      <c r="M70" s="75"/>
      <c r="N70" s="75"/>
    </row>
    <row r="71" spans="1:14" s="87" customFormat="1" ht="15">
      <c r="A71" s="96"/>
      <c r="B71" s="89"/>
      <c r="E71" s="101" t="s">
        <v>76</v>
      </c>
      <c r="K71" s="75"/>
      <c r="L71" s="75"/>
      <c r="M71" s="75"/>
      <c r="N71" s="75"/>
    </row>
    <row r="72" spans="1:14" s="87" customFormat="1">
      <c r="A72" s="96"/>
      <c r="B72" s="89"/>
      <c r="K72" s="75"/>
      <c r="L72" s="75"/>
      <c r="M72" s="75"/>
      <c r="N72" s="75"/>
    </row>
    <row r="73" spans="1:14" s="87" customFormat="1">
      <c r="A73" s="96"/>
      <c r="B73" s="89"/>
      <c r="K73" s="75"/>
      <c r="L73" s="75"/>
      <c r="M73" s="75"/>
      <c r="N73" s="75"/>
    </row>
    <row r="74" spans="1:14" s="87" customFormat="1">
      <c r="A74" s="96"/>
      <c r="B74" s="89"/>
      <c r="K74" s="75"/>
      <c r="L74" s="75"/>
      <c r="M74" s="75"/>
      <c r="N74" s="75"/>
    </row>
    <row r="75" spans="1:14" s="74" customFormat="1">
      <c r="A75" s="96"/>
      <c r="B75" s="102"/>
      <c r="C75" s="102"/>
      <c r="K75" s="75"/>
      <c r="L75" s="75"/>
      <c r="M75" s="75"/>
      <c r="N75" s="75"/>
    </row>
    <row r="76" spans="1:14" s="74" customFormat="1">
      <c r="A76" s="99"/>
      <c r="B76" s="100" t="s">
        <v>77</v>
      </c>
      <c r="C76" s="99"/>
      <c r="E76" s="74">
        <f>SUM(E77:E82)</f>
        <v>-625</v>
      </c>
      <c r="K76" s="75"/>
      <c r="L76" s="75"/>
      <c r="M76" s="75"/>
      <c r="N76" s="75"/>
    </row>
    <row r="77" spans="1:14" s="74" customFormat="1">
      <c r="A77" s="96"/>
      <c r="B77" s="102"/>
      <c r="C77" s="102"/>
      <c r="K77" s="75"/>
      <c r="L77" s="75"/>
      <c r="M77" s="75"/>
      <c r="N77" s="75"/>
    </row>
    <row r="78" spans="1:14" s="74" customFormat="1">
      <c r="K78" s="75"/>
      <c r="L78" s="75"/>
      <c r="M78" s="75"/>
      <c r="N78" s="75"/>
    </row>
    <row r="79" spans="1:14" s="74" customFormat="1">
      <c r="A79" s="94">
        <v>45728</v>
      </c>
      <c r="B79" s="87" t="s">
        <v>1678</v>
      </c>
      <c r="C79" s="11"/>
      <c r="D79" s="87" t="s">
        <v>1709</v>
      </c>
      <c r="E79" s="87">
        <v>-625</v>
      </c>
      <c r="K79" s="75"/>
      <c r="L79" s="75"/>
      <c r="M79" s="75"/>
      <c r="N79" s="75"/>
    </row>
    <row r="80" spans="1:14" s="74" customFormat="1" ht="15">
      <c r="A80" s="96"/>
      <c r="B80" s="3"/>
      <c r="C80" s="102"/>
      <c r="E80" s="101" t="s">
        <v>76</v>
      </c>
      <c r="K80" s="75"/>
      <c r="L80" s="75"/>
      <c r="M80" s="75"/>
      <c r="N80" s="75"/>
    </row>
    <row r="81" spans="1:14" s="74" customFormat="1">
      <c r="A81" s="96"/>
      <c r="B81" s="3"/>
      <c r="C81" s="102"/>
      <c r="K81" s="75"/>
      <c r="L81" s="75"/>
      <c r="M81" s="75"/>
      <c r="N81" s="75"/>
    </row>
    <row r="82" spans="1:14" s="74" customFormat="1">
      <c r="A82" s="96"/>
      <c r="B82" s="3"/>
      <c r="C82" s="102"/>
      <c r="K82" s="75"/>
      <c r="L82" s="75"/>
      <c r="M82" s="75"/>
      <c r="N82" s="75"/>
    </row>
    <row r="83" spans="1:14" s="74" customFormat="1">
      <c r="A83" s="96"/>
      <c r="B83" s="3"/>
      <c r="C83" s="102"/>
      <c r="K83" s="75"/>
      <c r="L83" s="75"/>
      <c r="M83" s="75"/>
      <c r="N83" s="75"/>
    </row>
    <row r="84" spans="1:14" s="74" customFormat="1">
      <c r="A84" s="96"/>
      <c r="B84" s="3"/>
      <c r="C84" s="102"/>
      <c r="K84" s="75"/>
      <c r="L84" s="75"/>
      <c r="M84" s="75"/>
      <c r="N84" s="75"/>
    </row>
    <row r="85" spans="1:14" s="74" customFormat="1">
      <c r="A85" s="96"/>
      <c r="B85" s="3"/>
      <c r="C85" s="102"/>
      <c r="K85" s="75"/>
      <c r="L85" s="75"/>
      <c r="M85" s="75"/>
      <c r="N85" s="75"/>
    </row>
    <row r="86" spans="1:14" s="74" customFormat="1">
      <c r="A86" s="96"/>
      <c r="B86" s="3"/>
      <c r="C86" s="102"/>
      <c r="K86" s="75"/>
      <c r="L86" s="75"/>
      <c r="M86" s="75"/>
      <c r="N86" s="75"/>
    </row>
    <row r="87" spans="1:14" s="74" customFormat="1">
      <c r="A87" s="96"/>
      <c r="B87" s="3"/>
      <c r="C87" s="102"/>
      <c r="K87" s="75"/>
      <c r="L87" s="75"/>
      <c r="M87" s="75"/>
      <c r="N87" s="75"/>
    </row>
    <row r="88" spans="1:14" s="74" customFormat="1">
      <c r="A88" s="96"/>
      <c r="B88" s="3"/>
      <c r="C88" s="102"/>
      <c r="K88" s="75"/>
      <c r="L88" s="75"/>
      <c r="M88" s="75"/>
      <c r="N88" s="75"/>
    </row>
    <row r="89" spans="1:14" s="74" customFormat="1">
      <c r="A89" s="109" t="s">
        <v>1825</v>
      </c>
      <c r="B89" s="100" t="s">
        <v>128</v>
      </c>
      <c r="C89" s="99">
        <v>2025</v>
      </c>
      <c r="D89" s="87"/>
      <c r="E89" s="87"/>
      <c r="F89" s="87"/>
      <c r="G89" s="87">
        <f>SUM(G93:G118)</f>
        <v>547410.19500000007</v>
      </c>
      <c r="H89" s="87"/>
      <c r="I89" s="87"/>
      <c r="J89" s="11"/>
      <c r="K89" s="75"/>
      <c r="L89" s="75"/>
      <c r="M89" s="75"/>
      <c r="N89" s="75"/>
    </row>
    <row r="90" spans="1:14" s="74" customFormat="1">
      <c r="A90" s="109"/>
      <c r="B90" s="100"/>
      <c r="C90" s="99"/>
      <c r="D90" s="87"/>
      <c r="E90" s="87"/>
      <c r="F90" s="87"/>
      <c r="G90" s="87"/>
      <c r="H90" s="87"/>
      <c r="I90" s="87"/>
      <c r="J90" s="11"/>
      <c r="K90" s="75"/>
      <c r="L90" s="75"/>
      <c r="M90" s="75"/>
      <c r="N90" s="75"/>
    </row>
    <row r="91" spans="1:14" s="74" customFormat="1">
      <c r="A91" s="109"/>
      <c r="B91" s="100"/>
      <c r="C91" s="99"/>
      <c r="D91" s="87"/>
      <c r="E91" s="87" t="s">
        <v>129</v>
      </c>
      <c r="F91" s="87"/>
      <c r="G91" s="87"/>
      <c r="H91" s="87"/>
      <c r="I91" s="87"/>
      <c r="J91" s="11"/>
      <c r="K91" s="75"/>
      <c r="L91" s="75"/>
      <c r="M91" s="75"/>
      <c r="N91" s="75"/>
    </row>
    <row r="92" spans="1:14" s="74" customFormat="1">
      <c r="A92" s="96"/>
      <c r="B92" s="87" t="s">
        <v>69</v>
      </c>
      <c r="C92" s="87"/>
      <c r="D92" s="87"/>
      <c r="E92" s="87"/>
      <c r="F92" s="87"/>
      <c r="G92" s="87">
        <v>0</v>
      </c>
      <c r="H92" s="87"/>
      <c r="I92" s="87"/>
      <c r="J92" s="11"/>
      <c r="K92" s="75"/>
      <c r="L92" s="75"/>
      <c r="M92" s="75"/>
      <c r="N92" s="75"/>
    </row>
    <row r="93" spans="1:14" s="74" customFormat="1">
      <c r="A93" s="96"/>
      <c r="B93" s="87" t="s">
        <v>70</v>
      </c>
      <c r="C93" s="87"/>
      <c r="D93" s="87"/>
      <c r="E93" s="87"/>
      <c r="F93" s="87"/>
      <c r="G93" s="87">
        <v>0</v>
      </c>
      <c r="H93" s="87"/>
      <c r="I93" s="87"/>
      <c r="J93" s="11"/>
      <c r="K93" s="75"/>
      <c r="L93" s="75"/>
      <c r="M93" s="75"/>
      <c r="N93" s="75"/>
    </row>
    <row r="94" spans="1:14" s="74" customFormat="1">
      <c r="A94" s="513">
        <v>45838</v>
      </c>
      <c r="B94" s="87" t="s">
        <v>1727</v>
      </c>
      <c r="C94" s="87"/>
      <c r="D94" s="87"/>
      <c r="E94" s="87">
        <v>87830</v>
      </c>
      <c r="F94" s="87">
        <v>-36500</v>
      </c>
      <c r="G94" s="87">
        <f>E94+F94</f>
        <v>51330</v>
      </c>
      <c r="H94" s="87"/>
      <c r="I94" s="87"/>
      <c r="J94" s="11"/>
      <c r="K94" s="75"/>
      <c r="L94" s="75"/>
      <c r="M94" s="75"/>
      <c r="N94" s="75"/>
    </row>
    <row r="95" spans="1:14" s="74" customFormat="1">
      <c r="A95" s="513"/>
      <c r="B95" s="87" t="s">
        <v>1728</v>
      </c>
      <c r="C95" s="87"/>
      <c r="D95" s="87"/>
      <c r="E95" s="87"/>
      <c r="F95" s="87"/>
      <c r="G95" s="87">
        <f>D75</f>
        <v>0</v>
      </c>
      <c r="H95" s="87"/>
      <c r="I95" s="87"/>
      <c r="J95" s="11"/>
      <c r="K95" s="75"/>
      <c r="L95" s="75"/>
      <c r="M95" s="75"/>
      <c r="N95" s="75"/>
    </row>
    <row r="96" spans="1:14">
      <c r="A96" s="513">
        <v>45777</v>
      </c>
      <c r="B96" s="87" t="s">
        <v>131</v>
      </c>
      <c r="C96" s="12"/>
      <c r="D96" s="12"/>
      <c r="E96" s="87"/>
      <c r="F96" s="87"/>
      <c r="G96" s="14">
        <v>225</v>
      </c>
      <c r="H96" s="87"/>
      <c r="I96" s="87"/>
      <c r="J96" s="11"/>
    </row>
    <row r="97" spans="1:10">
      <c r="A97" s="513">
        <v>45777</v>
      </c>
      <c r="B97" s="87" t="s">
        <v>132</v>
      </c>
      <c r="C97" s="12"/>
      <c r="D97" s="12"/>
      <c r="E97" s="87"/>
      <c r="F97" s="87"/>
      <c r="G97" s="14">
        <v>0</v>
      </c>
      <c r="H97" s="87"/>
      <c r="I97" s="87"/>
      <c r="J97" s="11"/>
    </row>
    <row r="98" spans="1:10">
      <c r="A98" s="96"/>
      <c r="B98" s="87"/>
      <c r="C98" s="12"/>
      <c r="D98" s="12"/>
      <c r="E98" s="87"/>
      <c r="F98" s="87"/>
      <c r="G98" s="14"/>
      <c r="H98" s="87"/>
      <c r="I98" s="87" t="s">
        <v>1677</v>
      </c>
      <c r="J98" s="11"/>
    </row>
    <row r="99" spans="1:10">
      <c r="A99" s="96">
        <v>45620</v>
      </c>
      <c r="B99" s="79" t="s">
        <v>1595</v>
      </c>
      <c r="C99" s="110"/>
      <c r="D99" s="110">
        <v>32.549999999999997</v>
      </c>
      <c r="E99" s="112">
        <f t="shared" ref="E99:E102" si="1">D99*C99</f>
        <v>0</v>
      </c>
      <c r="F99" s="87">
        <v>46.68</v>
      </c>
      <c r="G99" s="14">
        <f t="shared" ref="G99" si="2">F99*C99</f>
        <v>0</v>
      </c>
      <c r="H99" s="87"/>
      <c r="I99" s="87">
        <f t="shared" ref="I99" si="3">G99-E99</f>
        <v>0</v>
      </c>
      <c r="J99" s="11"/>
    </row>
    <row r="100" spans="1:10">
      <c r="A100" s="96">
        <v>45620</v>
      </c>
      <c r="B100" s="79" t="s">
        <v>1595</v>
      </c>
      <c r="C100" s="110">
        <v>1000</v>
      </c>
      <c r="D100" s="110">
        <v>32.549999999999997</v>
      </c>
      <c r="E100" s="112">
        <f t="shared" si="1"/>
        <v>32549.999999999996</v>
      </c>
      <c r="F100" s="87">
        <f>F99</f>
        <v>46.68</v>
      </c>
      <c r="G100" s="14">
        <f>F100*C100</f>
        <v>46680</v>
      </c>
      <c r="H100" s="87"/>
      <c r="I100" s="87">
        <f>G100-E100</f>
        <v>14130.000000000004</v>
      </c>
      <c r="J100" s="11"/>
    </row>
    <row r="101" spans="1:10">
      <c r="A101" s="96">
        <v>45659</v>
      </c>
      <c r="B101" s="79" t="s">
        <v>1594</v>
      </c>
      <c r="C101" s="110">
        <v>4000</v>
      </c>
      <c r="D101" s="111">
        <v>30.86</v>
      </c>
      <c r="E101" s="112">
        <f t="shared" si="1"/>
        <v>123440</v>
      </c>
      <c r="F101" s="87">
        <f>F100</f>
        <v>46.68</v>
      </c>
      <c r="G101" s="14">
        <f t="shared" ref="G101" si="4">F101*C101</f>
        <v>186720</v>
      </c>
      <c r="H101" s="407">
        <f>SUM(G100:G101)</f>
        <v>233400</v>
      </c>
      <c r="I101" s="87">
        <f t="shared" ref="I101" si="5">G101-E101</f>
        <v>63280</v>
      </c>
      <c r="J101" s="11"/>
    </row>
    <row r="102" spans="1:10" ht="13.5" thickBot="1">
      <c r="A102" s="96">
        <v>45804</v>
      </c>
      <c r="B102" s="79" t="s">
        <v>228</v>
      </c>
      <c r="C102" s="110">
        <v>35</v>
      </c>
      <c r="D102" s="111">
        <v>1025.3286370000001</v>
      </c>
      <c r="E102" s="112">
        <f t="shared" si="1"/>
        <v>35886.502295000006</v>
      </c>
      <c r="F102" s="87"/>
      <c r="G102" s="14"/>
      <c r="H102" s="407"/>
      <c r="I102" s="87"/>
      <c r="J102" s="11"/>
    </row>
    <row r="103" spans="1:10" ht="13.5" thickBot="1">
      <c r="A103" s="96"/>
      <c r="B103" s="87"/>
      <c r="C103" s="12"/>
      <c r="D103" s="12"/>
      <c r="E103" s="87">
        <f>SUM(E99:E101)</f>
        <v>155990</v>
      </c>
      <c r="F103" s="87"/>
      <c r="G103" s="87"/>
      <c r="H103" s="113">
        <f>(SUM(G99:G101))-(SUM(E99:E101))</f>
        <v>77410</v>
      </c>
      <c r="I103" s="113">
        <f>SUM(I99:I101)</f>
        <v>77410</v>
      </c>
      <c r="J103" s="11"/>
    </row>
    <row r="104" spans="1:10">
      <c r="A104" s="96"/>
      <c r="B104" s="87"/>
      <c r="C104" s="12"/>
      <c r="D104" s="12"/>
      <c r="E104" s="87"/>
      <c r="F104" s="87"/>
      <c r="G104" s="87"/>
      <c r="H104" s="87"/>
      <c r="I104" s="87"/>
      <c r="J104" s="11"/>
    </row>
    <row r="105" spans="1:10">
      <c r="A105" s="96">
        <v>45345</v>
      </c>
      <c r="B105" s="79" t="s">
        <v>135</v>
      </c>
      <c r="C105" s="114">
        <v>125000</v>
      </c>
      <c r="D105" s="80">
        <v>1.0399430000000001</v>
      </c>
      <c r="E105" s="112">
        <f>D105*C105</f>
        <v>129992.87500000001</v>
      </c>
      <c r="F105" s="392">
        <v>0.87497100000000005</v>
      </c>
      <c r="G105" s="14">
        <f>F105*C105</f>
        <v>109371.375</v>
      </c>
      <c r="H105" s="87"/>
      <c r="I105" s="87">
        <f t="shared" ref="I105:I108" si="6">G105-E105</f>
        <v>-20621.500000000015</v>
      </c>
      <c r="J105" s="11"/>
    </row>
    <row r="106" spans="1:10">
      <c r="A106" s="96">
        <v>45400</v>
      </c>
      <c r="B106" s="79" t="s">
        <v>136</v>
      </c>
      <c r="C106" s="110">
        <v>10</v>
      </c>
      <c r="D106" s="80">
        <v>135</v>
      </c>
      <c r="E106" s="112">
        <f>D106*C106</f>
        <v>1350</v>
      </c>
      <c r="F106" s="87">
        <v>136.5</v>
      </c>
      <c r="G106" s="14">
        <f>F106*C106</f>
        <v>1365</v>
      </c>
      <c r="H106" s="87"/>
      <c r="I106" s="87">
        <f t="shared" si="6"/>
        <v>15</v>
      </c>
      <c r="J106" s="11"/>
    </row>
    <row r="107" spans="1:10">
      <c r="A107" s="96">
        <v>45418</v>
      </c>
      <c r="B107" s="79" t="s">
        <v>137</v>
      </c>
      <c r="C107" s="110">
        <v>38</v>
      </c>
      <c r="D107" s="80">
        <v>30.5</v>
      </c>
      <c r="E107" s="112">
        <f>D107*C107</f>
        <v>1159</v>
      </c>
      <c r="F107" s="87">
        <v>14.73</v>
      </c>
      <c r="G107" s="14">
        <f>F107*C107</f>
        <v>559.74</v>
      </c>
      <c r="H107" s="87"/>
      <c r="I107" s="87">
        <f t="shared" si="6"/>
        <v>-599.26</v>
      </c>
      <c r="J107" s="11"/>
    </row>
    <row r="108" spans="1:10" ht="13.5" thickBot="1">
      <c r="A108" s="96">
        <v>45418</v>
      </c>
      <c r="B108" s="79" t="s">
        <v>138</v>
      </c>
      <c r="C108" s="110">
        <v>26</v>
      </c>
      <c r="D108" s="80">
        <v>37.115000000000002</v>
      </c>
      <c r="E108" s="112">
        <f>D108*C108</f>
        <v>964.99</v>
      </c>
      <c r="F108" s="87">
        <v>24.58</v>
      </c>
      <c r="G108" s="14">
        <f>F108*C108</f>
        <v>639.07999999999993</v>
      </c>
      <c r="H108" s="407">
        <f>SUM(G105:G108)</f>
        <v>111935.19500000001</v>
      </c>
      <c r="I108" s="87">
        <f t="shared" si="6"/>
        <v>-325.91000000000008</v>
      </c>
      <c r="J108" s="11"/>
    </row>
    <row r="109" spans="1:10" ht="13.5" thickBot="1">
      <c r="A109" s="96"/>
      <c r="B109" s="87"/>
      <c r="C109" s="12"/>
      <c r="D109" s="12"/>
      <c r="E109" s="87">
        <f>SUM(E105:E108)</f>
        <v>133466.86499999999</v>
      </c>
      <c r="F109" s="87"/>
      <c r="G109" s="87"/>
      <c r="H109" s="113">
        <f>(SUM(G105:G108))-(SUM(E105:E108))</f>
        <v>-21531.669999999984</v>
      </c>
      <c r="I109" s="87"/>
      <c r="J109" s="11"/>
    </row>
    <row r="110" spans="1:10">
      <c r="A110" s="96"/>
      <c r="B110" s="87"/>
      <c r="C110" s="87"/>
      <c r="D110" s="87"/>
      <c r="E110" s="14"/>
      <c r="F110" s="87"/>
      <c r="G110" s="87"/>
      <c r="H110" s="87"/>
      <c r="I110" s="87"/>
      <c r="J110" s="11"/>
    </row>
    <row r="111" spans="1:10">
      <c r="A111" s="96">
        <v>45509</v>
      </c>
      <c r="B111" s="79" t="s">
        <v>1722</v>
      </c>
      <c r="C111" s="110">
        <v>1</v>
      </c>
      <c r="D111" s="80">
        <v>2500</v>
      </c>
      <c r="E111" s="112">
        <f>D111*C111</f>
        <v>2500</v>
      </c>
      <c r="F111" s="87">
        <v>4200</v>
      </c>
      <c r="G111" s="14">
        <f>C111*F111</f>
        <v>4200</v>
      </c>
      <c r="H111" s="87"/>
      <c r="I111" s="87">
        <f t="shared" ref="I111:I113" si="7">G111-E111</f>
        <v>1700</v>
      </c>
      <c r="J111" s="11"/>
    </row>
    <row r="112" spans="1:10">
      <c r="A112" s="96">
        <v>45509</v>
      </c>
      <c r="B112" s="79" t="s">
        <v>140</v>
      </c>
      <c r="C112" s="110">
        <v>16</v>
      </c>
      <c r="D112" s="80">
        <v>4100</v>
      </c>
      <c r="E112" s="112">
        <f>D112*C112</f>
        <v>65600</v>
      </c>
      <c r="F112" s="87">
        <f>F111*1.73</f>
        <v>7266</v>
      </c>
      <c r="G112" s="14">
        <f>C112*F112</f>
        <v>116256</v>
      </c>
      <c r="H112" s="87"/>
      <c r="I112" s="87">
        <f t="shared" si="7"/>
        <v>50656</v>
      </c>
      <c r="J112" s="11"/>
    </row>
    <row r="113" spans="1:12" ht="13.5" thickBot="1">
      <c r="A113" s="96">
        <v>45509</v>
      </c>
      <c r="B113" s="79" t="s">
        <v>141</v>
      </c>
      <c r="C113" s="110">
        <v>1</v>
      </c>
      <c r="D113" s="80">
        <v>16200</v>
      </c>
      <c r="E113" s="112">
        <f>D113*C113</f>
        <v>16200</v>
      </c>
      <c r="F113" s="87">
        <f>F112*4</f>
        <v>29064</v>
      </c>
      <c r="G113" s="14">
        <f>C113*F113</f>
        <v>29064</v>
      </c>
      <c r="H113" s="407">
        <f>SUM(G111:G113)</f>
        <v>149520</v>
      </c>
      <c r="I113" s="87">
        <f t="shared" si="7"/>
        <v>12864</v>
      </c>
      <c r="J113" s="11"/>
    </row>
    <row r="114" spans="1:12" ht="13.5" thickBot="1">
      <c r="A114" s="96"/>
      <c r="B114" s="87"/>
      <c r="C114" s="12"/>
      <c r="D114" s="12"/>
      <c r="E114" s="87">
        <f>SUM(E111:E113)</f>
        <v>84300</v>
      </c>
      <c r="F114" s="87"/>
      <c r="G114" s="87"/>
      <c r="H114" s="113">
        <f>(SUM(G111:G113))-(SUM(E111:E113))</f>
        <v>65220</v>
      </c>
      <c r="I114" s="87"/>
      <c r="J114" s="11"/>
    </row>
    <row r="115" spans="1:12">
      <c r="A115" s="96"/>
      <c r="B115" s="87" t="s">
        <v>142</v>
      </c>
      <c r="C115" s="116">
        <v>33.250599999999999</v>
      </c>
      <c r="D115" s="12"/>
      <c r="E115" s="87"/>
      <c r="F115" s="87"/>
      <c r="G115" s="14"/>
      <c r="H115" s="87"/>
      <c r="I115" s="87"/>
      <c r="J115" s="11"/>
    </row>
    <row r="116" spans="1:12">
      <c r="A116" s="96"/>
      <c r="B116" s="87" t="s">
        <v>143</v>
      </c>
      <c r="C116" s="116">
        <v>36.854999999999997</v>
      </c>
      <c r="D116" s="12"/>
      <c r="E116" s="87"/>
      <c r="F116" s="87"/>
      <c r="G116" s="14"/>
      <c r="H116" s="87"/>
      <c r="I116" s="87"/>
      <c r="J116" s="11"/>
    </row>
    <row r="117" spans="1:12">
      <c r="A117" s="96"/>
      <c r="B117" s="87" t="s">
        <v>144</v>
      </c>
      <c r="C117" s="12"/>
      <c r="D117" s="12"/>
      <c r="E117" s="87"/>
      <c r="F117" s="87"/>
      <c r="G117" s="14">
        <v>0</v>
      </c>
      <c r="H117" s="87"/>
      <c r="I117" s="87"/>
      <c r="J117" s="11"/>
    </row>
    <row r="118" spans="1:12" ht="13.5" thickBot="1">
      <c r="A118" s="96"/>
      <c r="B118" s="87" t="s">
        <v>145</v>
      </c>
      <c r="C118" s="12"/>
      <c r="D118" s="12"/>
      <c r="E118" s="87"/>
      <c r="F118" s="87"/>
      <c r="G118" s="14">
        <v>1000</v>
      </c>
      <c r="H118" s="87"/>
      <c r="I118" s="87"/>
      <c r="J118" s="11"/>
    </row>
    <row r="119" spans="1:12" ht="13.5" thickBot="1">
      <c r="A119" s="96"/>
      <c r="B119" s="87"/>
      <c r="C119" s="87"/>
      <c r="D119" s="87"/>
      <c r="E119" s="117"/>
      <c r="F119" s="118"/>
      <c r="G119" s="119" t="s">
        <v>146</v>
      </c>
      <c r="H119" s="417">
        <f>H114+H109+H103</f>
        <v>121098.33000000002</v>
      </c>
      <c r="I119" s="87"/>
      <c r="J119" s="11"/>
    </row>
    <row r="120" spans="1:12" ht="13.5" thickBot="1">
      <c r="A120" s="96"/>
      <c r="B120" s="87"/>
      <c r="C120" s="120"/>
      <c r="D120" s="89"/>
      <c r="E120" s="87"/>
      <c r="F120" s="87"/>
      <c r="G120" s="120"/>
      <c r="H120" s="87"/>
      <c r="I120" s="87"/>
      <c r="J120" s="11"/>
    </row>
    <row r="121" spans="1:12" ht="13.5" thickBot="1">
      <c r="A121" s="96"/>
      <c r="B121" s="87"/>
      <c r="C121" s="120"/>
      <c r="D121" s="15" t="s">
        <v>147</v>
      </c>
      <c r="E121" s="87"/>
      <c r="F121" s="87"/>
      <c r="G121" s="470">
        <f>SUM(G93:G118)</f>
        <v>547410.19500000007</v>
      </c>
      <c r="H121" s="87"/>
      <c r="I121" s="87"/>
      <c r="J121" s="11"/>
    </row>
    <row r="122" spans="1:12">
      <c r="A122" s="96"/>
      <c r="B122" s="87"/>
      <c r="C122" s="122" t="str">
        <f>A89</f>
        <v>TEMMUZ  2025 e</v>
      </c>
      <c r="D122" s="122" t="s">
        <v>148</v>
      </c>
      <c r="E122" s="87"/>
      <c r="F122" s="87"/>
      <c r="G122" s="123"/>
      <c r="H122" s="87"/>
      <c r="I122" s="87"/>
      <c r="J122" s="11"/>
    </row>
    <row r="123" spans="1:12">
      <c r="A123" s="96"/>
      <c r="B123" s="11"/>
      <c r="C123" s="426"/>
      <c r="D123" s="427"/>
      <c r="E123" s="393"/>
      <c r="F123" s="393"/>
      <c r="G123" s="397"/>
      <c r="H123" s="87"/>
      <c r="I123" s="87"/>
      <c r="J123" s="11"/>
    </row>
    <row r="124" spans="1:12">
      <c r="A124" s="87"/>
      <c r="B124" s="87" t="s">
        <v>1676</v>
      </c>
      <c r="C124" s="87"/>
      <c r="D124" s="87"/>
      <c r="E124" s="87"/>
      <c r="F124" s="87"/>
      <c r="G124" s="87"/>
      <c r="H124" s="87"/>
      <c r="I124" s="11"/>
      <c r="J124" s="75"/>
    </row>
    <row r="125" spans="1:12">
      <c r="A125" s="96">
        <v>45620</v>
      </c>
      <c r="B125" s="79"/>
      <c r="C125" s="110"/>
      <c r="D125" s="110"/>
      <c r="E125" s="112"/>
      <c r="F125" s="87"/>
      <c r="G125" s="14"/>
      <c r="H125" s="87"/>
      <c r="I125" s="431"/>
      <c r="J125" s="96"/>
      <c r="L125" s="431"/>
    </row>
    <row r="126" spans="1:12">
      <c r="A126" s="96"/>
      <c r="B126" s="79"/>
      <c r="C126" s="110" t="s">
        <v>1721</v>
      </c>
      <c r="D126" s="111"/>
      <c r="E126" s="112"/>
      <c r="F126" s="87" t="s">
        <v>1720</v>
      </c>
      <c r="H126" s="14">
        <v>-257.16000000000003</v>
      </c>
      <c r="I126" s="87"/>
      <c r="J126" s="463"/>
      <c r="L126" s="431"/>
    </row>
    <row r="127" spans="1:12">
      <c r="A127" s="96">
        <v>45812</v>
      </c>
      <c r="B127" s="79" t="s">
        <v>228</v>
      </c>
      <c r="C127" s="110">
        <v>10</v>
      </c>
      <c r="D127" s="111">
        <v>1025.3286370000001</v>
      </c>
      <c r="E127" s="112">
        <f t="shared" ref="E127" si="8">D127*C127</f>
        <v>10253.286370000002</v>
      </c>
      <c r="F127" s="111">
        <v>1035.7262459999999</v>
      </c>
      <c r="G127" s="14">
        <f t="shared" ref="G127" si="9">F127*C127</f>
        <v>10357.26246</v>
      </c>
      <c r="H127" s="87">
        <f>G127-E127</f>
        <v>103.97608999999829</v>
      </c>
      <c r="I127" s="11"/>
      <c r="J127" s="75"/>
    </row>
    <row r="128" spans="1:12">
      <c r="A128" s="96"/>
      <c r="B128" s="79" t="s">
        <v>1720</v>
      </c>
      <c r="C128" s="110"/>
      <c r="D128" s="111"/>
      <c r="E128" s="112"/>
      <c r="F128" s="392"/>
      <c r="G128" s="14"/>
      <c r="H128" s="87">
        <v>-163.46</v>
      </c>
      <c r="I128" s="431"/>
      <c r="J128" s="96"/>
      <c r="L128" s="431"/>
    </row>
    <row r="129" spans="1:10">
      <c r="A129" s="394">
        <v>45818</v>
      </c>
      <c r="B129" s="79" t="s">
        <v>1793</v>
      </c>
      <c r="C129" s="110">
        <v>25</v>
      </c>
      <c r="D129" s="111">
        <v>1025.3286370000001</v>
      </c>
      <c r="E129" s="112">
        <f t="shared" ref="E129" si="10">D129*C129</f>
        <v>25633.215925</v>
      </c>
      <c r="F129" s="87">
        <v>1043.4576589999999</v>
      </c>
      <c r="G129" s="14">
        <f t="shared" ref="G129" si="11">F129*C129</f>
        <v>26086.441475</v>
      </c>
      <c r="H129" s="87">
        <f>G129-E129</f>
        <v>453.2255499999992</v>
      </c>
      <c r="I129" s="87"/>
      <c r="J129" s="463"/>
    </row>
    <row r="130" spans="1:10" ht="13.5" thickBot="1">
      <c r="A130" s="395"/>
      <c r="B130" s="79" t="s">
        <v>1720</v>
      </c>
      <c r="C130" s="395" t="s">
        <v>1794</v>
      </c>
      <c r="D130" s="393"/>
      <c r="E130" s="393"/>
      <c r="F130" s="393"/>
      <c r="G130" s="393"/>
      <c r="H130" s="395">
        <v>-427.99</v>
      </c>
      <c r="I130" s="11"/>
      <c r="J130" s="75"/>
    </row>
    <row r="131" spans="1:10">
      <c r="A131" s="416"/>
      <c r="B131" s="416"/>
      <c r="C131" s="416"/>
      <c r="D131" s="405"/>
      <c r="E131" s="405"/>
      <c r="F131" s="405"/>
      <c r="G131" s="405">
        <f>SUM(G125:G130)</f>
        <v>36443.703934999998</v>
      </c>
      <c r="H131" s="468">
        <f>SUM(H125:H130)</f>
        <v>-291.40836000000252</v>
      </c>
      <c r="I131" s="11"/>
      <c r="J131" s="75"/>
    </row>
    <row r="132" spans="1:10">
      <c r="A132" s="11"/>
      <c r="B132" s="11"/>
      <c r="C132" s="11"/>
      <c r="D132" s="87"/>
      <c r="E132" s="87"/>
      <c r="F132" s="87" t="s">
        <v>878</v>
      </c>
      <c r="G132" s="87"/>
      <c r="H132" s="87">
        <f>H131+'05_25'!I140</f>
        <v>88519.971953000058</v>
      </c>
      <c r="I132" s="11"/>
      <c r="J132" s="11"/>
    </row>
    <row r="133" spans="1:10">
      <c r="A133" s="94"/>
      <c r="B133" s="11"/>
      <c r="C133" s="11"/>
      <c r="D133" s="87"/>
      <c r="E133" s="87"/>
      <c r="F133" s="87"/>
      <c r="G133" s="87"/>
      <c r="H133" s="87"/>
      <c r="I133" s="11"/>
      <c r="J133" s="11"/>
    </row>
    <row r="134" spans="1:10" ht="18">
      <c r="A134" s="476" t="s">
        <v>1733</v>
      </c>
      <c r="B134" s="11"/>
      <c r="C134" s="11"/>
      <c r="D134" s="87"/>
      <c r="E134" s="87"/>
      <c r="F134" s="87"/>
      <c r="G134" s="87"/>
      <c r="H134" s="87"/>
      <c r="I134" s="11"/>
      <c r="J134" s="11"/>
    </row>
    <row r="135" spans="1:10" ht="15.75">
      <c r="A135" s="94"/>
      <c r="B135" s="464">
        <f>1-76.4616%</f>
        <v>0.23538399999999993</v>
      </c>
      <c r="C135" s="465">
        <v>0.76461599999999996</v>
      </c>
      <c r="D135" s="392"/>
      <c r="E135" s="87"/>
      <c r="F135" s="87"/>
      <c r="G135" s="87"/>
      <c r="H135" s="87"/>
      <c r="I135" s="11"/>
      <c r="J135" s="11"/>
    </row>
    <row r="136" spans="1:10" ht="15.75">
      <c r="A136" s="94"/>
      <c r="B136" s="464" t="s">
        <v>1861</v>
      </c>
      <c r="C136" s="465"/>
      <c r="D136" s="392"/>
      <c r="E136" s="87"/>
      <c r="F136" s="87"/>
      <c r="G136" s="87"/>
      <c r="H136" s="87"/>
      <c r="I136" s="11"/>
      <c r="J136" s="11"/>
    </row>
    <row r="137" spans="1:10" ht="15.75">
      <c r="A137" s="94"/>
      <c r="B137" s="464" t="s">
        <v>1734</v>
      </c>
      <c r="C137" s="465"/>
      <c r="D137" s="392"/>
      <c r="E137" s="87"/>
      <c r="F137" s="87"/>
      <c r="G137" s="87"/>
      <c r="H137" s="87"/>
      <c r="I137" s="11"/>
      <c r="J137" s="11"/>
    </row>
    <row r="138" spans="1:10" ht="15.75">
      <c r="A138" s="94"/>
      <c r="B138" s="464" t="s">
        <v>1737</v>
      </c>
      <c r="C138" s="465"/>
      <c r="D138" s="392"/>
      <c r="E138" s="87"/>
      <c r="F138" s="87"/>
      <c r="G138" s="87"/>
      <c r="H138" s="87"/>
      <c r="I138" s="11"/>
      <c r="J138" s="11"/>
    </row>
    <row r="139" spans="1:10" ht="15.75">
      <c r="A139" s="94"/>
      <c r="B139" s="464" t="s">
        <v>1736</v>
      </c>
      <c r="C139" s="465"/>
      <c r="D139" s="392"/>
      <c r="E139" s="87"/>
      <c r="F139" s="87"/>
      <c r="G139" s="87"/>
      <c r="H139" s="87"/>
      <c r="I139" s="11"/>
      <c r="J139" s="11"/>
    </row>
    <row r="140" spans="1:10" ht="16.5" thickBot="1">
      <c r="A140" s="94"/>
      <c r="B140" s="464"/>
      <c r="C140" s="11" t="s">
        <v>1739</v>
      </c>
      <c r="D140" s="11" t="s">
        <v>1738</v>
      </c>
      <c r="E140" s="87" t="s">
        <v>1730</v>
      </c>
      <c r="F140" s="473">
        <v>138749.76000000001</v>
      </c>
      <c r="G140" s="11" t="s">
        <v>1731</v>
      </c>
      <c r="H140" s="87" t="s">
        <v>3</v>
      </c>
      <c r="I140" s="11"/>
      <c r="J140" s="11"/>
    </row>
    <row r="141" spans="1:10" ht="13.5" thickBot="1">
      <c r="A141" s="96"/>
      <c r="B141" s="79" t="s">
        <v>1859</v>
      </c>
      <c r="C141" s="114">
        <v>160</v>
      </c>
      <c r="D141" s="373">
        <f>C141</f>
        <v>160</v>
      </c>
      <c r="E141" s="80">
        <v>872.26</v>
      </c>
      <c r="F141" s="474">
        <f>E141*D141</f>
        <v>139561.60000000001</v>
      </c>
      <c r="G141" s="469">
        <v>962.89330700000005</v>
      </c>
      <c r="H141" s="540">
        <f>G141*C141</f>
        <v>154062.92912000002</v>
      </c>
      <c r="I141" s="12">
        <f>H141</f>
        <v>154062.92912000002</v>
      </c>
      <c r="J141" s="11"/>
    </row>
    <row r="142" spans="1:10" ht="13.5" thickBot="1">
      <c r="A142" s="96"/>
      <c r="B142" s="79" t="s">
        <v>1858</v>
      </c>
      <c r="C142" s="114">
        <v>78</v>
      </c>
      <c r="D142" s="373">
        <f>D141+C142</f>
        <v>238</v>
      </c>
      <c r="E142" s="80">
        <v>872.26</v>
      </c>
      <c r="F142" s="474">
        <f t="shared" ref="F142:F148" si="12">E142*D142</f>
        <v>207597.88</v>
      </c>
      <c r="G142" s="391">
        <f>G143</f>
        <v>962.89330700000005</v>
      </c>
      <c r="H142" s="540">
        <f>G142*C142</f>
        <v>75105.677946000011</v>
      </c>
      <c r="I142" s="12">
        <f>I141+H142</f>
        <v>229168.60706600003</v>
      </c>
      <c r="J142" s="11"/>
    </row>
    <row r="143" spans="1:10" ht="13.5" thickBot="1">
      <c r="A143" s="472">
        <v>45755</v>
      </c>
      <c r="B143" s="475" t="s">
        <v>1826</v>
      </c>
      <c r="C143" s="114">
        <v>-21</v>
      </c>
      <c r="D143" s="373">
        <f>D142+C143</f>
        <v>217</v>
      </c>
      <c r="E143" s="80">
        <v>872.26</v>
      </c>
      <c r="F143" s="474">
        <f t="shared" si="12"/>
        <v>189280.41999999998</v>
      </c>
      <c r="G143" s="391">
        <f>G141</f>
        <v>962.89330700000005</v>
      </c>
      <c r="H143" s="541">
        <f>G143*C143</f>
        <v>-20220.759447</v>
      </c>
      <c r="I143" s="12">
        <f>I142+H143</f>
        <v>208947.84761900004</v>
      </c>
      <c r="J143" s="11"/>
    </row>
    <row r="144" spans="1:10" ht="13.5" thickBot="1">
      <c r="A144" s="96"/>
      <c r="B144" s="79" t="s">
        <v>1732</v>
      </c>
      <c r="C144" s="538"/>
      <c r="D144" s="373">
        <f t="shared" ref="D144:D148" si="13">D143+C144</f>
        <v>217</v>
      </c>
      <c r="E144" s="80">
        <v>872.26</v>
      </c>
      <c r="F144" s="474">
        <f t="shared" si="12"/>
        <v>189280.41999999998</v>
      </c>
      <c r="G144" s="391">
        <f>G142</f>
        <v>962.89330700000005</v>
      </c>
      <c r="H144" s="373">
        <v>-300.32</v>
      </c>
      <c r="I144" s="12">
        <f>I143+H144</f>
        <v>208647.52761900003</v>
      </c>
      <c r="J144" s="11"/>
    </row>
    <row r="145" spans="1:14" s="11" customFormat="1" ht="13.5" thickBot="1">
      <c r="A145" s="472">
        <v>45786</v>
      </c>
      <c r="B145" s="475" t="s">
        <v>1827</v>
      </c>
      <c r="C145" s="539">
        <v>-20</v>
      </c>
      <c r="D145" s="373">
        <f t="shared" si="13"/>
        <v>197</v>
      </c>
      <c r="E145" s="80">
        <v>872.26</v>
      </c>
      <c r="F145" s="474">
        <f t="shared" si="12"/>
        <v>171835.22</v>
      </c>
      <c r="G145" s="391">
        <v>1000.86</v>
      </c>
      <c r="H145" s="541">
        <f>G145*C145</f>
        <v>-20017.2</v>
      </c>
      <c r="I145" s="12">
        <f>I144+H145</f>
        <v>188630.32761900002</v>
      </c>
      <c r="K145" s="75"/>
      <c r="L145" s="75"/>
      <c r="M145" s="75"/>
      <c r="N145" s="75"/>
    </row>
    <row r="146" spans="1:14" s="11" customFormat="1" ht="13.5" thickBot="1">
      <c r="A146" s="472"/>
      <c r="B146" s="475"/>
      <c r="C146" s="539"/>
      <c r="D146" s="373">
        <f t="shared" si="13"/>
        <v>197</v>
      </c>
      <c r="E146" s="80">
        <v>872.26</v>
      </c>
      <c r="F146" s="474">
        <f t="shared" si="12"/>
        <v>171835.22</v>
      </c>
      <c r="G146" s="391">
        <v>1000.86</v>
      </c>
      <c r="H146" s="541">
        <v>-257.18</v>
      </c>
      <c r="I146" s="12">
        <f t="shared" ref="I146:I148" si="14">I145+H146</f>
        <v>188373.14761900002</v>
      </c>
      <c r="K146" s="75"/>
      <c r="L146" s="75"/>
      <c r="M146" s="75"/>
      <c r="N146" s="75"/>
    </row>
    <row r="147" spans="1:14" s="11" customFormat="1" ht="13.5" thickBot="1">
      <c r="A147" s="96">
        <v>45818</v>
      </c>
      <c r="B147" s="475" t="s">
        <v>1828</v>
      </c>
      <c r="C147" s="538">
        <v>-20</v>
      </c>
      <c r="D147" s="373">
        <f t="shared" si="13"/>
        <v>177</v>
      </c>
      <c r="E147" s="80">
        <v>872.26</v>
      </c>
      <c r="F147" s="474">
        <f t="shared" si="12"/>
        <v>154390.01999999999</v>
      </c>
      <c r="G147" s="391">
        <v>1043.4576589999999</v>
      </c>
      <c r="H147" s="541">
        <f>G147*C147</f>
        <v>-20869.153179999998</v>
      </c>
      <c r="I147" s="12">
        <f t="shared" si="14"/>
        <v>167503.99443900003</v>
      </c>
      <c r="K147" s="75"/>
      <c r="L147" s="75"/>
      <c r="M147" s="75"/>
      <c r="N147" s="75"/>
    </row>
    <row r="148" spans="1:14" s="11" customFormat="1" ht="13.5" thickBot="1">
      <c r="A148" s="96"/>
      <c r="B148" s="79"/>
      <c r="C148" s="538"/>
      <c r="D148" s="373">
        <f t="shared" si="13"/>
        <v>177</v>
      </c>
      <c r="E148" s="80">
        <v>872.26</v>
      </c>
      <c r="F148" s="474">
        <f t="shared" si="12"/>
        <v>154390.01999999999</v>
      </c>
      <c r="G148" s="391">
        <v>1043.4576589999999</v>
      </c>
      <c r="H148" s="373">
        <v>-342.39</v>
      </c>
      <c r="I148" s="12">
        <f t="shared" si="14"/>
        <v>167161.60443900002</v>
      </c>
      <c r="K148" s="75"/>
      <c r="L148" s="75"/>
      <c r="M148" s="75"/>
      <c r="N148" s="75"/>
    </row>
    <row r="149" spans="1:14" s="11" customFormat="1" ht="13.5" thickBot="1">
      <c r="A149" s="96">
        <v>45838</v>
      </c>
      <c r="B149" s="475" t="s">
        <v>1829</v>
      </c>
      <c r="C149" s="377">
        <v>-19</v>
      </c>
      <c r="D149" s="87">
        <f t="shared" ref="D149:D150" si="15">D148+C149</f>
        <v>158</v>
      </c>
      <c r="E149" s="80">
        <v>872.26</v>
      </c>
      <c r="F149" s="474">
        <f t="shared" ref="F149:F150" si="16">E149*D149</f>
        <v>137817.07999999999</v>
      </c>
      <c r="G149" s="391">
        <v>1069.852729</v>
      </c>
      <c r="H149" s="136">
        <f>G149*C149</f>
        <v>-20327.201850999998</v>
      </c>
      <c r="I149" s="12">
        <f t="shared" ref="I149:I150" si="17">I148+H149</f>
        <v>146834.40258800003</v>
      </c>
      <c r="K149" s="75"/>
      <c r="L149" s="75"/>
      <c r="M149" s="75"/>
      <c r="N149" s="75"/>
    </row>
    <row r="150" spans="1:14" s="11" customFormat="1" ht="13.5" thickBot="1">
      <c r="A150" s="96"/>
      <c r="B150" s="79"/>
      <c r="C150" s="377"/>
      <c r="D150" s="87">
        <f t="shared" si="15"/>
        <v>158</v>
      </c>
      <c r="E150" s="80">
        <v>872.26</v>
      </c>
      <c r="F150" s="474">
        <f t="shared" si="16"/>
        <v>137817.07999999999</v>
      </c>
      <c r="G150" s="391">
        <v>1080</v>
      </c>
      <c r="H150" s="87"/>
      <c r="I150" s="12">
        <f t="shared" si="17"/>
        <v>146834.40258800003</v>
      </c>
      <c r="K150" s="75"/>
      <c r="L150" s="75"/>
      <c r="M150" s="75"/>
      <c r="N150" s="75"/>
    </row>
    <row r="151" spans="1:14" s="11" customFormat="1" ht="13.5" thickBot="1">
      <c r="A151" s="96"/>
      <c r="B151" s="475" t="s">
        <v>1830</v>
      </c>
      <c r="C151" s="377">
        <v>-20</v>
      </c>
      <c r="D151" s="87">
        <f t="shared" ref="D151:D162" si="18">D150+C151</f>
        <v>138</v>
      </c>
      <c r="E151" s="80">
        <v>872.26</v>
      </c>
      <c r="F151" s="474">
        <f t="shared" ref="F151:F162" si="19">E151*D151</f>
        <v>120371.88</v>
      </c>
      <c r="G151" s="391">
        <v>1120</v>
      </c>
      <c r="H151" s="136">
        <f>G151*C151</f>
        <v>-22400</v>
      </c>
      <c r="I151" s="12">
        <f t="shared" ref="I151:I162" si="20">I150+H151</f>
        <v>124434.40258800003</v>
      </c>
      <c r="K151" s="75"/>
      <c r="L151" s="75"/>
      <c r="M151" s="75"/>
      <c r="N151" s="75"/>
    </row>
    <row r="152" spans="1:14" s="11" customFormat="1" ht="13.5" thickBot="1">
      <c r="A152" s="96"/>
      <c r="B152" s="79"/>
      <c r="C152" s="377"/>
      <c r="D152" s="87">
        <f t="shared" si="18"/>
        <v>138</v>
      </c>
      <c r="E152" s="80">
        <v>872.26</v>
      </c>
      <c r="F152" s="474">
        <f t="shared" si="19"/>
        <v>120371.88</v>
      </c>
      <c r="G152" s="391">
        <v>1120</v>
      </c>
      <c r="H152" s="87"/>
      <c r="I152" s="12">
        <f t="shared" si="20"/>
        <v>124434.40258800003</v>
      </c>
      <c r="K152" s="75"/>
      <c r="L152" s="75"/>
      <c r="M152" s="75"/>
      <c r="N152" s="75"/>
    </row>
    <row r="153" spans="1:14" s="11" customFormat="1" ht="13.5" thickBot="1">
      <c r="A153" s="96"/>
      <c r="B153" s="475" t="s">
        <v>1831</v>
      </c>
      <c r="C153" s="377">
        <v>-20</v>
      </c>
      <c r="D153" s="87">
        <f t="shared" si="18"/>
        <v>118</v>
      </c>
      <c r="E153" s="80">
        <v>872.26</v>
      </c>
      <c r="F153" s="474">
        <f t="shared" si="19"/>
        <v>102926.68</v>
      </c>
      <c r="G153" s="391">
        <v>1160</v>
      </c>
      <c r="H153" s="136">
        <f>G153*C153</f>
        <v>-23200</v>
      </c>
      <c r="I153" s="12">
        <f t="shared" si="20"/>
        <v>101234.40258800003</v>
      </c>
      <c r="K153" s="75"/>
      <c r="L153" s="75"/>
      <c r="M153" s="75"/>
      <c r="N153" s="75"/>
    </row>
    <row r="154" spans="1:14" s="11" customFormat="1" ht="13.5" thickBot="1">
      <c r="A154" s="96"/>
      <c r="B154" s="79"/>
      <c r="C154" s="377"/>
      <c r="D154" s="87">
        <f t="shared" si="18"/>
        <v>118</v>
      </c>
      <c r="E154" s="80">
        <v>872.26</v>
      </c>
      <c r="F154" s="474">
        <f t="shared" si="19"/>
        <v>102926.68</v>
      </c>
      <c r="G154" s="391">
        <v>1160</v>
      </c>
      <c r="H154" s="87"/>
      <c r="I154" s="12">
        <f t="shared" si="20"/>
        <v>101234.40258800003</v>
      </c>
      <c r="K154" s="75"/>
      <c r="L154" s="75"/>
      <c r="M154" s="75"/>
      <c r="N154" s="75"/>
    </row>
    <row r="155" spans="1:14" s="11" customFormat="1" ht="13.5" thickBot="1">
      <c r="A155" s="96"/>
      <c r="B155" s="475" t="s">
        <v>1832</v>
      </c>
      <c r="C155" s="377">
        <v>-17</v>
      </c>
      <c r="D155" s="87">
        <f t="shared" si="18"/>
        <v>101</v>
      </c>
      <c r="E155" s="80">
        <v>872.26</v>
      </c>
      <c r="F155" s="474">
        <f t="shared" si="19"/>
        <v>88098.26</v>
      </c>
      <c r="G155" s="391">
        <v>1200</v>
      </c>
      <c r="H155" s="136">
        <f>G155*C155</f>
        <v>-20400</v>
      </c>
      <c r="I155" s="12">
        <f t="shared" si="20"/>
        <v>80834.402588000026</v>
      </c>
      <c r="K155" s="75"/>
      <c r="L155" s="75"/>
      <c r="M155" s="75"/>
      <c r="N155" s="75"/>
    </row>
    <row r="156" spans="1:14" s="11" customFormat="1" ht="13.5" thickBot="1">
      <c r="A156" s="96"/>
      <c r="B156" s="79"/>
      <c r="C156" s="377"/>
      <c r="D156" s="87">
        <f t="shared" si="18"/>
        <v>101</v>
      </c>
      <c r="E156" s="80">
        <v>872.26</v>
      </c>
      <c r="F156" s="474">
        <f t="shared" si="19"/>
        <v>88098.26</v>
      </c>
      <c r="G156" s="391">
        <v>1200</v>
      </c>
      <c r="H156" s="87"/>
      <c r="I156" s="12">
        <f t="shared" si="20"/>
        <v>80834.402588000026</v>
      </c>
      <c r="K156" s="75"/>
      <c r="L156" s="75"/>
      <c r="M156" s="75"/>
      <c r="N156" s="75"/>
    </row>
    <row r="157" spans="1:14" s="11" customFormat="1" ht="13.5" thickBot="1">
      <c r="A157" s="96"/>
      <c r="B157" s="475" t="s">
        <v>1833</v>
      </c>
      <c r="C157" s="377">
        <v>-20</v>
      </c>
      <c r="D157" s="87">
        <f t="shared" si="18"/>
        <v>81</v>
      </c>
      <c r="E157" s="80">
        <v>872.26</v>
      </c>
      <c r="F157" s="474">
        <f t="shared" si="19"/>
        <v>70653.06</v>
      </c>
      <c r="G157" s="391">
        <v>1240</v>
      </c>
      <c r="H157" s="136">
        <f>G157*C157</f>
        <v>-24800</v>
      </c>
      <c r="I157" s="12">
        <f t="shared" si="20"/>
        <v>56034.402588000026</v>
      </c>
      <c r="K157" s="75"/>
      <c r="L157" s="75"/>
      <c r="M157" s="75"/>
      <c r="N157" s="75"/>
    </row>
    <row r="158" spans="1:14" s="11" customFormat="1" ht="13.5" thickBot="1">
      <c r="A158" s="96"/>
      <c r="B158" s="79"/>
      <c r="C158" s="377"/>
      <c r="D158" s="87">
        <f t="shared" si="18"/>
        <v>81</v>
      </c>
      <c r="E158" s="80">
        <v>872.26</v>
      </c>
      <c r="F158" s="474">
        <f t="shared" si="19"/>
        <v>70653.06</v>
      </c>
      <c r="G158" s="391">
        <v>1240</v>
      </c>
      <c r="H158" s="87"/>
      <c r="I158" s="12">
        <f t="shared" si="20"/>
        <v>56034.402588000026</v>
      </c>
      <c r="K158" s="75"/>
      <c r="L158" s="75"/>
      <c r="M158" s="75"/>
      <c r="N158" s="75"/>
    </row>
    <row r="159" spans="1:14" s="11" customFormat="1" ht="13.5" thickBot="1">
      <c r="A159" s="96"/>
      <c r="B159" s="475" t="s">
        <v>1834</v>
      </c>
      <c r="C159" s="377">
        <v>-20</v>
      </c>
      <c r="D159" s="87">
        <f t="shared" si="18"/>
        <v>61</v>
      </c>
      <c r="E159" s="80">
        <v>872.26</v>
      </c>
      <c r="F159" s="474">
        <f t="shared" si="19"/>
        <v>53207.86</v>
      </c>
      <c r="G159" s="391">
        <v>1280</v>
      </c>
      <c r="H159" s="136">
        <f>G159*C159</f>
        <v>-25600</v>
      </c>
      <c r="I159" s="12">
        <f t="shared" si="20"/>
        <v>30434.402588000026</v>
      </c>
      <c r="K159" s="75"/>
      <c r="L159" s="75"/>
      <c r="M159" s="75"/>
      <c r="N159" s="75"/>
    </row>
    <row r="160" spans="1:14" s="11" customFormat="1" ht="13.5" thickBot="1">
      <c r="A160" s="96"/>
      <c r="B160" s="79"/>
      <c r="C160" s="377"/>
      <c r="D160" s="87">
        <f t="shared" si="18"/>
        <v>61</v>
      </c>
      <c r="E160" s="80">
        <v>872.26</v>
      </c>
      <c r="F160" s="474">
        <f t="shared" si="19"/>
        <v>53207.86</v>
      </c>
      <c r="G160" s="391">
        <v>1280</v>
      </c>
      <c r="H160" s="87"/>
      <c r="I160" s="12">
        <f t="shared" si="20"/>
        <v>30434.402588000026</v>
      </c>
      <c r="K160" s="75"/>
      <c r="L160" s="75"/>
      <c r="M160" s="75"/>
      <c r="N160" s="75"/>
    </row>
    <row r="161" spans="1:14" s="11" customFormat="1" ht="13.5" thickBot="1">
      <c r="A161" s="96"/>
      <c r="B161" s="475" t="s">
        <v>1835</v>
      </c>
      <c r="C161" s="377">
        <v>-20</v>
      </c>
      <c r="D161" s="87">
        <f t="shared" si="18"/>
        <v>41</v>
      </c>
      <c r="E161" s="80">
        <v>872.26</v>
      </c>
      <c r="F161" s="474">
        <f t="shared" si="19"/>
        <v>35762.659999999996</v>
      </c>
      <c r="G161" s="391">
        <v>1300</v>
      </c>
      <c r="H161" s="136">
        <f>G161*C161</f>
        <v>-26000</v>
      </c>
      <c r="I161" s="12">
        <f t="shared" si="20"/>
        <v>4434.4025880000263</v>
      </c>
      <c r="K161" s="75"/>
      <c r="L161" s="75"/>
      <c r="M161" s="75"/>
      <c r="N161" s="75"/>
    </row>
    <row r="162" spans="1:14" s="11" customFormat="1" ht="13.5" thickBot="1">
      <c r="A162" s="96"/>
      <c r="B162" s="79"/>
      <c r="C162" s="377"/>
      <c r="D162" s="87">
        <f t="shared" si="18"/>
        <v>41</v>
      </c>
      <c r="E162" s="80">
        <v>872.26</v>
      </c>
      <c r="F162" s="474">
        <f t="shared" si="19"/>
        <v>35762.659999999996</v>
      </c>
      <c r="G162" s="391">
        <v>1300</v>
      </c>
      <c r="H162" s="87"/>
      <c r="I162" s="12">
        <f t="shared" si="20"/>
        <v>4434.4025880000263</v>
      </c>
      <c r="K162" s="75"/>
      <c r="L162" s="75"/>
      <c r="M162" s="75"/>
      <c r="N162" s="75"/>
    </row>
    <row r="163" spans="1:14" s="11" customFormat="1" ht="13.5" thickBot="1">
      <c r="A163" s="96"/>
      <c r="B163" s="475" t="s">
        <v>1836</v>
      </c>
      <c r="C163" s="377">
        <v>-20</v>
      </c>
      <c r="D163" s="87">
        <f t="shared" ref="D163:D166" si="21">D162+C163</f>
        <v>21</v>
      </c>
      <c r="E163" s="80">
        <v>872.26</v>
      </c>
      <c r="F163" s="474">
        <f t="shared" ref="F163:F166" si="22">E163*D163</f>
        <v>18317.46</v>
      </c>
      <c r="G163" s="391">
        <v>1330</v>
      </c>
      <c r="H163" s="136">
        <f>G163*C163</f>
        <v>-26600</v>
      </c>
      <c r="I163" s="12">
        <f t="shared" ref="I163:I166" si="23">I162+H163</f>
        <v>-22165.597411999974</v>
      </c>
      <c r="K163" s="75"/>
      <c r="L163" s="75"/>
      <c r="M163" s="75"/>
      <c r="N163" s="75"/>
    </row>
    <row r="164" spans="1:14" s="11" customFormat="1" ht="13.5" thickBot="1">
      <c r="A164" s="96"/>
      <c r="B164" s="79"/>
      <c r="C164" s="377"/>
      <c r="D164" s="87">
        <f t="shared" si="21"/>
        <v>21</v>
      </c>
      <c r="E164" s="80">
        <v>872.26</v>
      </c>
      <c r="F164" s="474">
        <f t="shared" si="22"/>
        <v>18317.46</v>
      </c>
      <c r="G164" s="391">
        <v>1330</v>
      </c>
      <c r="H164" s="87"/>
      <c r="I164" s="12">
        <f t="shared" si="23"/>
        <v>-22165.597411999974</v>
      </c>
      <c r="K164" s="75"/>
      <c r="L164" s="75"/>
      <c r="M164" s="75"/>
      <c r="N164" s="75"/>
    </row>
    <row r="165" spans="1:14" s="11" customFormat="1" ht="13.5" thickBot="1">
      <c r="A165" s="96"/>
      <c r="B165" s="475" t="s">
        <v>1837</v>
      </c>
      <c r="C165" s="377">
        <v>-20</v>
      </c>
      <c r="D165" s="87">
        <f t="shared" si="21"/>
        <v>1</v>
      </c>
      <c r="E165" s="80">
        <v>872.26</v>
      </c>
      <c r="F165" s="474">
        <f t="shared" si="22"/>
        <v>872.26</v>
      </c>
      <c r="G165" s="391">
        <v>1360</v>
      </c>
      <c r="H165" s="136">
        <f>G165*C165</f>
        <v>-27200</v>
      </c>
      <c r="I165" s="12">
        <f t="shared" si="23"/>
        <v>-49365.597411999974</v>
      </c>
      <c r="K165" s="75"/>
      <c r="L165" s="75"/>
      <c r="M165" s="75"/>
      <c r="N165" s="75"/>
    </row>
    <row r="166" spans="1:14" s="11" customFormat="1">
      <c r="A166" s="96"/>
      <c r="B166" s="79"/>
      <c r="C166" s="377"/>
      <c r="D166" s="87">
        <f t="shared" si="21"/>
        <v>1</v>
      </c>
      <c r="E166" s="80">
        <v>872.26</v>
      </c>
      <c r="F166" s="474">
        <f t="shared" si="22"/>
        <v>872.26</v>
      </c>
      <c r="G166" s="391">
        <v>1360</v>
      </c>
      <c r="H166" s="87"/>
      <c r="I166" s="12">
        <f t="shared" si="23"/>
        <v>-49365.597411999974</v>
      </c>
      <c r="K166" s="75"/>
      <c r="L166" s="75"/>
      <c r="M166" s="75"/>
      <c r="N166" s="75"/>
    </row>
    <row r="167" spans="1:14" s="11" customFormat="1">
      <c r="A167" s="96"/>
      <c r="B167" s="79"/>
      <c r="C167" s="377"/>
      <c r="D167" s="87"/>
      <c r="E167" s="80"/>
      <c r="F167" s="474"/>
      <c r="G167" s="391"/>
      <c r="H167" s="87"/>
      <c r="I167" s="12"/>
      <c r="K167" s="75"/>
      <c r="L167" s="75"/>
      <c r="M167" s="75"/>
      <c r="N167" s="75"/>
    </row>
    <row r="168" spans="1:14" s="11" customFormat="1">
      <c r="A168" s="523"/>
      <c r="B168" s="454"/>
      <c r="C168" s="524"/>
      <c r="D168" s="525"/>
      <c r="E168" s="393"/>
      <c r="F168" s="397"/>
      <c r="G168" s="525"/>
      <c r="H168" s="526">
        <f>SUM(H143:H167)</f>
        <v>-278534.204478</v>
      </c>
      <c r="I168" s="428"/>
      <c r="K168" s="75"/>
      <c r="L168" s="75"/>
      <c r="M168" s="75"/>
      <c r="N168" s="75"/>
    </row>
    <row r="169" spans="1:14">
      <c r="A169" s="527"/>
      <c r="B169" s="395"/>
      <c r="C169" s="396"/>
      <c r="D169" s="393"/>
      <c r="E169" s="393"/>
      <c r="F169" s="393"/>
      <c r="G169" s="393"/>
      <c r="H169" s="397"/>
      <c r="I169" s="87"/>
      <c r="J169" s="11"/>
    </row>
    <row r="170" spans="1:14">
      <c r="A170" s="96"/>
      <c r="B170" s="87" t="s">
        <v>1860</v>
      </c>
      <c r="C170" s="426"/>
      <c r="D170" s="427"/>
      <c r="E170" s="393"/>
      <c r="F170" s="393"/>
      <c r="G170" s="397"/>
      <c r="H170" s="87"/>
      <c r="I170" s="87"/>
      <c r="J170" s="11"/>
    </row>
    <row r="171" spans="1:14">
      <c r="A171" s="94"/>
      <c r="B171" s="11"/>
      <c r="C171" s="11"/>
      <c r="D171" s="87"/>
      <c r="E171" s="87"/>
      <c r="F171" s="87"/>
      <c r="G171" s="87"/>
      <c r="H171" s="87"/>
      <c r="I171" s="11"/>
      <c r="J171" s="11"/>
    </row>
    <row r="172" spans="1:14">
      <c r="A172" s="94"/>
      <c r="B172" s="11"/>
      <c r="C172" s="11"/>
      <c r="D172" s="87"/>
      <c r="E172" s="87"/>
      <c r="F172" s="87"/>
      <c r="G172" s="87"/>
      <c r="H172" s="87"/>
      <c r="I172" s="11"/>
      <c r="J172" s="11"/>
    </row>
    <row r="173" spans="1:14">
      <c r="A173" s="94"/>
      <c r="B173" s="11"/>
      <c r="C173" s="11"/>
      <c r="D173" s="87"/>
      <c r="E173" s="87"/>
      <c r="F173" s="87"/>
      <c r="G173" s="87"/>
      <c r="H173" s="87"/>
      <c r="I173" s="11"/>
      <c r="J173" s="11"/>
    </row>
    <row r="174" spans="1:14">
      <c r="A174" s="94"/>
      <c r="B174" s="11"/>
      <c r="C174" s="11"/>
      <c r="D174" s="87"/>
      <c r="E174" s="87"/>
      <c r="F174" s="87"/>
      <c r="G174" s="87"/>
      <c r="H174" s="87"/>
      <c r="I174" s="11"/>
      <c r="J174" s="11"/>
    </row>
    <row r="175" spans="1:14">
      <c r="A175" s="94"/>
      <c r="B175" s="11"/>
      <c r="C175" s="11"/>
      <c r="D175" s="87"/>
      <c r="E175" s="87"/>
      <c r="F175" s="87"/>
      <c r="G175" s="87"/>
      <c r="H175" s="87"/>
      <c r="I175" s="11"/>
      <c r="J175" s="11"/>
    </row>
    <row r="176" spans="1:14">
      <c r="A176" s="94"/>
      <c r="B176" s="11"/>
      <c r="C176" s="11"/>
      <c r="D176" s="87"/>
      <c r="E176" s="87"/>
      <c r="F176" s="87"/>
      <c r="G176" s="87"/>
      <c r="H176" s="87"/>
      <c r="I176" s="11"/>
      <c r="J176" s="11"/>
    </row>
    <row r="177" spans="1:10">
      <c r="A177" s="94"/>
      <c r="B177" s="11"/>
      <c r="C177" s="11"/>
      <c r="D177" s="87"/>
      <c r="E177" s="87"/>
      <c r="F177" s="87"/>
      <c r="G177" s="87"/>
      <c r="H177" s="87"/>
      <c r="I177" s="11"/>
      <c r="J177" s="11"/>
    </row>
    <row r="178" spans="1:10">
      <c r="A178" s="94"/>
      <c r="B178" s="11"/>
      <c r="C178" s="11"/>
      <c r="D178" s="87"/>
      <c r="E178" s="87"/>
      <c r="F178" s="87"/>
      <c r="G178" s="87"/>
      <c r="H178" s="87"/>
      <c r="I178" s="11"/>
      <c r="J178" s="11"/>
    </row>
    <row r="179" spans="1:10">
      <c r="A179" s="94"/>
      <c r="B179" s="11"/>
      <c r="C179" s="11"/>
      <c r="D179" s="87"/>
      <c r="E179" s="87"/>
      <c r="F179" s="87"/>
      <c r="G179" s="87"/>
      <c r="H179" s="87"/>
      <c r="I179" s="11"/>
      <c r="J179" s="11"/>
    </row>
    <row r="180" spans="1:10">
      <c r="A180" s="94"/>
      <c r="B180" s="11"/>
      <c r="C180" s="11"/>
      <c r="D180" s="87"/>
      <c r="E180" s="87"/>
      <c r="F180" s="87"/>
      <c r="G180" s="87"/>
      <c r="H180" s="87"/>
      <c r="I180" s="11"/>
      <c r="J180" s="11"/>
    </row>
    <row r="181" spans="1:10">
      <c r="A181" s="94"/>
      <c r="B181" s="11"/>
      <c r="C181" s="11"/>
      <c r="D181" s="87"/>
      <c r="E181" s="87"/>
      <c r="F181" s="87"/>
      <c r="G181" s="87"/>
      <c r="H181" s="87"/>
      <c r="I181" s="11"/>
      <c r="J181" s="11"/>
    </row>
    <row r="182" spans="1:10">
      <c r="A182" s="94"/>
      <c r="B182" s="11"/>
      <c r="C182" s="11"/>
      <c r="D182" s="87"/>
      <c r="E182" s="87"/>
      <c r="F182" s="87"/>
      <c r="G182" s="87"/>
      <c r="H182" s="87"/>
      <c r="I182" s="11"/>
      <c r="J182" s="11"/>
    </row>
  </sheetData>
  <conditionalFormatting sqref="F111:F113">
    <cfRule type="cellIs" dxfId="71" priority="12" operator="lessThan">
      <formula>D111</formula>
    </cfRule>
  </conditionalFormatting>
  <conditionalFormatting sqref="F106:F108">
    <cfRule type="cellIs" dxfId="70" priority="13" operator="lessThan">
      <formula>D106</formula>
    </cfRule>
  </conditionalFormatting>
  <conditionalFormatting sqref="F101">
    <cfRule type="cellIs" dxfId="69" priority="14" operator="lessThan">
      <formula>D101</formula>
    </cfRule>
  </conditionalFormatting>
  <conditionalFormatting sqref="F100">
    <cfRule type="cellIs" dxfId="68" priority="15" operator="lessThan">
      <formula>D100</formula>
    </cfRule>
  </conditionalFormatting>
  <conditionalFormatting sqref="F126">
    <cfRule type="cellIs" dxfId="67" priority="11" operator="lessThan">
      <formula>D126</formula>
    </cfRule>
  </conditionalFormatting>
  <conditionalFormatting sqref="F128">
    <cfRule type="cellIs" dxfId="66" priority="10" operator="lessThan">
      <formula>D128</formula>
    </cfRule>
  </conditionalFormatting>
  <conditionalFormatting sqref="F99">
    <cfRule type="cellIs" dxfId="65" priority="9" operator="lessThan">
      <formula>D99</formula>
    </cfRule>
  </conditionalFormatting>
  <conditionalFormatting sqref="F125">
    <cfRule type="cellIs" dxfId="64" priority="8" operator="lessThan">
      <formula>D125</formula>
    </cfRule>
  </conditionalFormatting>
  <conditionalFormatting sqref="F105">
    <cfRule type="cellIs" dxfId="63" priority="7" operator="lessThan">
      <formula>D105</formula>
    </cfRule>
  </conditionalFormatting>
  <conditionalFormatting sqref="F102">
    <cfRule type="cellIs" dxfId="62" priority="4" operator="lessThan">
      <formula>D102</formula>
    </cfRule>
  </conditionalFormatting>
  <conditionalFormatting sqref="F129">
    <cfRule type="cellIs" dxfId="61" priority="3" operator="lessThan">
      <formula>D129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1:N172"/>
  <sheetViews>
    <sheetView topLeftCell="A125" zoomScale="175" zoomScaleNormal="175" workbookViewId="0">
      <selection activeCell="G140" sqref="G140:I140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10" max="10" width="9.140625" bestFit="1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3" t="s">
        <v>87</v>
      </c>
      <c r="C2" s="76" t="s">
        <v>59</v>
      </c>
      <c r="D2" s="74">
        <f>SUM(D4:D25)</f>
        <v>15000</v>
      </c>
      <c r="E2" s="74">
        <f>SUM(E4:E25)</f>
        <v>-59780.37</v>
      </c>
      <c r="F2" s="74">
        <f>SUM(F4:F25)</f>
        <v>19054.879999999997</v>
      </c>
      <c r="G2" s="74">
        <f>SUM(G4:G25)</f>
        <v>-60755.16</v>
      </c>
      <c r="H2" s="74">
        <f>F2+G2</f>
        <v>-41700.280000000006</v>
      </c>
    </row>
    <row r="3" spans="1:14">
      <c r="B3" s="15"/>
    </row>
    <row r="4" spans="1:14">
      <c r="B4" s="38"/>
      <c r="H4" s="74">
        <f t="shared" ref="H4:H14" si="0">H3+F4+G4</f>
        <v>0</v>
      </c>
    </row>
    <row r="5" spans="1:14">
      <c r="B5" s="38"/>
      <c r="C5" s="8"/>
      <c r="D5" s="84"/>
      <c r="E5" s="84"/>
      <c r="F5" s="84"/>
      <c r="G5" s="84"/>
      <c r="H5" s="84">
        <f t="shared" si="0"/>
        <v>0</v>
      </c>
    </row>
    <row r="6" spans="1:14">
      <c r="A6" s="399">
        <v>45749</v>
      </c>
      <c r="B6" s="379" t="s">
        <v>62</v>
      </c>
      <c r="C6" s="379"/>
      <c r="D6" s="376"/>
      <c r="E6" s="376">
        <v>-2117.06</v>
      </c>
      <c r="F6" s="84"/>
      <c r="G6" s="84">
        <v>-2116.98</v>
      </c>
      <c r="H6" s="84">
        <f t="shared" si="0"/>
        <v>-2116.98</v>
      </c>
    </row>
    <row r="7" spans="1:14">
      <c r="A7" s="378">
        <v>45782</v>
      </c>
      <c r="B7" s="381" t="s">
        <v>60</v>
      </c>
      <c r="C7" s="380"/>
      <c r="D7" s="376"/>
      <c r="E7" s="376">
        <f>E31</f>
        <v>-7461.47</v>
      </c>
      <c r="F7" s="84"/>
      <c r="G7" s="84">
        <f>E7</f>
        <v>-7461.47</v>
      </c>
      <c r="H7" s="84">
        <f t="shared" si="0"/>
        <v>-9578.4500000000007</v>
      </c>
    </row>
    <row r="8" spans="1:14" s="11" customFormat="1">
      <c r="A8" s="378">
        <v>45782</v>
      </c>
      <c r="B8" s="381" t="s">
        <v>1787</v>
      </c>
      <c r="C8" s="380">
        <v>24.09</v>
      </c>
      <c r="D8" s="376"/>
      <c r="E8" s="376">
        <f>E32</f>
        <v>0</v>
      </c>
      <c r="F8" s="84"/>
      <c r="G8" s="84">
        <v>-1064.8699999999999</v>
      </c>
      <c r="H8" s="84">
        <f t="shared" si="0"/>
        <v>-10643.32</v>
      </c>
      <c r="K8" s="75"/>
      <c r="L8" s="75"/>
      <c r="M8" s="75"/>
      <c r="N8" s="75"/>
    </row>
    <row r="9" spans="1:14">
      <c r="A9" s="521">
        <v>45782</v>
      </c>
      <c r="B9" s="381" t="s">
        <v>61</v>
      </c>
      <c r="C9" s="380"/>
      <c r="D9" s="376"/>
      <c r="E9" s="376">
        <f>E56</f>
        <v>-8801.84</v>
      </c>
      <c r="F9" s="84"/>
      <c r="G9" s="84">
        <f>E9</f>
        <v>-8801.84</v>
      </c>
      <c r="H9" s="84">
        <f t="shared" si="0"/>
        <v>-19445.16</v>
      </c>
      <c r="I9" s="75"/>
    </row>
    <row r="10" spans="1:14">
      <c r="A10" s="522">
        <v>45786</v>
      </c>
      <c r="B10" s="379" t="s">
        <v>1586</v>
      </c>
      <c r="C10" s="379"/>
      <c r="D10" s="376"/>
      <c r="E10" s="376">
        <v>-17500</v>
      </c>
      <c r="F10" s="84"/>
      <c r="G10" s="84">
        <v>-17500</v>
      </c>
      <c r="H10" s="84">
        <f t="shared" si="0"/>
        <v>-36945.160000000003</v>
      </c>
    </row>
    <row r="11" spans="1:14">
      <c r="A11" s="380"/>
      <c r="B11" s="381" t="s">
        <v>64</v>
      </c>
      <c r="C11" s="380"/>
      <c r="D11" s="376"/>
      <c r="E11" s="376">
        <v>0</v>
      </c>
      <c r="F11" s="84"/>
      <c r="G11" s="84"/>
      <c r="H11" s="84">
        <f t="shared" si="0"/>
        <v>-36945.160000000003</v>
      </c>
    </row>
    <row r="12" spans="1:14" s="75" customFormat="1">
      <c r="A12" s="378">
        <v>45797</v>
      </c>
      <c r="B12" s="398" t="s">
        <v>65</v>
      </c>
      <c r="C12" s="376">
        <v>1604.97</v>
      </c>
      <c r="D12" s="376" t="s">
        <v>315</v>
      </c>
      <c r="E12" s="376">
        <v>-1000</v>
      </c>
      <c r="F12" s="84"/>
      <c r="G12" s="84">
        <v>-1265</v>
      </c>
      <c r="H12" s="84">
        <f t="shared" si="0"/>
        <v>-38210.160000000003</v>
      </c>
    </row>
    <row r="13" spans="1:14" s="75" customFormat="1">
      <c r="A13" s="378">
        <v>45797</v>
      </c>
      <c r="B13" s="398" t="s">
        <v>66</v>
      </c>
      <c r="C13" s="398">
        <v>47.55</v>
      </c>
      <c r="D13" s="376" t="s">
        <v>315</v>
      </c>
      <c r="E13" s="376">
        <v>-200</v>
      </c>
      <c r="F13" s="84"/>
      <c r="G13" s="84">
        <v>-35</v>
      </c>
      <c r="H13" s="84">
        <f t="shared" si="0"/>
        <v>-38245.160000000003</v>
      </c>
    </row>
    <row r="14" spans="1:14" s="75" customFormat="1">
      <c r="A14" s="378"/>
      <c r="B14" s="379" t="s">
        <v>67</v>
      </c>
      <c r="C14" s="379"/>
      <c r="D14" s="376"/>
      <c r="E14" s="376">
        <v>-200</v>
      </c>
      <c r="F14" s="84"/>
      <c r="G14" s="84"/>
      <c r="H14" s="84">
        <f t="shared" si="0"/>
        <v>-38245.160000000003</v>
      </c>
    </row>
    <row r="15" spans="1:14" s="75" customFormat="1">
      <c r="A15" s="378"/>
      <c r="B15" s="380" t="s">
        <v>68</v>
      </c>
      <c r="C15" s="380"/>
      <c r="D15" s="376">
        <v>15000</v>
      </c>
      <c r="E15" s="376"/>
      <c r="F15" s="84">
        <v>15054.88</v>
      </c>
      <c r="G15" s="84"/>
      <c r="H15" s="84">
        <f t="shared" ref="H15:H25" si="1">H14+F15+G15</f>
        <v>-23190.280000000006</v>
      </c>
      <c r="J15" s="90"/>
      <c r="K15" s="90"/>
      <c r="L15" s="91"/>
      <c r="M15" s="92"/>
    </row>
    <row r="16" spans="1:14" s="75" customFormat="1">
      <c r="A16" s="413">
        <v>45804</v>
      </c>
      <c r="B16" s="380" t="s">
        <v>69</v>
      </c>
      <c r="C16" s="380"/>
      <c r="D16" s="376"/>
      <c r="E16" s="376">
        <v>-7500</v>
      </c>
      <c r="F16" s="84"/>
      <c r="G16" s="84">
        <v>-7505</v>
      </c>
      <c r="H16" s="84">
        <f t="shared" si="1"/>
        <v>-30695.280000000006</v>
      </c>
      <c r="J16" s="90"/>
      <c r="K16" s="90"/>
      <c r="L16" s="91"/>
      <c r="M16" s="92"/>
    </row>
    <row r="17" spans="1:14" s="75" customFormat="1">
      <c r="A17" s="413">
        <v>45804</v>
      </c>
      <c r="B17" s="380" t="s">
        <v>70</v>
      </c>
      <c r="C17" s="380"/>
      <c r="D17" s="376"/>
      <c r="E17" s="376">
        <v>-7500</v>
      </c>
      <c r="F17" s="84"/>
      <c r="G17" s="84">
        <v>-7505</v>
      </c>
      <c r="H17" s="84">
        <f t="shared" si="1"/>
        <v>-38200.280000000006</v>
      </c>
      <c r="J17" s="90"/>
      <c r="K17" s="90"/>
      <c r="L17" s="91"/>
      <c r="M17" s="92"/>
    </row>
    <row r="18" spans="1:14" s="75" customFormat="1">
      <c r="A18" s="376"/>
      <c r="B18" s="380" t="s">
        <v>71</v>
      </c>
      <c r="C18" s="380"/>
      <c r="D18" s="376"/>
      <c r="E18" s="376">
        <v>-7500</v>
      </c>
      <c r="F18" s="84"/>
      <c r="G18" s="84">
        <v>-7500</v>
      </c>
      <c r="H18" s="84">
        <f t="shared" si="1"/>
        <v>-45700.280000000006</v>
      </c>
      <c r="J18" s="90"/>
      <c r="K18" s="90"/>
      <c r="L18" s="91"/>
      <c r="M18" s="92"/>
    </row>
    <row r="19" spans="1:14" s="75" customFormat="1">
      <c r="A19" s="401">
        <v>45804</v>
      </c>
      <c r="B19" s="403" t="s">
        <v>90</v>
      </c>
      <c r="C19" s="403" t="s">
        <v>1768</v>
      </c>
      <c r="D19" s="373" t="s">
        <v>1814</v>
      </c>
      <c r="E19" s="373"/>
      <c r="F19" s="74"/>
      <c r="G19" s="74"/>
      <c r="H19" s="84">
        <f t="shared" si="1"/>
        <v>-45700.280000000006</v>
      </c>
      <c r="J19" s="90"/>
      <c r="K19" s="90"/>
      <c r="L19" s="91"/>
      <c r="M19" s="92"/>
    </row>
    <row r="20" spans="1:14" s="75" customFormat="1">
      <c r="A20" s="401"/>
      <c r="B20" s="403"/>
      <c r="C20" s="403"/>
      <c r="D20" s="373"/>
      <c r="E20" s="373"/>
      <c r="F20" s="87"/>
      <c r="G20" s="87"/>
      <c r="H20" s="84">
        <f t="shared" si="1"/>
        <v>-45700.280000000006</v>
      </c>
      <c r="J20" s="90"/>
      <c r="K20" s="90"/>
      <c r="L20" s="91"/>
      <c r="M20" s="92"/>
    </row>
    <row r="21" spans="1:14" s="75" customFormat="1">
      <c r="A21" s="401">
        <v>45808</v>
      </c>
      <c r="B21" s="403" t="s">
        <v>1824</v>
      </c>
      <c r="C21" s="403"/>
      <c r="D21" s="373"/>
      <c r="E21" s="373"/>
      <c r="F21" s="87">
        <v>4000</v>
      </c>
      <c r="G21" s="87"/>
      <c r="H21" s="84">
        <f t="shared" si="1"/>
        <v>-41700.280000000006</v>
      </c>
      <c r="J21" s="90"/>
      <c r="K21" s="90"/>
      <c r="L21" s="91"/>
      <c r="M21" s="92"/>
    </row>
    <row r="22" spans="1:14" s="75" customFormat="1">
      <c r="A22" s="94"/>
      <c r="B22" s="3"/>
      <c r="C22" s="3"/>
      <c r="D22" s="74"/>
      <c r="E22" s="74"/>
      <c r="F22" s="74"/>
      <c r="G22" s="74"/>
      <c r="H22" s="84">
        <f t="shared" si="1"/>
        <v>-41700.280000000006</v>
      </c>
      <c r="J22" s="90"/>
      <c r="K22" s="90"/>
      <c r="L22" s="91"/>
      <c r="M22" s="92"/>
    </row>
    <row r="23" spans="1:14">
      <c r="A23" s="96"/>
      <c r="B23" s="97" t="s">
        <v>88</v>
      </c>
      <c r="C23" s="97"/>
      <c r="H23" s="84">
        <f t="shared" si="1"/>
        <v>-41700.280000000006</v>
      </c>
      <c r="I23" s="75"/>
      <c r="J23" s="75"/>
    </row>
    <row r="24" spans="1:14">
      <c r="A24" s="96"/>
      <c r="H24" s="84">
        <f t="shared" si="1"/>
        <v>-41700.280000000006</v>
      </c>
    </row>
    <row r="25" spans="1:14" s="75" customFormat="1">
      <c r="A25"/>
      <c r="B25"/>
      <c r="C25"/>
      <c r="D25" s="74"/>
      <c r="E25" s="74"/>
      <c r="F25" s="74"/>
      <c r="G25" s="74"/>
      <c r="H25" s="84">
        <f t="shared" si="1"/>
        <v>-41700.280000000006</v>
      </c>
      <c r="I25"/>
      <c r="J25"/>
    </row>
    <row r="26" spans="1:14" s="75" customFormat="1">
      <c r="B26" s="97"/>
      <c r="C26" s="97"/>
      <c r="D26" s="74"/>
      <c r="E26" s="74"/>
      <c r="F26" s="74"/>
      <c r="G26" s="74"/>
      <c r="H26" s="74"/>
      <c r="J26" s="90"/>
      <c r="K26" s="90"/>
      <c r="L26" s="91"/>
      <c r="M26" s="92"/>
    </row>
    <row r="27" spans="1:14" s="75" customFormat="1">
      <c r="B27" s="97"/>
      <c r="C27" s="97"/>
      <c r="D27" s="74"/>
      <c r="E27" s="74"/>
      <c r="F27" s="74"/>
      <c r="G27" s="74"/>
      <c r="H27" s="74"/>
      <c r="J27" s="90"/>
      <c r="K27" s="90"/>
      <c r="L27" s="91"/>
      <c r="M27" s="92"/>
    </row>
    <row r="28" spans="1:14" s="75" customFormat="1">
      <c r="A28" s="94"/>
      <c r="D28" s="74"/>
      <c r="E28" s="74"/>
      <c r="F28" s="74"/>
      <c r="G28" s="74"/>
      <c r="H28" s="74"/>
    </row>
    <row r="29" spans="1:14" s="74" customFormat="1">
      <c r="A29" s="85"/>
      <c r="B29" s="75"/>
      <c r="C29" s="75"/>
      <c r="I29" s="75"/>
      <c r="J29" s="75"/>
      <c r="K29" s="75"/>
      <c r="L29" s="75"/>
      <c r="M29" s="75"/>
      <c r="N29" s="75"/>
    </row>
    <row r="30" spans="1:14" s="74" customFormat="1">
      <c r="B30" s="98"/>
      <c r="I30" s="74" t="s">
        <v>1795</v>
      </c>
      <c r="K30" s="75"/>
      <c r="L30" s="75"/>
      <c r="M30" s="75"/>
      <c r="N30" s="75"/>
    </row>
    <row r="31" spans="1:14">
      <c r="A31" s="99"/>
      <c r="B31" s="100" t="s">
        <v>75</v>
      </c>
      <c r="C31" s="99"/>
      <c r="E31" s="74">
        <f>SUM(E32:E47)</f>
        <v>-7461.47</v>
      </c>
      <c r="I31" s="74">
        <v>8850</v>
      </c>
      <c r="J31" s="74" t="s">
        <v>1788</v>
      </c>
    </row>
    <row r="32" spans="1:14" s="74" customFormat="1">
      <c r="A32"/>
      <c r="B32"/>
      <c r="C32"/>
      <c r="I32" s="74">
        <v>48000</v>
      </c>
      <c r="J32" t="s">
        <v>1789</v>
      </c>
      <c r="K32" s="75"/>
      <c r="L32" s="75"/>
      <c r="M32" s="75"/>
      <c r="N32" s="75"/>
    </row>
    <row r="33" spans="1:14" s="74" customFormat="1">
      <c r="A33" s="85"/>
      <c r="I33" s="74">
        <v>6000</v>
      </c>
      <c r="J33" s="74" t="s">
        <v>1790</v>
      </c>
      <c r="K33" s="75"/>
      <c r="L33" s="75"/>
      <c r="M33" s="75"/>
      <c r="N33" s="75"/>
    </row>
    <row r="34" spans="1:14" s="74" customFormat="1">
      <c r="A34" s="85">
        <v>45715</v>
      </c>
      <c r="B34" s="87" t="s">
        <v>1628</v>
      </c>
      <c r="C34" s="87">
        <v>5938.68</v>
      </c>
      <c r="D34" s="87" t="s">
        <v>607</v>
      </c>
      <c r="E34" s="87">
        <v>-989.78</v>
      </c>
      <c r="I34" s="74">
        <v>3000</v>
      </c>
      <c r="J34" s="74" t="s">
        <v>1791</v>
      </c>
      <c r="K34" s="75"/>
      <c r="L34" s="75"/>
      <c r="M34" s="75"/>
      <c r="N34" s="75"/>
    </row>
    <row r="35" spans="1:14" s="74" customFormat="1">
      <c r="A35" s="85"/>
      <c r="I35" s="74">
        <v>5000</v>
      </c>
      <c r="J35" s="74" t="s">
        <v>1792</v>
      </c>
      <c r="K35" s="75"/>
      <c r="L35" s="75"/>
      <c r="M35" s="75"/>
      <c r="N35" s="75"/>
    </row>
    <row r="36" spans="1:14">
      <c r="A36" s="85">
        <v>45751</v>
      </c>
      <c r="B36" s="74" t="s">
        <v>121</v>
      </c>
      <c r="D36" s="74">
        <v>123984.02</v>
      </c>
      <c r="I36" s="74">
        <f>SUM(I31:I35)</f>
        <v>70850</v>
      </c>
      <c r="J36" s="74"/>
    </row>
    <row r="37" spans="1:14" s="74" customFormat="1">
      <c r="A37" s="375">
        <v>45751</v>
      </c>
      <c r="B37" t="s">
        <v>437</v>
      </c>
      <c r="C37"/>
      <c r="E37" s="74">
        <v>-672.4</v>
      </c>
      <c r="I37" s="87">
        <v>2</v>
      </c>
      <c r="J37" s="514">
        <v>0.5</v>
      </c>
      <c r="K37" s="75"/>
      <c r="L37" s="75"/>
      <c r="M37" s="75"/>
      <c r="N37" s="75"/>
    </row>
    <row r="38" spans="1:14" s="74" customFormat="1">
      <c r="A38" s="96">
        <v>45754</v>
      </c>
      <c r="B38" s="102" t="s">
        <v>1757</v>
      </c>
      <c r="C38" s="102"/>
      <c r="E38" s="74">
        <v>-3740</v>
      </c>
      <c r="I38" s="74">
        <f>I36/I37</f>
        <v>35425</v>
      </c>
      <c r="K38" s="75"/>
      <c r="L38" s="75"/>
      <c r="M38" s="75"/>
      <c r="N38" s="75"/>
    </row>
    <row r="39" spans="1:14" s="74" customFormat="1">
      <c r="A39" s="96">
        <v>45756</v>
      </c>
      <c r="B39" s="102" t="s">
        <v>1758</v>
      </c>
      <c r="C39" s="102"/>
      <c r="E39" s="74">
        <v>-390</v>
      </c>
      <c r="I39" s="74">
        <f>I38/J39</f>
        <v>5060.7142857142853</v>
      </c>
      <c r="J39" s="74">
        <v>7</v>
      </c>
      <c r="K39" s="75"/>
      <c r="L39" s="75"/>
      <c r="M39" s="75"/>
      <c r="N39" s="75"/>
    </row>
    <row r="40" spans="1:14" s="74" customFormat="1">
      <c r="A40" s="96">
        <v>45764</v>
      </c>
      <c r="B40" s="103" t="s">
        <v>1759</v>
      </c>
      <c r="C40" s="102"/>
      <c r="E40" s="74">
        <v>-138.81</v>
      </c>
      <c r="I40" s="87">
        <f>I38/J40</f>
        <v>8856.25</v>
      </c>
      <c r="J40" s="74">
        <v>4</v>
      </c>
      <c r="K40" s="75"/>
      <c r="L40" s="75"/>
      <c r="M40" s="75"/>
      <c r="N40" s="75"/>
    </row>
    <row r="41" spans="1:14" s="74" customFormat="1">
      <c r="A41" s="96">
        <v>45766</v>
      </c>
      <c r="B41" s="103" t="s">
        <v>1603</v>
      </c>
      <c r="C41" s="102"/>
      <c r="E41" s="74">
        <v>-80</v>
      </c>
      <c r="J41" s="74" t="s">
        <v>1796</v>
      </c>
      <c r="K41" s="75"/>
      <c r="L41" s="75"/>
      <c r="M41" s="75"/>
      <c r="N41" s="75"/>
    </row>
    <row r="42" spans="1:14" s="74" customFormat="1">
      <c r="A42" s="96">
        <v>45767</v>
      </c>
      <c r="B42" s="103" t="s">
        <v>1760</v>
      </c>
      <c r="E42" s="74">
        <v>-140</v>
      </c>
      <c r="K42" s="75"/>
      <c r="L42" s="75"/>
      <c r="M42" s="75"/>
      <c r="N42" s="75"/>
    </row>
    <row r="43" spans="1:14" s="74" customFormat="1">
      <c r="A43" s="96">
        <v>45770</v>
      </c>
      <c r="B43" s="103" t="s">
        <v>1761</v>
      </c>
      <c r="C43" s="102"/>
      <c r="E43" s="74">
        <v>-300</v>
      </c>
      <c r="K43" s="75"/>
      <c r="L43" s="75"/>
      <c r="M43" s="75"/>
      <c r="N43" s="75"/>
    </row>
    <row r="44" spans="1:14" s="74" customFormat="1">
      <c r="A44" s="96">
        <v>45770</v>
      </c>
      <c r="B44" s="3" t="s">
        <v>1759</v>
      </c>
      <c r="E44" s="74">
        <v>-372.15</v>
      </c>
      <c r="K44" s="75"/>
      <c r="L44" s="75"/>
      <c r="M44" s="75"/>
      <c r="N44" s="75"/>
    </row>
    <row r="45" spans="1:14" s="87" customFormat="1">
      <c r="A45" s="96">
        <v>45771</v>
      </c>
      <c r="B45" s="89" t="s">
        <v>1762</v>
      </c>
      <c r="E45" s="87">
        <v>-250</v>
      </c>
      <c r="K45" s="75"/>
      <c r="L45" s="75"/>
      <c r="M45" s="75"/>
      <c r="N45" s="75"/>
    </row>
    <row r="46" spans="1:14" s="87" customFormat="1">
      <c r="A46" s="96">
        <v>45771</v>
      </c>
      <c r="B46" s="89" t="s">
        <v>1759</v>
      </c>
      <c r="E46" s="87">
        <v>-208.33</v>
      </c>
      <c r="K46" s="75"/>
      <c r="L46" s="75"/>
      <c r="M46" s="75"/>
      <c r="N46" s="75"/>
    </row>
    <row r="47" spans="1:14" s="87" customFormat="1">
      <c r="A47" s="96">
        <v>45772</v>
      </c>
      <c r="B47" s="89" t="s">
        <v>1763</v>
      </c>
      <c r="E47" s="87">
        <v>-180</v>
      </c>
      <c r="K47" s="75"/>
      <c r="L47" s="75"/>
      <c r="M47" s="75"/>
      <c r="N47" s="75"/>
    </row>
    <row r="48" spans="1:14" s="87" customFormat="1" ht="15">
      <c r="A48" s="96"/>
      <c r="B48" s="89"/>
      <c r="E48" s="101" t="s">
        <v>76</v>
      </c>
      <c r="K48" s="75"/>
      <c r="L48" s="75"/>
      <c r="M48" s="75"/>
      <c r="N48" s="75"/>
    </row>
    <row r="49" spans="1:14" s="87" customFormat="1">
      <c r="A49" s="96"/>
      <c r="B49" s="89"/>
      <c r="C49" s="87" t="s">
        <v>799</v>
      </c>
      <c r="K49" s="75"/>
      <c r="L49" s="75"/>
      <c r="M49" s="75"/>
      <c r="N49" s="75"/>
    </row>
    <row r="50" spans="1:14" s="87" customFormat="1">
      <c r="A50" s="96">
        <v>45752</v>
      </c>
      <c r="B50" s="89" t="s">
        <v>1766</v>
      </c>
      <c r="C50" s="87">
        <v>-15.6</v>
      </c>
      <c r="K50" s="75"/>
      <c r="L50" s="75"/>
      <c r="M50" s="75"/>
      <c r="N50" s="75"/>
    </row>
    <row r="51" spans="1:14" s="87" customFormat="1">
      <c r="A51" s="96">
        <v>45752</v>
      </c>
      <c r="B51" s="89" t="s">
        <v>1767</v>
      </c>
      <c r="C51" s="87">
        <v>-8.49</v>
      </c>
      <c r="K51" s="75"/>
      <c r="L51" s="75"/>
      <c r="M51" s="75"/>
      <c r="N51" s="75"/>
    </row>
    <row r="52" spans="1:14" s="87" customFormat="1">
      <c r="A52" s="96"/>
      <c r="B52" s="89"/>
      <c r="K52" s="75"/>
      <c r="L52" s="75"/>
      <c r="M52" s="75"/>
      <c r="N52" s="75"/>
    </row>
    <row r="53" spans="1:14" s="87" customFormat="1">
      <c r="A53" s="96"/>
      <c r="B53" s="89"/>
      <c r="K53" s="75"/>
      <c r="L53" s="75"/>
      <c r="M53" s="75"/>
      <c r="N53" s="75"/>
    </row>
    <row r="54" spans="1:14" s="87" customFormat="1">
      <c r="A54" s="96"/>
      <c r="B54" s="89"/>
      <c r="K54" s="75"/>
      <c r="L54" s="75"/>
      <c r="M54" s="75"/>
      <c r="N54" s="75"/>
    </row>
    <row r="55" spans="1:14" s="74" customFormat="1">
      <c r="A55" s="96"/>
      <c r="B55" s="102"/>
      <c r="C55" s="102"/>
      <c r="K55" s="75"/>
      <c r="L55" s="75"/>
      <c r="M55" s="75"/>
      <c r="N55" s="75"/>
    </row>
    <row r="56" spans="1:14" s="74" customFormat="1">
      <c r="A56" s="99"/>
      <c r="B56" s="100" t="s">
        <v>77</v>
      </c>
      <c r="C56" s="99"/>
      <c r="E56" s="74">
        <f>SUM(E57:E82)</f>
        <v>-8801.84</v>
      </c>
      <c r="K56" s="75"/>
      <c r="L56" s="75"/>
      <c r="M56" s="75"/>
      <c r="N56" s="75"/>
    </row>
    <row r="57" spans="1:14" s="74" customFormat="1">
      <c r="A57" s="96"/>
      <c r="B57" s="102"/>
      <c r="C57" s="102"/>
      <c r="K57" s="75"/>
      <c r="L57" s="75"/>
      <c r="M57" s="75"/>
      <c r="N57" s="75"/>
    </row>
    <row r="58" spans="1:14" s="74" customFormat="1">
      <c r="A58" s="96"/>
      <c r="B58" s="102"/>
      <c r="C58" s="102"/>
      <c r="K58" s="75"/>
      <c r="L58" s="75"/>
      <c r="M58" s="75"/>
      <c r="N58" s="75"/>
    </row>
    <row r="59" spans="1:14" s="74" customFormat="1">
      <c r="K59" s="75"/>
      <c r="L59" s="75"/>
      <c r="M59" s="75"/>
      <c r="N59" s="75"/>
    </row>
    <row r="60" spans="1:14" s="74" customFormat="1">
      <c r="A60" s="94">
        <v>45728</v>
      </c>
      <c r="B60" s="87" t="s">
        <v>1678</v>
      </c>
      <c r="C60" s="11"/>
      <c r="D60" s="87" t="s">
        <v>1708</v>
      </c>
      <c r="E60" s="87">
        <v>-625</v>
      </c>
      <c r="K60" s="75"/>
      <c r="L60" s="75"/>
      <c r="M60" s="75"/>
      <c r="N60" s="75"/>
    </row>
    <row r="61" spans="1:14" s="74" customFormat="1">
      <c r="A61" s="418">
        <v>45692</v>
      </c>
      <c r="B61" s="87" t="s">
        <v>1653</v>
      </c>
      <c r="C61" s="87"/>
      <c r="D61" s="87" t="s">
        <v>946</v>
      </c>
      <c r="E61" s="87">
        <v>-600.14</v>
      </c>
      <c r="K61" s="75"/>
      <c r="L61" s="75"/>
      <c r="M61" s="75"/>
      <c r="N61" s="75"/>
    </row>
    <row r="62" spans="1:14" s="74" customFormat="1">
      <c r="A62" s="418">
        <v>45692</v>
      </c>
      <c r="B62" s="87" t="s">
        <v>1653</v>
      </c>
      <c r="C62" s="87"/>
      <c r="D62" s="87" t="s">
        <v>946</v>
      </c>
      <c r="E62" s="87">
        <v>-2500.3000000000002</v>
      </c>
      <c r="K62" s="75"/>
      <c r="L62" s="75"/>
      <c r="M62" s="75"/>
      <c r="N62" s="75"/>
    </row>
    <row r="63" spans="1:14" s="74" customFormat="1">
      <c r="A63" s="96"/>
      <c r="B63" s="3"/>
      <c r="C63" s="102"/>
      <c r="K63" s="75"/>
      <c r="L63" s="75"/>
      <c r="M63" s="75"/>
      <c r="N63" s="75"/>
    </row>
    <row r="64" spans="1:14" s="74" customFormat="1">
      <c r="A64" s="96">
        <v>45743</v>
      </c>
      <c r="B64" s="3" t="s">
        <v>121</v>
      </c>
      <c r="C64" s="102"/>
      <c r="D64" s="74">
        <v>19953.18</v>
      </c>
      <c r="K64" s="75"/>
      <c r="L64" s="75"/>
      <c r="M64" s="75"/>
      <c r="N64" s="75"/>
    </row>
    <row r="65" spans="1:14" s="74" customFormat="1">
      <c r="A65" s="96">
        <v>45744</v>
      </c>
      <c r="B65" s="3" t="s">
        <v>1773</v>
      </c>
      <c r="C65" s="102"/>
      <c r="E65" s="74">
        <v>-1300</v>
      </c>
      <c r="K65" s="75"/>
      <c r="L65" s="75"/>
      <c r="M65" s="75"/>
      <c r="N65" s="75"/>
    </row>
    <row r="66" spans="1:14" s="74" customFormat="1">
      <c r="A66" s="96">
        <v>45749</v>
      </c>
      <c r="B66" s="3"/>
      <c r="C66" s="102"/>
      <c r="E66" s="74">
        <v>-335</v>
      </c>
      <c r="K66" s="75"/>
      <c r="L66" s="75"/>
      <c r="M66" s="75"/>
      <c r="N66" s="75"/>
    </row>
    <row r="67" spans="1:14" s="74" customFormat="1">
      <c r="A67" s="96">
        <v>45750</v>
      </c>
      <c r="B67" s="3" t="s">
        <v>1774</v>
      </c>
      <c r="C67" s="102"/>
      <c r="E67" s="74">
        <v>-129.99</v>
      </c>
      <c r="K67" s="75"/>
      <c r="L67" s="75"/>
      <c r="M67" s="75"/>
      <c r="N67" s="75"/>
    </row>
    <row r="68" spans="1:14" s="74" customFormat="1">
      <c r="A68" s="96">
        <v>45756</v>
      </c>
      <c r="B68" s="3" t="s">
        <v>1776</v>
      </c>
      <c r="C68" s="102"/>
      <c r="E68" s="74">
        <v>-360</v>
      </c>
      <c r="K68" s="75"/>
      <c r="L68" s="75"/>
      <c r="M68" s="75"/>
      <c r="N68" s="75"/>
    </row>
    <row r="69" spans="1:14" s="74" customFormat="1">
      <c r="A69" s="96">
        <v>45756</v>
      </c>
      <c r="B69" s="3" t="s">
        <v>1775</v>
      </c>
      <c r="C69" s="102"/>
      <c r="E69" s="74">
        <v>-1425</v>
      </c>
      <c r="K69" s="75"/>
      <c r="L69" s="75"/>
      <c r="M69" s="75"/>
      <c r="N69" s="75"/>
    </row>
    <row r="70" spans="1:14" s="87" customFormat="1">
      <c r="A70" s="96">
        <v>45757</v>
      </c>
      <c r="B70" s="89" t="s">
        <v>1777</v>
      </c>
      <c r="C70" s="102"/>
      <c r="E70" s="87">
        <v>-120</v>
      </c>
      <c r="K70" s="75"/>
      <c r="L70" s="75"/>
      <c r="M70" s="75"/>
      <c r="N70" s="75"/>
    </row>
    <row r="71" spans="1:14" s="87" customFormat="1">
      <c r="A71" s="96">
        <v>45758</v>
      </c>
      <c r="B71" s="89" t="s">
        <v>1778</v>
      </c>
      <c r="C71" s="102"/>
      <c r="E71" s="87">
        <v>-406.41</v>
      </c>
      <c r="K71" s="75"/>
      <c r="L71" s="75"/>
      <c r="M71" s="75"/>
      <c r="N71" s="75"/>
    </row>
    <row r="72" spans="1:14" s="87" customFormat="1">
      <c r="A72" s="96">
        <v>45759</v>
      </c>
      <c r="B72" s="89" t="s">
        <v>1779</v>
      </c>
      <c r="C72" s="102"/>
      <c r="E72" s="87">
        <v>-50</v>
      </c>
      <c r="K72" s="75"/>
      <c r="L72" s="75"/>
      <c r="M72" s="75"/>
      <c r="N72" s="75"/>
    </row>
    <row r="73" spans="1:14" s="87" customFormat="1">
      <c r="A73" s="96">
        <v>45757</v>
      </c>
      <c r="B73" s="89" t="s">
        <v>1760</v>
      </c>
      <c r="C73" s="102"/>
      <c r="E73" s="87">
        <v>-210</v>
      </c>
      <c r="K73" s="75"/>
      <c r="L73" s="75"/>
      <c r="M73" s="75"/>
      <c r="N73" s="75"/>
    </row>
    <row r="74" spans="1:14" s="87" customFormat="1">
      <c r="A74" s="96">
        <v>45762</v>
      </c>
      <c r="B74" s="89" t="s">
        <v>123</v>
      </c>
      <c r="C74" s="102"/>
      <c r="E74" s="87">
        <v>-250</v>
      </c>
      <c r="K74" s="75"/>
      <c r="L74" s="75"/>
      <c r="M74" s="75"/>
      <c r="N74" s="75"/>
    </row>
    <row r="75" spans="1:14" s="87" customFormat="1">
      <c r="A75" s="96">
        <v>45764</v>
      </c>
      <c r="B75" s="89" t="s">
        <v>1780</v>
      </c>
      <c r="C75" s="102"/>
      <c r="E75" s="87">
        <v>-120</v>
      </c>
      <c r="K75" s="75"/>
      <c r="L75" s="75"/>
      <c r="M75" s="75"/>
      <c r="N75" s="75"/>
    </row>
    <row r="76" spans="1:14" s="87" customFormat="1">
      <c r="A76" s="96">
        <v>45764</v>
      </c>
      <c r="B76" s="89" t="s">
        <v>643</v>
      </c>
      <c r="C76" s="102"/>
      <c r="E76" s="87">
        <v>-370</v>
      </c>
      <c r="K76" s="75"/>
      <c r="L76" s="75"/>
      <c r="M76" s="75"/>
      <c r="N76" s="75"/>
    </row>
    <row r="77" spans="1:14" s="74" customFormat="1" ht="15">
      <c r="A77" s="96"/>
      <c r="B77" s="3"/>
      <c r="C77" s="102"/>
      <c r="E77" s="101" t="s">
        <v>76</v>
      </c>
      <c r="K77" s="75"/>
      <c r="L77" s="75"/>
      <c r="M77" s="75"/>
      <c r="N77" s="75"/>
    </row>
    <row r="78" spans="1:14" s="74" customFormat="1">
      <c r="A78" s="96"/>
      <c r="B78" s="3"/>
      <c r="C78" s="102"/>
      <c r="K78" s="75"/>
      <c r="L78" s="75"/>
      <c r="M78" s="75"/>
      <c r="N78" s="75"/>
    </row>
    <row r="79" spans="1:14" s="74" customFormat="1">
      <c r="A79" s="96"/>
      <c r="B79" s="3"/>
      <c r="C79" s="102"/>
      <c r="K79" s="75"/>
      <c r="L79" s="75"/>
      <c r="M79" s="75"/>
      <c r="N79" s="75"/>
    </row>
    <row r="80" spans="1:14" s="74" customFormat="1">
      <c r="A80" s="96"/>
      <c r="B80" s="3"/>
      <c r="C80" s="102"/>
      <c r="K80" s="75"/>
      <c r="L80" s="75"/>
      <c r="M80" s="75"/>
      <c r="N80" s="75"/>
    </row>
    <row r="81" spans="1:14" s="74" customFormat="1">
      <c r="A81" s="96"/>
      <c r="B81" s="3"/>
      <c r="C81" s="102"/>
      <c r="K81" s="75"/>
      <c r="L81" s="75"/>
      <c r="M81" s="75"/>
      <c r="N81" s="75"/>
    </row>
    <row r="82" spans="1:14" s="74" customFormat="1">
      <c r="A82" s="96"/>
      <c r="B82" s="3"/>
      <c r="C82" s="102"/>
      <c r="K82" s="75"/>
      <c r="L82" s="75"/>
      <c r="M82" s="75"/>
      <c r="N82" s="75"/>
    </row>
    <row r="83" spans="1:14">
      <c r="A83" s="96"/>
      <c r="B83" s="3"/>
      <c r="C83" s="74"/>
      <c r="I83" s="74"/>
      <c r="J83" s="74"/>
    </row>
    <row r="94" spans="1:14">
      <c r="A94" s="109" t="s">
        <v>1782</v>
      </c>
      <c r="B94" s="100" t="s">
        <v>128</v>
      </c>
      <c r="C94" s="99">
        <v>2025</v>
      </c>
      <c r="D94" s="87"/>
      <c r="E94" s="87"/>
      <c r="F94" s="87"/>
      <c r="G94" s="87">
        <f>SUM(G98:G126)</f>
        <v>593200.125</v>
      </c>
      <c r="H94" s="87"/>
      <c r="I94" s="87"/>
      <c r="J94" s="11"/>
    </row>
    <row r="95" spans="1:14">
      <c r="A95" s="109"/>
      <c r="B95" s="100"/>
      <c r="C95" s="99"/>
      <c r="D95" s="87"/>
      <c r="E95" s="87"/>
      <c r="F95" s="87"/>
      <c r="G95" s="87"/>
      <c r="H95" s="87"/>
      <c r="I95" s="87"/>
      <c r="J95" s="11"/>
    </row>
    <row r="96" spans="1:14">
      <c r="A96" s="109"/>
      <c r="B96" s="100"/>
      <c r="C96" s="99"/>
      <c r="D96" s="87"/>
      <c r="E96" s="87" t="s">
        <v>129</v>
      </c>
      <c r="F96" s="87"/>
      <c r="G96" s="87"/>
      <c r="H96" s="87"/>
      <c r="I96" s="87"/>
      <c r="J96" s="11"/>
    </row>
    <row r="97" spans="1:14">
      <c r="A97" s="96"/>
      <c r="B97" s="87" t="s">
        <v>69</v>
      </c>
      <c r="C97" s="87"/>
      <c r="D97" s="87"/>
      <c r="E97" s="87"/>
      <c r="F97" s="87"/>
      <c r="G97" s="87">
        <v>0</v>
      </c>
      <c r="H97" s="87"/>
      <c r="I97" s="87"/>
      <c r="J97" s="11"/>
    </row>
    <row r="98" spans="1:14">
      <c r="A98" s="96"/>
      <c r="B98" s="87" t="s">
        <v>70</v>
      </c>
      <c r="C98" s="87"/>
      <c r="D98" s="87"/>
      <c r="E98" s="87"/>
      <c r="F98" s="87"/>
      <c r="G98" s="87">
        <v>0</v>
      </c>
      <c r="H98" s="87"/>
      <c r="I98" s="87"/>
      <c r="J98" s="11"/>
    </row>
    <row r="99" spans="1:14">
      <c r="A99" s="513">
        <v>45807</v>
      </c>
      <c r="B99" s="87" t="s">
        <v>1727</v>
      </c>
      <c r="C99" s="87"/>
      <c r="D99" s="87"/>
      <c r="E99" s="87">
        <v>122830</v>
      </c>
      <c r="F99" s="87">
        <v>-35000</v>
      </c>
      <c r="G99" s="87">
        <f>E99+F99</f>
        <v>87830</v>
      </c>
      <c r="H99" s="87"/>
      <c r="I99" s="87"/>
      <c r="J99" s="11"/>
    </row>
    <row r="100" spans="1:14">
      <c r="A100" s="513"/>
      <c r="B100" s="87" t="s">
        <v>1728</v>
      </c>
      <c r="C100" s="87"/>
      <c r="D100" s="87"/>
      <c r="E100" s="87"/>
      <c r="F100" s="87"/>
      <c r="G100" s="87">
        <f>D80</f>
        <v>0</v>
      </c>
      <c r="H100" s="87"/>
      <c r="I100" s="87"/>
      <c r="J100" s="11"/>
    </row>
    <row r="101" spans="1:14">
      <c r="A101" s="513">
        <v>45777</v>
      </c>
      <c r="B101" s="87" t="s">
        <v>131</v>
      </c>
      <c r="C101" s="12"/>
      <c r="D101" s="12"/>
      <c r="E101" s="87"/>
      <c r="F101" s="87"/>
      <c r="G101" s="14">
        <v>6171</v>
      </c>
      <c r="H101" s="87"/>
      <c r="I101" s="87"/>
      <c r="J101" s="11"/>
    </row>
    <row r="102" spans="1:14">
      <c r="A102" s="513">
        <v>45777</v>
      </c>
      <c r="B102" s="87" t="s">
        <v>132</v>
      </c>
      <c r="C102" s="12"/>
      <c r="D102" s="12"/>
      <c r="E102" s="87"/>
      <c r="F102" s="87"/>
      <c r="G102" s="14">
        <v>300</v>
      </c>
      <c r="H102" s="87"/>
      <c r="I102" s="87"/>
      <c r="J102" s="11"/>
    </row>
    <row r="103" spans="1:14">
      <c r="A103" s="96"/>
      <c r="B103" s="87"/>
      <c r="C103" s="12"/>
      <c r="D103" s="12"/>
      <c r="E103" s="87"/>
      <c r="F103" s="87"/>
      <c r="G103" s="14"/>
      <c r="H103" s="87"/>
      <c r="I103" s="87" t="s">
        <v>1677</v>
      </c>
      <c r="J103" s="11"/>
    </row>
    <row r="104" spans="1:14">
      <c r="A104" s="96">
        <v>45620</v>
      </c>
      <c r="B104" s="79" t="s">
        <v>1595</v>
      </c>
      <c r="C104" s="110"/>
      <c r="D104" s="110">
        <v>32.549999999999997</v>
      </c>
      <c r="E104" s="112">
        <f t="shared" ref="E104:E107" si="2">D104*C104</f>
        <v>0</v>
      </c>
      <c r="F104" s="87">
        <v>47</v>
      </c>
      <c r="G104" s="14">
        <f t="shared" ref="G104" si="3">F104*C104</f>
        <v>0</v>
      </c>
      <c r="H104" s="87"/>
      <c r="I104" s="87">
        <f t="shared" ref="I104" si="4">G104-E104</f>
        <v>0</v>
      </c>
      <c r="J104" s="11"/>
    </row>
    <row r="105" spans="1:14">
      <c r="A105" s="96">
        <v>45620</v>
      </c>
      <c r="B105" s="79" t="s">
        <v>1595</v>
      </c>
      <c r="C105" s="110">
        <v>1000</v>
      </c>
      <c r="D105" s="110">
        <v>32.549999999999997</v>
      </c>
      <c r="E105" s="112">
        <f t="shared" si="2"/>
        <v>32549.999999999996</v>
      </c>
      <c r="F105" s="87">
        <f>F104</f>
        <v>47</v>
      </c>
      <c r="G105" s="14">
        <f>F105*C105</f>
        <v>47000</v>
      </c>
      <c r="H105" s="87"/>
      <c r="I105" s="87">
        <f>G105-E105</f>
        <v>14450.000000000004</v>
      </c>
      <c r="J105" s="11"/>
    </row>
    <row r="106" spans="1:14">
      <c r="A106" s="96">
        <v>45659</v>
      </c>
      <c r="B106" s="79" t="s">
        <v>1594</v>
      </c>
      <c r="C106" s="110">
        <v>4000</v>
      </c>
      <c r="D106" s="111">
        <v>30.86</v>
      </c>
      <c r="E106" s="112">
        <f t="shared" si="2"/>
        <v>123440</v>
      </c>
      <c r="F106" s="87">
        <f>F105</f>
        <v>47</v>
      </c>
      <c r="G106" s="14">
        <f t="shared" ref="G106:G107" si="5">F106*C106</f>
        <v>188000</v>
      </c>
      <c r="H106" s="407">
        <f>SUM(G105:G106)</f>
        <v>235000</v>
      </c>
      <c r="I106" s="87">
        <f t="shared" ref="I106:I107" si="6">G106-E106</f>
        <v>64560</v>
      </c>
      <c r="J106" s="11"/>
    </row>
    <row r="107" spans="1:14">
      <c r="A107" s="96">
        <v>45772</v>
      </c>
      <c r="B107" s="79" t="s">
        <v>228</v>
      </c>
      <c r="C107" s="110">
        <v>0</v>
      </c>
      <c r="D107" s="111">
        <v>983.06700000000001</v>
      </c>
      <c r="E107" s="112">
        <f t="shared" si="2"/>
        <v>0</v>
      </c>
      <c r="F107" s="87">
        <v>1000.855116</v>
      </c>
      <c r="G107" s="14">
        <f t="shared" si="5"/>
        <v>0</v>
      </c>
      <c r="H107" s="407"/>
      <c r="I107" s="87">
        <f t="shared" si="6"/>
        <v>0</v>
      </c>
      <c r="J107" s="11"/>
    </row>
    <row r="108" spans="1:14" s="11" customFormat="1">
      <c r="A108" s="96">
        <v>45772</v>
      </c>
      <c r="B108" s="79" t="s">
        <v>228</v>
      </c>
      <c r="C108" s="110">
        <v>0</v>
      </c>
      <c r="D108" s="111">
        <v>983.06700000000001</v>
      </c>
      <c r="E108" s="112">
        <f t="shared" ref="E108" si="7">D108*C108</f>
        <v>0</v>
      </c>
      <c r="F108" s="87">
        <v>1000.855116</v>
      </c>
      <c r="G108" s="14">
        <f t="shared" ref="G108" si="8">F108*C108</f>
        <v>0</v>
      </c>
      <c r="H108" s="407"/>
      <c r="I108" s="87"/>
      <c r="K108" s="75"/>
      <c r="L108" s="75"/>
      <c r="M108" s="75"/>
      <c r="N108" s="75"/>
    </row>
    <row r="109" spans="1:14" s="11" customFormat="1">
      <c r="A109" s="96">
        <v>45786</v>
      </c>
      <c r="B109" s="79" t="s">
        <v>1793</v>
      </c>
      <c r="C109" s="110">
        <v>24</v>
      </c>
      <c r="D109" s="111">
        <v>983.06700000000001</v>
      </c>
      <c r="E109" s="112">
        <f t="shared" ref="E109" si="9">D109*C109</f>
        <v>23593.608</v>
      </c>
      <c r="F109" s="87">
        <v>1000.855116</v>
      </c>
      <c r="G109" s="14"/>
      <c r="H109" s="407"/>
      <c r="I109" s="87"/>
      <c r="K109" s="75"/>
      <c r="L109" s="75"/>
      <c r="M109" s="75"/>
      <c r="N109" s="75"/>
    </row>
    <row r="110" spans="1:14" s="11" customFormat="1" ht="13.5" thickBot="1">
      <c r="A110" s="96">
        <v>45782</v>
      </c>
      <c r="B110" s="79" t="s">
        <v>1786</v>
      </c>
      <c r="C110" s="110">
        <v>16</v>
      </c>
      <c r="D110" s="111">
        <v>983.06700000000001</v>
      </c>
      <c r="E110" s="112">
        <f t="shared" ref="E110" si="10">D110*C110</f>
        <v>15729.072</v>
      </c>
      <c r="F110" s="87">
        <v>1000.855116</v>
      </c>
      <c r="G110" s="14"/>
      <c r="H110" s="407"/>
      <c r="I110" s="87"/>
      <c r="K110" s="75"/>
      <c r="L110" s="75"/>
      <c r="M110" s="75"/>
      <c r="N110" s="75"/>
    </row>
    <row r="111" spans="1:14" ht="13.5" thickBot="1">
      <c r="A111" s="96"/>
      <c r="B111" s="87"/>
      <c r="C111" s="12"/>
      <c r="D111" s="12"/>
      <c r="E111" s="87">
        <f>SUM(E104:E106)</f>
        <v>155990</v>
      </c>
      <c r="F111" s="87"/>
      <c r="G111" s="87"/>
      <c r="H111" s="113">
        <f>(SUM(G104:G106))-(SUM(E104:E106))</f>
        <v>79010</v>
      </c>
      <c r="I111" s="113">
        <f>SUM(I104:I106)</f>
        <v>79010</v>
      </c>
      <c r="J111" s="11"/>
    </row>
    <row r="112" spans="1:14">
      <c r="A112" s="96"/>
      <c r="B112" s="87"/>
      <c r="C112" s="12"/>
      <c r="D112" s="12"/>
      <c r="E112" s="87"/>
      <c r="F112" s="87"/>
      <c r="G112" s="87"/>
      <c r="H112" s="87"/>
      <c r="I112" s="87"/>
      <c r="J112" s="11"/>
    </row>
    <row r="113" spans="1:10">
      <c r="A113" s="96">
        <v>45345</v>
      </c>
      <c r="B113" s="79" t="s">
        <v>135</v>
      </c>
      <c r="C113" s="114">
        <v>125000</v>
      </c>
      <c r="D113" s="80">
        <v>1.0399430000000001</v>
      </c>
      <c r="E113" s="112">
        <f>D113*C113</f>
        <v>129992.87500000001</v>
      </c>
      <c r="F113" s="392">
        <v>0.91677699999999995</v>
      </c>
      <c r="G113" s="14">
        <f>F113*C113</f>
        <v>114597.125</v>
      </c>
      <c r="H113" s="87"/>
      <c r="I113" s="87">
        <f t="shared" ref="I113:I116" si="11">G113-E113</f>
        <v>-15395.750000000015</v>
      </c>
      <c r="J113" s="11"/>
    </row>
    <row r="114" spans="1:10">
      <c r="A114" s="96">
        <v>45400</v>
      </c>
      <c r="B114" s="79" t="s">
        <v>136</v>
      </c>
      <c r="C114" s="110">
        <v>10</v>
      </c>
      <c r="D114" s="80">
        <v>135</v>
      </c>
      <c r="E114" s="112">
        <f>D114*C114</f>
        <v>1350</v>
      </c>
      <c r="F114" s="87">
        <v>120</v>
      </c>
      <c r="G114" s="14">
        <f>F114*C114</f>
        <v>1200</v>
      </c>
      <c r="H114" s="87"/>
      <c r="I114" s="87">
        <f t="shared" si="11"/>
        <v>-150</v>
      </c>
      <c r="J114" s="11"/>
    </row>
    <row r="115" spans="1:10">
      <c r="A115" s="96">
        <v>45418</v>
      </c>
      <c r="B115" s="79" t="s">
        <v>137</v>
      </c>
      <c r="C115" s="110">
        <v>38</v>
      </c>
      <c r="D115" s="80">
        <v>30.5</v>
      </c>
      <c r="E115" s="112">
        <f>D115*C115</f>
        <v>1159</v>
      </c>
      <c r="F115" s="87">
        <v>15</v>
      </c>
      <c r="G115" s="14">
        <f>F115*C115</f>
        <v>570</v>
      </c>
      <c r="H115" s="87"/>
      <c r="I115" s="87">
        <f t="shared" si="11"/>
        <v>-589</v>
      </c>
      <c r="J115" s="11"/>
    </row>
    <row r="116" spans="1:10" ht="13.5" thickBot="1">
      <c r="A116" s="96">
        <v>45418</v>
      </c>
      <c r="B116" s="79" t="s">
        <v>138</v>
      </c>
      <c r="C116" s="110">
        <v>26</v>
      </c>
      <c r="D116" s="80">
        <v>37.115000000000002</v>
      </c>
      <c r="E116" s="112">
        <f>D116*C116</f>
        <v>964.99</v>
      </c>
      <c r="F116" s="87">
        <v>22</v>
      </c>
      <c r="G116" s="14">
        <f>F116*C116</f>
        <v>572</v>
      </c>
      <c r="H116" s="407">
        <f>SUM(G113:G116)</f>
        <v>116939.125</v>
      </c>
      <c r="I116" s="87">
        <f t="shared" si="11"/>
        <v>-392.99</v>
      </c>
      <c r="J116" s="11"/>
    </row>
    <row r="117" spans="1:10" ht="13.5" thickBot="1">
      <c r="A117" s="96"/>
      <c r="B117" s="87"/>
      <c r="C117" s="12"/>
      <c r="D117" s="12"/>
      <c r="E117" s="87">
        <f>SUM(E113:E116)</f>
        <v>133466.86499999999</v>
      </c>
      <c r="F117" s="87"/>
      <c r="G117" s="87"/>
      <c r="H117" s="113">
        <f>(SUM(G113:G116))-(SUM(E113:E116))</f>
        <v>-16527.739999999991</v>
      </c>
      <c r="I117" s="87"/>
      <c r="J117" s="11"/>
    </row>
    <row r="118" spans="1:10">
      <c r="A118" s="96"/>
      <c r="B118" s="87"/>
      <c r="C118" s="87"/>
      <c r="D118" s="87"/>
      <c r="E118" s="14"/>
      <c r="F118" s="87"/>
      <c r="G118" s="87"/>
      <c r="H118" s="87"/>
      <c r="I118" s="87"/>
      <c r="J118" s="11"/>
    </row>
    <row r="119" spans="1:10">
      <c r="A119" s="96">
        <v>45509</v>
      </c>
      <c r="B119" s="79" t="s">
        <v>1722</v>
      </c>
      <c r="C119" s="110">
        <v>1</v>
      </c>
      <c r="D119" s="80">
        <v>2500</v>
      </c>
      <c r="E119" s="112">
        <f>D119*C119</f>
        <v>2500</v>
      </c>
      <c r="F119" s="87">
        <v>4100</v>
      </c>
      <c r="G119" s="14">
        <f>C119*F119</f>
        <v>4100</v>
      </c>
      <c r="H119" s="87"/>
      <c r="I119" s="87">
        <f t="shared" ref="I119:I121" si="12">G119-E119</f>
        <v>1600</v>
      </c>
      <c r="J119" s="11"/>
    </row>
    <row r="120" spans="1:10">
      <c r="A120" s="96">
        <v>45509</v>
      </c>
      <c r="B120" s="79" t="s">
        <v>140</v>
      </c>
      <c r="C120" s="110">
        <v>16</v>
      </c>
      <c r="D120" s="80">
        <v>4100</v>
      </c>
      <c r="E120" s="112">
        <f>D120*C120</f>
        <v>65600</v>
      </c>
      <c r="F120" s="87">
        <f>F119*1.73</f>
        <v>7093</v>
      </c>
      <c r="G120" s="14">
        <f>C120*F120</f>
        <v>113488</v>
      </c>
      <c r="H120" s="87"/>
      <c r="I120" s="87">
        <f t="shared" si="12"/>
        <v>47888</v>
      </c>
      <c r="J120" s="11"/>
    </row>
    <row r="121" spans="1:10" ht="13.5" thickBot="1">
      <c r="A121" s="96">
        <v>45509</v>
      </c>
      <c r="B121" s="79" t="s">
        <v>141</v>
      </c>
      <c r="C121" s="110">
        <v>1</v>
      </c>
      <c r="D121" s="80">
        <v>16200</v>
      </c>
      <c r="E121" s="112">
        <f>D121*C121</f>
        <v>16200</v>
      </c>
      <c r="F121" s="87">
        <f>F120*4</f>
        <v>28372</v>
      </c>
      <c r="G121" s="14">
        <f>C121*F121</f>
        <v>28372</v>
      </c>
      <c r="H121" s="407">
        <f>SUM(G119:G121)</f>
        <v>145960</v>
      </c>
      <c r="I121" s="87">
        <f t="shared" si="12"/>
        <v>12172</v>
      </c>
      <c r="J121" s="11"/>
    </row>
    <row r="122" spans="1:10" ht="13.5" thickBot="1">
      <c r="A122" s="96"/>
      <c r="B122" s="87"/>
      <c r="C122" s="12"/>
      <c r="D122" s="12"/>
      <c r="E122" s="87">
        <f>SUM(E119:E121)</f>
        <v>84300</v>
      </c>
      <c r="F122" s="87"/>
      <c r="G122" s="87"/>
      <c r="H122" s="113">
        <f>(SUM(G119:G121))-(SUM(E119:E121))</f>
        <v>61660</v>
      </c>
      <c r="I122" s="87"/>
      <c r="J122" s="11"/>
    </row>
    <row r="123" spans="1:10">
      <c r="A123" s="96"/>
      <c r="B123" s="87" t="s">
        <v>142</v>
      </c>
      <c r="C123" s="116">
        <v>33.250599999999999</v>
      </c>
      <c r="D123" s="12"/>
      <c r="E123" s="87"/>
      <c r="F123" s="87"/>
      <c r="G123" s="14"/>
      <c r="H123" s="87"/>
      <c r="I123" s="87"/>
      <c r="J123" s="11"/>
    </row>
    <row r="124" spans="1:10">
      <c r="A124" s="96"/>
      <c r="B124" s="87" t="s">
        <v>143</v>
      </c>
      <c r="C124" s="116">
        <v>36.854999999999997</v>
      </c>
      <c r="D124" s="12"/>
      <c r="E124" s="87"/>
      <c r="F124" s="87"/>
      <c r="G124" s="14"/>
      <c r="H124" s="87"/>
      <c r="I124" s="87"/>
      <c r="J124" s="11"/>
    </row>
    <row r="125" spans="1:10">
      <c r="A125" s="96"/>
      <c r="B125" s="87" t="s">
        <v>144</v>
      </c>
      <c r="C125" s="12"/>
      <c r="D125" s="12"/>
      <c r="E125" s="87"/>
      <c r="F125" s="87"/>
      <c r="G125" s="14">
        <v>0</v>
      </c>
      <c r="H125" s="87"/>
      <c r="I125" s="87"/>
      <c r="J125" s="11"/>
    </row>
    <row r="126" spans="1:10" ht="13.5" thickBot="1">
      <c r="A126" s="96"/>
      <c r="B126" s="87" t="s">
        <v>145</v>
      </c>
      <c r="C126" s="12"/>
      <c r="D126" s="12"/>
      <c r="E126" s="87"/>
      <c r="F126" s="87"/>
      <c r="G126" s="14">
        <v>1000</v>
      </c>
      <c r="H126" s="87"/>
      <c r="I126" s="87"/>
      <c r="J126" s="11"/>
    </row>
    <row r="127" spans="1:10" ht="13.5" thickBot="1">
      <c r="A127" s="96"/>
      <c r="B127" s="87"/>
      <c r="C127" s="87"/>
      <c r="D127" s="87"/>
      <c r="E127" s="117"/>
      <c r="F127" s="118"/>
      <c r="G127" s="119" t="s">
        <v>146</v>
      </c>
      <c r="H127" s="417">
        <f>H122+H117+H111</f>
        <v>124142.26000000001</v>
      </c>
      <c r="I127" s="87"/>
      <c r="J127" s="11"/>
    </row>
    <row r="128" spans="1:10" ht="13.5" thickBot="1">
      <c r="A128" s="96"/>
      <c r="B128" s="87"/>
      <c r="C128" s="120"/>
      <c r="D128" s="89"/>
      <c r="E128" s="87"/>
      <c r="F128" s="87"/>
      <c r="G128" s="120"/>
      <c r="H128" s="87"/>
      <c r="I128" s="87"/>
      <c r="J128" s="11"/>
    </row>
    <row r="129" spans="1:13" ht="13.5" thickBot="1">
      <c r="A129" s="96"/>
      <c r="B129" s="87"/>
      <c r="C129" s="120"/>
      <c r="D129" s="15" t="s">
        <v>147</v>
      </c>
      <c r="E129" s="87"/>
      <c r="F129" s="87"/>
      <c r="G129" s="470">
        <f>SUM(G98:G126)</f>
        <v>593200.125</v>
      </c>
      <c r="H129" s="87"/>
      <c r="I129" s="87"/>
      <c r="J129" s="11"/>
    </row>
    <row r="130" spans="1:13">
      <c r="A130" s="96"/>
      <c r="B130" s="87"/>
      <c r="C130" s="122" t="str">
        <f>A94</f>
        <v>HAZİRAN 2025 e</v>
      </c>
      <c r="D130" s="122" t="s">
        <v>148</v>
      </c>
      <c r="E130" s="87"/>
      <c r="F130" s="87"/>
      <c r="G130" s="123"/>
      <c r="H130" s="87"/>
      <c r="I130" s="87"/>
      <c r="J130" s="11"/>
    </row>
    <row r="131" spans="1:13">
      <c r="A131" s="96"/>
      <c r="B131" s="11"/>
      <c r="C131" s="426"/>
      <c r="D131" s="427"/>
      <c r="E131" s="393"/>
      <c r="F131" s="393"/>
      <c r="G131" s="397"/>
      <c r="H131" s="87"/>
      <c r="I131" s="87"/>
      <c r="J131" s="11"/>
    </row>
    <row r="132" spans="1:13">
      <c r="A132" s="87"/>
      <c r="B132" s="87" t="s">
        <v>1676</v>
      </c>
      <c r="C132" s="87"/>
      <c r="D132" s="87"/>
      <c r="E132" s="87"/>
      <c r="F132" s="87"/>
      <c r="G132" s="87"/>
      <c r="H132" s="87"/>
      <c r="I132" s="87" t="s">
        <v>1667</v>
      </c>
      <c r="J132" s="11" t="s">
        <v>1667</v>
      </c>
      <c r="K132" s="75" t="s">
        <v>1668</v>
      </c>
      <c r="L132" s="75" t="s">
        <v>1669</v>
      </c>
      <c r="M132" s="75" t="s">
        <v>1670</v>
      </c>
    </row>
    <row r="133" spans="1:13">
      <c r="A133" s="96">
        <v>45620</v>
      </c>
      <c r="B133" s="79" t="s">
        <v>1595</v>
      </c>
      <c r="C133" s="110">
        <v>3000</v>
      </c>
      <c r="D133" s="110">
        <v>32.549999999999997</v>
      </c>
      <c r="E133" s="112">
        <f t="shared" ref="E133" si="13">D133*C133</f>
        <v>97649.999999999985</v>
      </c>
      <c r="F133" s="87">
        <v>42.86</v>
      </c>
      <c r="G133" s="14">
        <f t="shared" ref="G133" si="14">F133*C133</f>
        <v>128580</v>
      </c>
      <c r="H133" s="87"/>
      <c r="I133" s="87">
        <f t="shared" ref="I133" si="15">G133-E133</f>
        <v>30930.000000000015</v>
      </c>
      <c r="J133" s="431">
        <f>(I133-I134)/E133</f>
        <v>0.31674347158218147</v>
      </c>
      <c r="K133" s="96">
        <v>45721</v>
      </c>
      <c r="L133" s="75">
        <f>K133-A133</f>
        <v>101</v>
      </c>
      <c r="M133" s="431">
        <f>J133/L133*30</f>
        <v>9.4082219281836091E-2</v>
      </c>
    </row>
    <row r="134" spans="1:13">
      <c r="A134" s="96"/>
      <c r="B134" s="79"/>
      <c r="C134" s="110" t="s">
        <v>1721</v>
      </c>
      <c r="D134" s="111"/>
      <c r="E134" s="112"/>
      <c r="F134" s="87" t="s">
        <v>1720</v>
      </c>
      <c r="G134" s="14">
        <v>-257.16000000000003</v>
      </c>
      <c r="H134" s="87"/>
      <c r="I134" s="87"/>
      <c r="J134" s="87"/>
      <c r="K134" s="463"/>
      <c r="M134" s="431"/>
    </row>
    <row r="135" spans="1:13">
      <c r="A135" s="96">
        <v>45772</v>
      </c>
      <c r="B135" s="79" t="s">
        <v>228</v>
      </c>
      <c r="C135" s="110">
        <v>16</v>
      </c>
      <c r="D135" s="111">
        <v>983.06700000000001</v>
      </c>
      <c r="E135" s="112">
        <f t="shared" ref="E135" si="16">D135*C135</f>
        <v>15729.072</v>
      </c>
      <c r="F135" s="87">
        <v>995.40553</v>
      </c>
      <c r="G135" s="14">
        <f t="shared" ref="G135" si="17">F135*C135</f>
        <v>15926.48848</v>
      </c>
      <c r="H135" s="407"/>
      <c r="I135" s="87">
        <f t="shared" ref="I135" si="18">G135-E135</f>
        <v>197.41647999999986</v>
      </c>
      <c r="J135" s="11"/>
    </row>
    <row r="136" spans="1:13">
      <c r="A136" s="96"/>
      <c r="B136" s="79" t="s">
        <v>1720</v>
      </c>
      <c r="C136" s="110"/>
      <c r="D136" s="111"/>
      <c r="E136" s="112"/>
      <c r="F136" s="392"/>
      <c r="G136" s="14"/>
      <c r="H136" s="87"/>
      <c r="I136" s="87">
        <v>-197.03</v>
      </c>
      <c r="J136" s="431"/>
      <c r="K136" s="96"/>
      <c r="M136" s="431"/>
    </row>
    <row r="137" spans="1:13">
      <c r="A137" s="394"/>
      <c r="B137" s="79" t="s">
        <v>1793</v>
      </c>
      <c r="C137" s="110">
        <v>24</v>
      </c>
      <c r="D137" s="111">
        <v>983.06700000000001</v>
      </c>
      <c r="E137" s="112">
        <f t="shared" ref="E137" si="19">D137*C137</f>
        <v>23593.608</v>
      </c>
      <c r="F137" s="87">
        <v>1000.855116</v>
      </c>
      <c r="G137" s="14">
        <f t="shared" ref="G137" si="20">F137*C137</f>
        <v>24020.522784000001</v>
      </c>
      <c r="H137" s="407"/>
      <c r="I137" s="87">
        <f t="shared" ref="I137" si="21">G137-E137</f>
        <v>426.91478400000051</v>
      </c>
      <c r="J137" s="87"/>
      <c r="K137" s="463"/>
    </row>
    <row r="138" spans="1:13" ht="13.5" thickBot="1">
      <c r="A138" s="395"/>
      <c r="B138" s="79" t="s">
        <v>1720</v>
      </c>
      <c r="C138" s="395" t="s">
        <v>1794</v>
      </c>
      <c r="D138" s="393"/>
      <c r="E138" s="393"/>
      <c r="F138" s="393"/>
      <c r="G138" s="393"/>
      <c r="H138" s="393"/>
      <c r="I138" s="395">
        <v>-308.62</v>
      </c>
      <c r="J138" s="11"/>
    </row>
    <row r="139" spans="1:13">
      <c r="A139" s="416"/>
      <c r="B139" s="416"/>
      <c r="C139" s="416"/>
      <c r="D139" s="405"/>
      <c r="E139" s="405"/>
      <c r="F139" s="405"/>
      <c r="G139" s="405">
        <f>SUM(G133:G138)</f>
        <v>168269.851264</v>
      </c>
      <c r="H139" s="405"/>
      <c r="I139" s="468">
        <f>SUM(I133:I138)</f>
        <v>31048.681264000017</v>
      </c>
      <c r="J139" s="11"/>
    </row>
    <row r="140" spans="1:13">
      <c r="A140" s="11"/>
      <c r="B140" s="11"/>
      <c r="C140" s="11"/>
      <c r="D140" s="87"/>
      <c r="E140" s="87"/>
      <c r="F140" s="87"/>
      <c r="G140" s="87" t="s">
        <v>878</v>
      </c>
      <c r="H140" s="87"/>
      <c r="I140" s="87">
        <f>I139+'04_25'!I149</f>
        <v>88811.38031300006</v>
      </c>
      <c r="J140" s="11"/>
    </row>
    <row r="141" spans="1:13">
      <c r="A141" s="94"/>
      <c r="B141" s="11"/>
      <c r="C141" s="11"/>
      <c r="D141" s="87"/>
      <c r="E141" s="87"/>
      <c r="F141" s="87"/>
      <c r="G141" s="87"/>
      <c r="H141" s="87"/>
      <c r="I141" s="11"/>
      <c r="J141" s="11"/>
    </row>
    <row r="142" spans="1:13" ht="18">
      <c r="A142" s="476" t="s">
        <v>1733</v>
      </c>
      <c r="B142" s="11"/>
      <c r="C142" s="11"/>
      <c r="D142" s="87"/>
      <c r="E142" s="87"/>
      <c r="F142" s="87"/>
      <c r="G142" s="87"/>
      <c r="H142" s="87"/>
      <c r="I142" s="11"/>
      <c r="J142" s="11"/>
    </row>
    <row r="143" spans="1:13" ht="15.75">
      <c r="A143" s="94"/>
      <c r="B143" s="464">
        <f>1-76.4616%</f>
        <v>0.23538399999999993</v>
      </c>
      <c r="C143" s="465">
        <v>0.76461599999999996</v>
      </c>
      <c r="D143" s="392"/>
      <c r="E143" s="87"/>
      <c r="F143" s="87"/>
      <c r="G143" s="87"/>
      <c r="H143" s="87"/>
      <c r="I143" s="11"/>
      <c r="J143" s="11"/>
    </row>
    <row r="144" spans="1:13" ht="15.75">
      <c r="A144" s="94"/>
      <c r="B144" s="464" t="s">
        <v>1735</v>
      </c>
      <c r="C144" s="465"/>
      <c r="D144" s="392"/>
      <c r="E144" s="87"/>
      <c r="F144" s="87"/>
      <c r="G144" s="87"/>
      <c r="H144" s="87"/>
      <c r="I144" s="11"/>
      <c r="J144" s="11"/>
    </row>
    <row r="145" spans="1:14" ht="15.75">
      <c r="A145" s="94"/>
      <c r="B145" s="464" t="s">
        <v>1734</v>
      </c>
      <c r="C145" s="465"/>
      <c r="D145" s="392"/>
      <c r="E145" s="87"/>
      <c r="F145" s="87"/>
      <c r="G145" s="87"/>
      <c r="H145" s="87"/>
      <c r="I145" s="11"/>
      <c r="J145" s="11"/>
    </row>
    <row r="146" spans="1:14" ht="15.75">
      <c r="A146" s="94"/>
      <c r="B146" s="464" t="s">
        <v>1737</v>
      </c>
      <c r="C146" s="465"/>
      <c r="D146" s="392"/>
      <c r="E146" s="87"/>
      <c r="F146" s="87"/>
      <c r="G146" s="87"/>
      <c r="H146" s="87"/>
      <c r="I146" s="11"/>
      <c r="J146" s="11"/>
    </row>
    <row r="147" spans="1:14" ht="15.75">
      <c r="A147" s="94"/>
      <c r="B147" s="464" t="s">
        <v>1736</v>
      </c>
      <c r="C147" s="465"/>
      <c r="D147" s="392"/>
      <c r="E147" s="87"/>
      <c r="F147" s="87"/>
      <c r="G147" s="87"/>
      <c r="H147" s="87"/>
      <c r="I147" s="11"/>
      <c r="J147" s="11"/>
    </row>
    <row r="148" spans="1:14" ht="16.5" thickBot="1">
      <c r="A148" s="94"/>
      <c r="B148" s="464"/>
      <c r="C148" s="11" t="s">
        <v>1739</v>
      </c>
      <c r="D148" s="11" t="s">
        <v>1738</v>
      </c>
      <c r="E148" s="87" t="s">
        <v>1730</v>
      </c>
      <c r="F148" s="473">
        <v>138749.76000000001</v>
      </c>
      <c r="G148" s="11" t="s">
        <v>1731</v>
      </c>
      <c r="H148" s="87" t="s">
        <v>3</v>
      </c>
      <c r="I148" s="11"/>
      <c r="J148" s="11"/>
    </row>
    <row r="149" spans="1:14" ht="13.5" thickBot="1">
      <c r="A149" s="96"/>
      <c r="B149" s="79" t="s">
        <v>1740</v>
      </c>
      <c r="C149" s="114">
        <v>160</v>
      </c>
      <c r="D149" s="87">
        <f>C149</f>
        <v>160</v>
      </c>
      <c r="E149" s="80">
        <v>872.26</v>
      </c>
      <c r="F149" s="474">
        <f>E149*C149</f>
        <v>139561.60000000001</v>
      </c>
      <c r="G149" s="469">
        <v>962.89330700000005</v>
      </c>
      <c r="H149" s="14">
        <f>G149*C149</f>
        <v>154062.92912000002</v>
      </c>
      <c r="I149" s="12">
        <f>H149</f>
        <v>154062.92912000002</v>
      </c>
      <c r="J149" s="11"/>
    </row>
    <row r="150" spans="1:14" ht="13.5" thickBot="1">
      <c r="A150" s="96"/>
      <c r="B150" s="79" t="s">
        <v>1741</v>
      </c>
      <c r="C150" s="114">
        <v>78</v>
      </c>
      <c r="D150" s="87">
        <f>D149+C150</f>
        <v>238</v>
      </c>
      <c r="E150" s="80">
        <v>872.26</v>
      </c>
      <c r="F150" s="474">
        <f>E150*C150</f>
        <v>68036.28</v>
      </c>
      <c r="G150" s="391">
        <f>G151</f>
        <v>962.89330700000005</v>
      </c>
      <c r="H150" s="14">
        <f>G150*C150</f>
        <v>75105.677946000011</v>
      </c>
      <c r="I150" s="12">
        <f>I149+H150</f>
        <v>229168.60706600003</v>
      </c>
      <c r="J150" s="11"/>
    </row>
    <row r="151" spans="1:14" ht="13.5" thickBot="1">
      <c r="A151" s="472">
        <v>45755</v>
      </c>
      <c r="B151" s="475" t="s">
        <v>1729</v>
      </c>
      <c r="C151" s="114">
        <v>-21</v>
      </c>
      <c r="D151" s="87">
        <f>D150+C151</f>
        <v>217</v>
      </c>
      <c r="E151" s="80">
        <v>872.26</v>
      </c>
      <c r="F151" s="437">
        <f>E151*C151</f>
        <v>-18317.46</v>
      </c>
      <c r="G151" s="391">
        <f>G149</f>
        <v>962.89330700000005</v>
      </c>
      <c r="H151" s="136">
        <f>G151*C151</f>
        <v>-20220.759447</v>
      </c>
      <c r="I151" s="12">
        <f>I150+H151</f>
        <v>208947.84761900004</v>
      </c>
      <c r="J151" s="11"/>
    </row>
    <row r="152" spans="1:14" ht="13.5" thickBot="1">
      <c r="A152" s="96"/>
      <c r="B152" s="79" t="s">
        <v>1732</v>
      </c>
      <c r="C152" s="377"/>
      <c r="D152" s="87"/>
      <c r="E152" s="80"/>
      <c r="F152" s="87"/>
      <c r="G152" s="87"/>
      <c r="H152" s="87">
        <v>-300.32</v>
      </c>
      <c r="I152" s="12">
        <f>I151+H152</f>
        <v>208647.52761900003</v>
      </c>
      <c r="J152" s="11"/>
    </row>
    <row r="153" spans="1:14" ht="13.5" thickBot="1">
      <c r="A153" s="516">
        <v>45777</v>
      </c>
      <c r="B153" s="517" t="s">
        <v>1781</v>
      </c>
      <c r="C153" s="518">
        <v>219</v>
      </c>
      <c r="D153" s="519"/>
      <c r="E153" s="519"/>
      <c r="F153" s="519"/>
      <c r="G153" s="469">
        <f>G151</f>
        <v>962.89330700000005</v>
      </c>
      <c r="H153" s="520">
        <f>G153*C153</f>
        <v>210873.63423300002</v>
      </c>
      <c r="I153" s="449"/>
      <c r="J153" s="11"/>
    </row>
    <row r="154" spans="1:14" s="11" customFormat="1" ht="13.5" thickBot="1">
      <c r="A154" s="472">
        <v>45786</v>
      </c>
      <c r="B154" s="475" t="s">
        <v>1729</v>
      </c>
      <c r="C154" s="114">
        <v>-20</v>
      </c>
      <c r="D154" s="87">
        <f>D153+C154</f>
        <v>-20</v>
      </c>
      <c r="E154" s="80">
        <v>872.26</v>
      </c>
      <c r="F154" s="437">
        <f>E154*C154</f>
        <v>-17445.2</v>
      </c>
      <c r="G154" s="87">
        <v>1000.86</v>
      </c>
      <c r="H154" s="515">
        <f>G154*C154</f>
        <v>-20017.2</v>
      </c>
      <c r="I154" s="12">
        <f>I152+H154</f>
        <v>188630.32761900002</v>
      </c>
      <c r="K154" s="75"/>
      <c r="L154" s="75"/>
      <c r="M154" s="75"/>
      <c r="N154" s="75"/>
    </row>
    <row r="155" spans="1:14" s="11" customFormat="1" ht="13.5" thickBot="1">
      <c r="A155" s="513"/>
      <c r="B155" s="79" t="s">
        <v>1732</v>
      </c>
      <c r="C155" s="114"/>
      <c r="D155" s="87"/>
      <c r="E155" s="87"/>
      <c r="F155" s="87"/>
      <c r="G155" s="87"/>
      <c r="H155" s="14">
        <v>-257.18</v>
      </c>
      <c r="I155" s="87"/>
      <c r="K155" s="75"/>
      <c r="L155" s="75"/>
      <c r="M155" s="75"/>
      <c r="N155" s="75"/>
    </row>
    <row r="156" spans="1:14" s="11" customFormat="1" ht="13.5" thickBot="1">
      <c r="A156" s="516">
        <v>45786</v>
      </c>
      <c r="B156" s="517" t="s">
        <v>1781</v>
      </c>
      <c r="C156" s="518">
        <v>199</v>
      </c>
      <c r="D156" s="519"/>
      <c r="E156" s="519"/>
      <c r="F156" s="519"/>
      <c r="G156" s="519">
        <v>1000.86</v>
      </c>
      <c r="H156" s="520">
        <f>G156*C156</f>
        <v>199171.14</v>
      </c>
      <c r="I156" s="449"/>
      <c r="K156" s="75"/>
      <c r="L156" s="75"/>
      <c r="M156" s="75"/>
      <c r="N156" s="75"/>
    </row>
    <row r="157" spans="1:14" s="11" customFormat="1">
      <c r="A157" s="513"/>
      <c r="B157" s="79"/>
      <c r="C157" s="114"/>
      <c r="D157" s="87"/>
      <c r="E157" s="87"/>
      <c r="F157" s="87"/>
      <c r="G157" s="87"/>
      <c r="H157" s="14"/>
      <c r="I157" s="87"/>
      <c r="K157" s="75"/>
      <c r="L157" s="75"/>
      <c r="M157" s="75"/>
      <c r="N157" s="75"/>
    </row>
    <row r="158" spans="1:14">
      <c r="A158" s="96"/>
      <c r="B158" s="87" t="s">
        <v>1675</v>
      </c>
      <c r="C158" s="426"/>
      <c r="D158" s="427"/>
      <c r="E158" s="393"/>
      <c r="F158" s="393"/>
      <c r="G158" s="397"/>
      <c r="H158" s="87"/>
      <c r="I158" s="87"/>
      <c r="J158" s="11"/>
    </row>
    <row r="159" spans="1:14">
      <c r="A159" s="94"/>
      <c r="B159" s="11"/>
      <c r="C159" s="11"/>
      <c r="D159" s="87"/>
      <c r="E159" s="87"/>
      <c r="F159" s="87"/>
      <c r="G159" s="87"/>
      <c r="H159" s="87"/>
      <c r="I159" s="11"/>
      <c r="J159" s="11"/>
    </row>
    <row r="160" spans="1:14">
      <c r="A160" s="94"/>
      <c r="B160" s="11"/>
      <c r="C160" s="11"/>
      <c r="D160" s="87"/>
      <c r="E160" s="87"/>
      <c r="F160" s="87"/>
      <c r="G160" s="87"/>
      <c r="H160" s="87"/>
      <c r="I160" s="11"/>
      <c r="J160" s="11"/>
    </row>
    <row r="161" spans="1:10">
      <c r="A161" s="94"/>
      <c r="B161" s="11"/>
      <c r="C161" s="11"/>
      <c r="D161" s="87"/>
      <c r="E161" s="87"/>
      <c r="F161" s="87"/>
      <c r="G161" s="87"/>
      <c r="H161" s="87"/>
      <c r="I161" s="11"/>
      <c r="J161" s="11"/>
    </row>
    <row r="162" spans="1:10">
      <c r="A162" s="94"/>
      <c r="B162" s="11"/>
      <c r="C162" s="11"/>
      <c r="D162" s="87"/>
      <c r="E162" s="87"/>
      <c r="F162" s="87"/>
      <c r="G162" s="87"/>
      <c r="H162" s="87"/>
      <c r="I162" s="11"/>
      <c r="J162" s="11"/>
    </row>
    <row r="163" spans="1:10">
      <c r="A163" s="94"/>
      <c r="B163" s="11"/>
      <c r="C163" s="11"/>
      <c r="D163" s="87"/>
      <c r="E163" s="87"/>
      <c r="F163" s="87"/>
      <c r="G163" s="87"/>
      <c r="H163" s="87"/>
      <c r="I163" s="11"/>
      <c r="J163" s="11"/>
    </row>
    <row r="164" spans="1:10">
      <c r="A164" s="94"/>
      <c r="B164" s="11"/>
      <c r="C164" s="11"/>
      <c r="D164" s="87"/>
      <c r="E164" s="87"/>
      <c r="F164" s="87"/>
      <c r="G164" s="87"/>
      <c r="H164" s="87"/>
      <c r="I164" s="11"/>
      <c r="J164" s="11"/>
    </row>
    <row r="165" spans="1:10">
      <c r="A165" s="94"/>
      <c r="B165" s="11"/>
      <c r="C165" s="11"/>
      <c r="D165" s="87"/>
      <c r="E165" s="87"/>
      <c r="F165" s="87"/>
      <c r="G165" s="87"/>
      <c r="H165" s="87"/>
      <c r="I165" s="11"/>
      <c r="J165" s="11"/>
    </row>
    <row r="166" spans="1:10">
      <c r="A166" s="94"/>
      <c r="B166" s="11"/>
      <c r="C166" s="11"/>
      <c r="D166" s="87"/>
      <c r="E166" s="87"/>
      <c r="F166" s="87"/>
      <c r="G166" s="87"/>
      <c r="H166" s="87"/>
      <c r="I166" s="11"/>
      <c r="J166" s="11"/>
    </row>
    <row r="167" spans="1:10">
      <c r="A167" s="94"/>
      <c r="B167" s="11"/>
      <c r="C167" s="11"/>
      <c r="D167" s="87"/>
      <c r="E167" s="87"/>
      <c r="F167" s="87"/>
      <c r="G167" s="87"/>
      <c r="H167" s="87"/>
      <c r="I167" s="11"/>
      <c r="J167" s="11"/>
    </row>
    <row r="168" spans="1:10">
      <c r="A168" s="94"/>
      <c r="B168" s="11"/>
      <c r="C168" s="11"/>
      <c r="D168" s="87"/>
      <c r="E168" s="87"/>
      <c r="F168" s="87"/>
      <c r="G168" s="87"/>
      <c r="H168" s="87"/>
      <c r="I168" s="11"/>
      <c r="J168" s="11"/>
    </row>
    <row r="169" spans="1:10">
      <c r="A169" s="94"/>
      <c r="B169" s="11"/>
      <c r="C169" s="11"/>
      <c r="D169" s="87"/>
      <c r="E169" s="87"/>
      <c r="F169" s="87"/>
      <c r="G169" s="87"/>
      <c r="H169" s="87"/>
      <c r="I169" s="11"/>
      <c r="J169" s="11"/>
    </row>
    <row r="170" spans="1:10">
      <c r="A170" s="94"/>
      <c r="B170" s="11"/>
      <c r="C170" s="11"/>
      <c r="D170" s="87"/>
      <c r="E170" s="87"/>
      <c r="F170" s="87"/>
      <c r="G170" s="87"/>
      <c r="H170" s="87"/>
      <c r="I170" s="11"/>
      <c r="J170" s="11"/>
    </row>
    <row r="171" spans="1:10">
      <c r="A171" s="94"/>
      <c r="B171" s="11"/>
      <c r="C171" s="11"/>
      <c r="D171" s="87"/>
      <c r="E171" s="87"/>
      <c r="F171" s="87"/>
      <c r="G171" s="87"/>
      <c r="H171" s="87"/>
      <c r="I171" s="11"/>
      <c r="J171" s="11"/>
    </row>
    <row r="172" spans="1:10">
      <c r="A172" s="94"/>
      <c r="B172" s="11"/>
      <c r="C172" s="11"/>
      <c r="D172" s="87"/>
      <c r="E172" s="87"/>
      <c r="F172" s="87"/>
      <c r="G172" s="87"/>
      <c r="H172" s="87"/>
      <c r="I172" s="11"/>
      <c r="J172" s="11"/>
    </row>
  </sheetData>
  <conditionalFormatting sqref="F119:F121">
    <cfRule type="cellIs" dxfId="60" priority="16" operator="lessThan">
      <formula>D119</formula>
    </cfRule>
  </conditionalFormatting>
  <conditionalFormatting sqref="F114:F116">
    <cfRule type="cellIs" dxfId="59" priority="17" operator="lessThan">
      <formula>D114</formula>
    </cfRule>
  </conditionalFormatting>
  <conditionalFormatting sqref="F106">
    <cfRule type="cellIs" dxfId="58" priority="18" operator="lessThan">
      <formula>D106</formula>
    </cfRule>
  </conditionalFormatting>
  <conditionalFormatting sqref="F105">
    <cfRule type="cellIs" dxfId="57" priority="19" operator="lessThan">
      <formula>D105</formula>
    </cfRule>
  </conditionalFormatting>
  <conditionalFormatting sqref="F134">
    <cfRule type="cellIs" dxfId="56" priority="15" operator="lessThan">
      <formula>D134</formula>
    </cfRule>
  </conditionalFormatting>
  <conditionalFormatting sqref="F136">
    <cfRule type="cellIs" dxfId="55" priority="13" operator="lessThan">
      <formula>D136</formula>
    </cfRule>
  </conditionalFormatting>
  <conditionalFormatting sqref="F104">
    <cfRule type="cellIs" dxfId="54" priority="11" operator="lessThan">
      <formula>D104</formula>
    </cfRule>
  </conditionalFormatting>
  <conditionalFormatting sqref="F133">
    <cfRule type="cellIs" dxfId="53" priority="10" operator="lessThan">
      <formula>D133</formula>
    </cfRule>
  </conditionalFormatting>
  <conditionalFormatting sqref="F113">
    <cfRule type="cellIs" dxfId="52" priority="9" operator="lessThan">
      <formula>D113</formula>
    </cfRule>
  </conditionalFormatting>
  <conditionalFormatting sqref="F135">
    <cfRule type="cellIs" dxfId="51" priority="6" operator="lessThan">
      <formula>D135</formula>
    </cfRule>
  </conditionalFormatting>
  <conditionalFormatting sqref="F107">
    <cfRule type="cellIs" dxfId="50" priority="4" operator="lessThan">
      <formula>D107</formula>
    </cfRule>
  </conditionalFormatting>
  <conditionalFormatting sqref="F109">
    <cfRule type="cellIs" dxfId="49" priority="5" operator="lessThan">
      <formula>D109</formula>
    </cfRule>
  </conditionalFormatting>
  <conditionalFormatting sqref="F137">
    <cfRule type="cellIs" dxfId="48" priority="3" operator="lessThan">
      <formula>D137</formula>
    </cfRule>
  </conditionalFormatting>
  <conditionalFormatting sqref="F108">
    <cfRule type="cellIs" dxfId="47" priority="2" operator="lessThan">
      <formula>D108</formula>
    </cfRule>
  </conditionalFormatting>
  <conditionalFormatting sqref="F110">
    <cfRule type="cellIs" dxfId="46" priority="1" operator="lessThan">
      <formula>D110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</sheetPr>
  <dimension ref="A1:W239"/>
  <sheetViews>
    <sheetView topLeftCell="A128" zoomScale="145" zoomScaleNormal="145" workbookViewId="0">
      <selection activeCell="G149" sqref="G149:I149"/>
    </sheetView>
  </sheetViews>
  <sheetFormatPr defaultColWidth="12.28515625" defaultRowHeight="12.75"/>
  <cols>
    <col min="1" max="1" width="12.28515625" style="94"/>
    <col min="2" max="2" width="34.140625" customWidth="1"/>
    <col min="3" max="3" width="9.42578125" customWidth="1"/>
    <col min="4" max="4" width="11" style="74" customWidth="1"/>
    <col min="5" max="5" width="11.42578125" style="74" customWidth="1"/>
    <col min="6" max="6" width="11.7109375" style="74" customWidth="1"/>
    <col min="7" max="7" width="12.42578125" style="74" customWidth="1"/>
    <col min="8" max="8" width="11.140625" style="74" bestFit="1" customWidth="1"/>
    <col min="9" max="9" width="11" customWidth="1"/>
    <col min="10" max="10" width="8.5703125" bestFit="1" customWidth="1"/>
    <col min="11" max="11" width="10.5703125" style="75" bestFit="1" customWidth="1"/>
    <col min="12" max="12" width="7.28515625" style="75" bestFit="1" customWidth="1"/>
    <col min="13" max="13" width="7.42578125" style="75" bestFit="1" customWidth="1"/>
    <col min="14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418" t="s">
        <v>89</v>
      </c>
      <c r="C2" s="76" t="s">
        <v>59</v>
      </c>
      <c r="D2" s="74">
        <f>SUM(D4:D30)</f>
        <v>15000</v>
      </c>
      <c r="E2" s="74">
        <f>SUM(E4:E30)</f>
        <v>-191614.26</v>
      </c>
      <c r="F2" s="74">
        <f>SUM(F4:F30)</f>
        <v>15054.88</v>
      </c>
      <c r="G2" s="74">
        <f>SUM(G4:G30)</f>
        <v>-191809.25000000003</v>
      </c>
      <c r="H2" s="74">
        <f>F2+G2</f>
        <v>-176754.37000000002</v>
      </c>
    </row>
    <row r="3" spans="1:14">
      <c r="B3" s="15"/>
    </row>
    <row r="4" spans="1:14">
      <c r="B4" s="38"/>
      <c r="H4" s="74">
        <f>H3+F4+G4</f>
        <v>0</v>
      </c>
    </row>
    <row r="5" spans="1:14">
      <c r="A5" s="418"/>
      <c r="F5" s="87"/>
      <c r="G5" s="87"/>
      <c r="H5" s="87">
        <f>H4+F5+G5</f>
        <v>0</v>
      </c>
    </row>
    <row r="6" spans="1:14">
      <c r="A6" s="413">
        <v>45749</v>
      </c>
      <c r="B6" s="379" t="s">
        <v>62</v>
      </c>
      <c r="C6" s="379"/>
      <c r="D6" s="376"/>
      <c r="E6" s="376">
        <v>-2117.06</v>
      </c>
      <c r="F6" s="84"/>
      <c r="G6" s="84">
        <v>-2116.98</v>
      </c>
      <c r="H6" s="84">
        <f>H5+F6+G6</f>
        <v>-2116.98</v>
      </c>
    </row>
    <row r="7" spans="1:14">
      <c r="A7" s="413">
        <v>45750</v>
      </c>
      <c r="B7" s="381" t="s">
        <v>1707</v>
      </c>
      <c r="C7" s="380"/>
      <c r="D7" s="376"/>
      <c r="E7" s="376">
        <f>E50</f>
        <v>-19953.18</v>
      </c>
      <c r="F7" s="84"/>
      <c r="G7" s="84">
        <f>E7</f>
        <v>-19953.18</v>
      </c>
      <c r="H7" s="84">
        <f t="shared" ref="H7:H12" si="0">H6+F7+G7</f>
        <v>-22070.16</v>
      </c>
    </row>
    <row r="8" spans="1:14" s="11" customFormat="1">
      <c r="A8" s="413">
        <v>45720</v>
      </c>
      <c r="B8" s="381" t="s">
        <v>60</v>
      </c>
      <c r="C8" s="380"/>
      <c r="D8" s="376"/>
      <c r="E8" s="376">
        <f>E33</f>
        <v>-123984.02000000002</v>
      </c>
      <c r="F8" s="84"/>
      <c r="G8" s="84">
        <f>E8</f>
        <v>-123984.02000000002</v>
      </c>
      <c r="H8" s="84">
        <f t="shared" si="0"/>
        <v>-146054.18000000002</v>
      </c>
      <c r="K8" s="75"/>
      <c r="L8" s="75"/>
      <c r="M8" s="75"/>
      <c r="N8" s="75"/>
    </row>
    <row r="9" spans="1:14">
      <c r="A9" s="413">
        <v>45754</v>
      </c>
      <c r="B9" s="379" t="s">
        <v>1714</v>
      </c>
      <c r="C9" s="380"/>
      <c r="D9" s="376"/>
      <c r="E9" s="376"/>
      <c r="F9" s="84"/>
      <c r="G9" s="84">
        <v>-672.4</v>
      </c>
      <c r="H9" s="84">
        <f t="shared" si="0"/>
        <v>-146726.58000000002</v>
      </c>
    </row>
    <row r="10" spans="1:14">
      <c r="A10" s="413">
        <v>45755</v>
      </c>
      <c r="B10" s="379" t="s">
        <v>1585</v>
      </c>
      <c r="C10" s="379"/>
      <c r="D10" s="376"/>
      <c r="E10" s="376">
        <v>-17500</v>
      </c>
      <c r="F10" s="84"/>
      <c r="G10" s="84">
        <v>-17500</v>
      </c>
      <c r="H10" s="84">
        <f t="shared" si="0"/>
        <v>-164226.58000000002</v>
      </c>
    </row>
    <row r="11" spans="1:14">
      <c r="A11" s="460"/>
      <c r="B11" s="8"/>
      <c r="C11" s="8"/>
      <c r="D11" s="84"/>
      <c r="E11" s="84"/>
      <c r="F11" s="84"/>
      <c r="G11" s="84"/>
      <c r="H11" s="84">
        <f t="shared" si="0"/>
        <v>-164226.58000000002</v>
      </c>
    </row>
    <row r="12" spans="1:14">
      <c r="A12" s="460"/>
      <c r="B12" s="8"/>
      <c r="C12" s="8"/>
      <c r="D12" s="84"/>
      <c r="E12" s="84"/>
      <c r="F12" s="84"/>
      <c r="G12" s="84"/>
      <c r="H12" s="84">
        <f t="shared" si="0"/>
        <v>-164226.58000000002</v>
      </c>
    </row>
    <row r="13" spans="1:14" s="75" customFormat="1">
      <c r="A13" s="401"/>
      <c r="B13" s="381" t="s">
        <v>64</v>
      </c>
      <c r="C13" s="380"/>
      <c r="D13" s="376"/>
      <c r="E13" s="376">
        <v>0</v>
      </c>
      <c r="F13" s="74"/>
      <c r="G13" s="74"/>
      <c r="H13" s="87">
        <f t="shared" ref="H13" si="1">H12+F13+G13</f>
        <v>-164226.58000000002</v>
      </c>
      <c r="I13"/>
      <c r="J13"/>
    </row>
    <row r="14" spans="1:14" s="75" customFormat="1">
      <c r="A14" s="401">
        <v>45763</v>
      </c>
      <c r="B14" s="512" t="s">
        <v>65</v>
      </c>
      <c r="C14" s="512"/>
      <c r="D14" s="373"/>
      <c r="E14" s="373">
        <v>-1000</v>
      </c>
      <c r="F14" s="74"/>
      <c r="G14" s="74">
        <v>-1175</v>
      </c>
      <c r="H14" s="87">
        <f t="shared" ref="H14:H18" si="2">H13+F14+G14</f>
        <v>-165401.58000000002</v>
      </c>
    </row>
    <row r="15" spans="1:14" s="75" customFormat="1">
      <c r="A15" s="401">
        <v>45763</v>
      </c>
      <c r="B15" s="512" t="s">
        <v>66</v>
      </c>
      <c r="C15" s="512"/>
      <c r="D15" s="373"/>
      <c r="E15" s="373">
        <v>-200</v>
      </c>
      <c r="F15" s="74"/>
      <c r="G15" s="74">
        <v>-30</v>
      </c>
      <c r="H15" s="87">
        <f t="shared" si="2"/>
        <v>-165431.58000000002</v>
      </c>
    </row>
    <row r="16" spans="1:14" s="75" customFormat="1">
      <c r="A16" s="401">
        <v>45777</v>
      </c>
      <c r="B16" s="422" t="s">
        <v>67</v>
      </c>
      <c r="C16" s="422"/>
      <c r="D16" s="373"/>
      <c r="E16" s="373">
        <v>-200</v>
      </c>
      <c r="F16" s="373"/>
      <c r="G16" s="373">
        <v>-185.67</v>
      </c>
      <c r="H16" s="87">
        <f t="shared" si="2"/>
        <v>-165617.25000000003</v>
      </c>
    </row>
    <row r="17" spans="1:14" s="75" customFormat="1">
      <c r="A17" s="413"/>
      <c r="B17" s="380" t="s">
        <v>68</v>
      </c>
      <c r="C17" s="380"/>
      <c r="D17" s="376">
        <v>15000</v>
      </c>
      <c r="E17" s="376"/>
      <c r="F17" s="376">
        <v>15054.88</v>
      </c>
      <c r="G17" s="74"/>
      <c r="H17" s="74">
        <f t="shared" si="2"/>
        <v>-150562.37000000002</v>
      </c>
      <c r="J17" s="90"/>
      <c r="K17" s="90"/>
      <c r="L17" s="91"/>
      <c r="M17" s="92"/>
    </row>
    <row r="18" spans="1:14" s="75" customFormat="1">
      <c r="A18" s="401"/>
      <c r="B18" s="380" t="s">
        <v>69</v>
      </c>
      <c r="C18" s="380"/>
      <c r="D18" s="376"/>
      <c r="E18" s="376">
        <v>-7500</v>
      </c>
      <c r="F18" s="84"/>
      <c r="G18" s="84">
        <v>-7504</v>
      </c>
      <c r="H18" s="84">
        <f t="shared" si="2"/>
        <v>-158066.37000000002</v>
      </c>
      <c r="J18" s="90"/>
      <c r="K18" s="90"/>
      <c r="L18" s="91"/>
      <c r="M18" s="92"/>
    </row>
    <row r="19" spans="1:14" s="75" customFormat="1">
      <c r="A19" s="401"/>
      <c r="B19" s="380" t="s">
        <v>70</v>
      </c>
      <c r="C19" s="380"/>
      <c r="D19" s="376"/>
      <c r="E19" s="376">
        <v>-7500</v>
      </c>
      <c r="F19" s="84"/>
      <c r="G19" s="84">
        <v>-7504</v>
      </c>
      <c r="H19" s="84">
        <f t="shared" ref="H19:H23" si="3">H18+F19+G19</f>
        <v>-165570.37000000002</v>
      </c>
      <c r="J19" s="90"/>
      <c r="K19" s="90"/>
      <c r="L19" s="91"/>
      <c r="M19" s="92"/>
    </row>
    <row r="20" spans="1:14" s="75" customFormat="1">
      <c r="A20" s="401"/>
      <c r="B20" s="380" t="s">
        <v>71</v>
      </c>
      <c r="C20" s="380"/>
      <c r="D20" s="376"/>
      <c r="E20" s="376">
        <v>-7500</v>
      </c>
      <c r="F20" s="84"/>
      <c r="G20" s="84">
        <v>-7500</v>
      </c>
      <c r="H20" s="84">
        <f t="shared" si="3"/>
        <v>-173070.37000000002</v>
      </c>
      <c r="J20" s="90"/>
      <c r="K20" s="90"/>
      <c r="L20" s="91"/>
      <c r="M20" s="92"/>
    </row>
    <row r="21" spans="1:14" s="75" customFormat="1">
      <c r="A21" s="413">
        <v>45744</v>
      </c>
      <c r="B21" s="380" t="s">
        <v>90</v>
      </c>
      <c r="C21" s="380" t="s">
        <v>93</v>
      </c>
      <c r="D21" s="376" t="s">
        <v>382</v>
      </c>
      <c r="E21" s="376">
        <v>-1380</v>
      </c>
      <c r="F21" s="74"/>
      <c r="G21" s="74"/>
      <c r="H21" s="87">
        <f t="shared" si="3"/>
        <v>-173070.37000000002</v>
      </c>
      <c r="J21" s="90"/>
      <c r="K21" s="90"/>
      <c r="L21" s="91"/>
      <c r="M21" s="92"/>
    </row>
    <row r="22" spans="1:14" s="75" customFormat="1">
      <c r="A22" s="413">
        <v>45776</v>
      </c>
      <c r="B22" s="380" t="s">
        <v>90</v>
      </c>
      <c r="C22" s="380" t="s">
        <v>316</v>
      </c>
      <c r="D22" s="376" t="s">
        <v>382</v>
      </c>
      <c r="E22" s="376">
        <v>-1380</v>
      </c>
      <c r="F22" s="74"/>
      <c r="G22" s="74"/>
      <c r="H22" s="87">
        <f t="shared" si="3"/>
        <v>-173070.37000000002</v>
      </c>
      <c r="J22" s="90"/>
      <c r="K22" s="90"/>
      <c r="L22" s="91"/>
      <c r="M22" s="92"/>
    </row>
    <row r="23" spans="1:14" s="75" customFormat="1">
      <c r="A23" s="401">
        <v>45775</v>
      </c>
      <c r="B23" s="422" t="s">
        <v>72</v>
      </c>
      <c r="C23" s="422"/>
      <c r="D23" s="373"/>
      <c r="E23" s="373">
        <v>-600</v>
      </c>
      <c r="F23" s="74"/>
      <c r="G23" s="74">
        <v>-335</v>
      </c>
      <c r="H23" s="87">
        <f t="shared" si="3"/>
        <v>-173405.37000000002</v>
      </c>
      <c r="J23" s="90"/>
      <c r="K23" s="90"/>
      <c r="L23" s="91"/>
      <c r="M23" s="92"/>
    </row>
    <row r="24" spans="1:14" s="75" customFormat="1">
      <c r="A24" s="401">
        <v>45775</v>
      </c>
      <c r="B24" s="422" t="s">
        <v>73</v>
      </c>
      <c r="C24" s="422"/>
      <c r="D24" s="373"/>
      <c r="E24" s="373">
        <v>-800</v>
      </c>
      <c r="F24" s="74"/>
      <c r="G24" s="74">
        <v>-560</v>
      </c>
      <c r="H24" s="74">
        <f t="shared" ref="H24:H29" si="4">H23+F24+G24</f>
        <v>-173965.37000000002</v>
      </c>
      <c r="J24" s="90"/>
      <c r="K24" s="90"/>
      <c r="L24" s="91"/>
      <c r="M24" s="92"/>
    </row>
    <row r="25" spans="1:14" s="75" customFormat="1">
      <c r="A25" s="401">
        <v>45764</v>
      </c>
      <c r="B25" s="422" t="s">
        <v>447</v>
      </c>
      <c r="C25" s="403"/>
      <c r="D25" s="373"/>
      <c r="E25" s="373"/>
      <c r="F25" s="74"/>
      <c r="G25" s="74">
        <v>-70</v>
      </c>
      <c r="H25" s="74">
        <f t="shared" si="4"/>
        <v>-174035.37000000002</v>
      </c>
    </row>
    <row r="26" spans="1:14" s="75" customFormat="1">
      <c r="A26" s="94"/>
      <c r="D26" s="74"/>
      <c r="E26" s="74"/>
      <c r="F26" s="74"/>
      <c r="G26" s="74"/>
      <c r="H26" s="74">
        <f t="shared" si="4"/>
        <v>-174035.37000000002</v>
      </c>
    </row>
    <row r="27" spans="1:14">
      <c r="B27" s="97" t="s">
        <v>91</v>
      </c>
      <c r="C27" s="97"/>
      <c r="H27" s="74">
        <f t="shared" si="4"/>
        <v>-174035.37000000002</v>
      </c>
      <c r="I27" s="75"/>
      <c r="J27" s="75"/>
    </row>
    <row r="28" spans="1:14">
      <c r="A28" s="401">
        <v>45764</v>
      </c>
      <c r="B28" s="408" t="s">
        <v>1756</v>
      </c>
      <c r="C28" s="408"/>
      <c r="D28" s="373"/>
      <c r="E28" s="373"/>
      <c r="F28" s="373"/>
      <c r="G28" s="373">
        <v>-2500</v>
      </c>
      <c r="H28" s="74">
        <f t="shared" si="4"/>
        <v>-176535.37000000002</v>
      </c>
    </row>
    <row r="29" spans="1:14">
      <c r="A29" s="401">
        <v>45777</v>
      </c>
      <c r="B29" s="408" t="s">
        <v>1783</v>
      </c>
      <c r="C29" s="408"/>
      <c r="D29" s="373"/>
      <c r="E29" s="373"/>
      <c r="G29" s="74">
        <v>-219</v>
      </c>
      <c r="H29" s="74">
        <f t="shared" si="4"/>
        <v>-176754.37000000002</v>
      </c>
    </row>
    <row r="30" spans="1:14" s="75" customFormat="1">
      <c r="A30" s="94"/>
      <c r="B30"/>
      <c r="C30"/>
      <c r="D30" s="74"/>
      <c r="E30" s="74"/>
      <c r="F30" s="74"/>
      <c r="G30" s="74"/>
      <c r="H30" s="74"/>
      <c r="I30"/>
      <c r="J30"/>
    </row>
    <row r="31" spans="1:14" s="74" customFormat="1">
      <c r="A31" s="94"/>
      <c r="B31" s="75"/>
      <c r="C31" s="75"/>
      <c r="I31" s="75"/>
      <c r="J31" s="75"/>
      <c r="K31" s="75"/>
      <c r="L31" s="75"/>
      <c r="M31" s="75"/>
      <c r="N31" s="75"/>
    </row>
    <row r="32" spans="1:14" s="74" customFormat="1">
      <c r="A32" s="418"/>
      <c r="B32" s="98"/>
      <c r="K32" s="75"/>
      <c r="L32" s="75"/>
      <c r="M32" s="75"/>
      <c r="N32" s="75"/>
    </row>
    <row r="33" spans="1:14">
      <c r="A33" s="419"/>
      <c r="B33" s="100" t="s">
        <v>75</v>
      </c>
      <c r="C33" s="99"/>
      <c r="E33" s="74">
        <f>SUM(E35:E45)</f>
        <v>-123984.02000000002</v>
      </c>
      <c r="I33" s="74"/>
      <c r="J33" s="74"/>
    </row>
    <row r="34" spans="1:14" s="74" customFormat="1">
      <c r="A34" s="94"/>
      <c r="B34"/>
      <c r="C34"/>
      <c r="I34"/>
      <c r="J34"/>
      <c r="K34" s="75"/>
      <c r="L34" s="75"/>
      <c r="M34" s="75"/>
      <c r="N34" s="75"/>
    </row>
    <row r="35" spans="1:14" s="87" customFormat="1">
      <c r="A35" s="94">
        <v>45713</v>
      </c>
      <c r="B35" s="11" t="s">
        <v>1704</v>
      </c>
      <c r="C35" s="11" t="s">
        <v>1691</v>
      </c>
      <c r="E35" s="87">
        <v>-291.36</v>
      </c>
      <c r="F35" s="87">
        <v>1</v>
      </c>
      <c r="I35" s="11"/>
      <c r="J35" s="11"/>
      <c r="K35" s="75"/>
      <c r="L35" s="75"/>
      <c r="M35" s="75"/>
      <c r="N35" s="75"/>
    </row>
    <row r="36" spans="1:14" s="87" customFormat="1">
      <c r="A36" s="94"/>
      <c r="B36" s="11"/>
      <c r="C36" s="11"/>
      <c r="I36" s="11"/>
      <c r="J36" s="11"/>
      <c r="K36" s="75"/>
      <c r="L36" s="75"/>
      <c r="M36" s="75"/>
      <c r="N36" s="75"/>
    </row>
    <row r="37" spans="1:14" s="74" customFormat="1">
      <c r="A37" s="94">
        <v>45715</v>
      </c>
      <c r="B37" s="87" t="s">
        <v>1628</v>
      </c>
      <c r="C37" s="87">
        <v>5938.68</v>
      </c>
      <c r="D37" s="87" t="s">
        <v>651</v>
      </c>
      <c r="E37" s="87">
        <v>-989.78</v>
      </c>
      <c r="F37" s="74">
        <v>1</v>
      </c>
      <c r="K37" s="75"/>
      <c r="L37" s="75"/>
      <c r="M37" s="75"/>
      <c r="N37" s="75"/>
    </row>
    <row r="38" spans="1:14" s="74" customFormat="1">
      <c r="A38" s="94">
        <v>45716</v>
      </c>
      <c r="B38" s="74" t="s">
        <v>1663</v>
      </c>
      <c r="E38" s="74">
        <v>-1023.05</v>
      </c>
      <c r="F38" s="74">
        <v>1</v>
      </c>
      <c r="K38" s="75"/>
      <c r="L38" s="75"/>
      <c r="M38" s="75"/>
      <c r="N38" s="75"/>
    </row>
    <row r="39" spans="1:14" s="74" customFormat="1">
      <c r="A39" s="94">
        <v>45716</v>
      </c>
      <c r="B39" s="87" t="s">
        <v>1663</v>
      </c>
      <c r="E39" s="74">
        <v>-118966.5</v>
      </c>
      <c r="F39" s="74">
        <v>1</v>
      </c>
      <c r="K39" s="75"/>
      <c r="L39" s="75"/>
      <c r="M39" s="75"/>
      <c r="N39" s="75"/>
    </row>
    <row r="40" spans="1:14">
      <c r="A40" s="94">
        <v>45716</v>
      </c>
      <c r="B40" s="87" t="s">
        <v>1692</v>
      </c>
      <c r="C40" s="87"/>
      <c r="D40" s="87"/>
      <c r="E40" s="87">
        <v>-1380</v>
      </c>
      <c r="F40" s="87">
        <v>1</v>
      </c>
      <c r="I40" s="74"/>
      <c r="J40" s="74"/>
    </row>
    <row r="41" spans="1:14" s="74" customFormat="1">
      <c r="A41" s="418">
        <v>45723</v>
      </c>
      <c r="B41" s="74" t="s">
        <v>121</v>
      </c>
      <c r="D41" s="74">
        <v>19043.61</v>
      </c>
      <c r="I41"/>
      <c r="J41"/>
      <c r="K41" s="75"/>
      <c r="L41" s="75"/>
      <c r="M41" s="75"/>
      <c r="N41" s="75"/>
    </row>
    <row r="42" spans="1:14" s="74" customFormat="1">
      <c r="A42" s="94">
        <v>45741</v>
      </c>
      <c r="B42" s="102" t="s">
        <v>531</v>
      </c>
      <c r="C42" s="102"/>
      <c r="E42" s="74">
        <v>-1262</v>
      </c>
      <c r="F42" s="74">
        <v>1</v>
      </c>
      <c r="K42" s="75"/>
      <c r="L42" s="75"/>
      <c r="M42" s="75"/>
      <c r="N42" s="75"/>
    </row>
    <row r="43" spans="1:14" s="74" customFormat="1">
      <c r="B43" s="74" t="s">
        <v>536</v>
      </c>
      <c r="E43" s="74">
        <v>-4.7699999999999996</v>
      </c>
      <c r="K43" s="75"/>
      <c r="L43" s="75"/>
      <c r="M43" s="75"/>
      <c r="N43" s="75"/>
    </row>
    <row r="44" spans="1:14" s="74" customFormat="1">
      <c r="A44" s="94"/>
      <c r="B44" s="103" t="s">
        <v>536</v>
      </c>
      <c r="C44" s="102"/>
      <c r="E44" s="74">
        <v>-3.46</v>
      </c>
      <c r="K44" s="75"/>
      <c r="L44" s="75"/>
      <c r="M44" s="75"/>
      <c r="N44" s="75"/>
    </row>
    <row r="45" spans="1:14" s="74" customFormat="1">
      <c r="A45" s="94"/>
      <c r="B45" s="103" t="s">
        <v>1058</v>
      </c>
      <c r="C45" s="102"/>
      <c r="E45" s="74">
        <v>-63.1</v>
      </c>
      <c r="K45" s="75"/>
      <c r="L45" s="75"/>
      <c r="M45" s="75"/>
      <c r="N45" s="75"/>
    </row>
    <row r="46" spans="1:14" s="74" customFormat="1" ht="15">
      <c r="A46" s="94"/>
      <c r="B46" s="103"/>
      <c r="E46" s="101" t="s">
        <v>76</v>
      </c>
      <c r="K46" s="75"/>
      <c r="L46" s="75"/>
      <c r="M46" s="75"/>
      <c r="N46" s="75"/>
    </row>
    <row r="47" spans="1:14" s="74" customFormat="1">
      <c r="A47" s="94"/>
      <c r="B47" s="103"/>
      <c r="C47" s="102"/>
      <c r="K47" s="75"/>
      <c r="L47" s="75"/>
      <c r="M47" s="75"/>
      <c r="N47" s="75"/>
    </row>
    <row r="48" spans="1:14" s="74" customFormat="1">
      <c r="K48" s="75"/>
      <c r="L48" s="75"/>
      <c r="M48" s="75"/>
      <c r="N48" s="75"/>
    </row>
    <row r="49" spans="1:14" s="74" customFormat="1">
      <c r="A49" s="94"/>
      <c r="B49" s="102"/>
      <c r="C49" s="102"/>
      <c r="K49" s="75"/>
      <c r="L49" s="75"/>
      <c r="M49" s="75"/>
      <c r="N49" s="75"/>
    </row>
    <row r="50" spans="1:14" s="74" customFormat="1">
      <c r="A50" s="419"/>
      <c r="B50" s="100" t="s">
        <v>77</v>
      </c>
      <c r="C50" s="99"/>
      <c r="E50" s="74">
        <f>SUM(E51:E74)</f>
        <v>-19953.18</v>
      </c>
      <c r="K50" s="75"/>
      <c r="L50" s="75"/>
      <c r="M50" s="75"/>
      <c r="N50" s="75"/>
    </row>
    <row r="51" spans="1:14" s="74" customFormat="1">
      <c r="A51" s="94"/>
      <c r="B51" s="102"/>
      <c r="C51" s="102"/>
      <c r="K51" s="75"/>
      <c r="L51" s="75"/>
      <c r="M51" s="75"/>
      <c r="N51" s="75"/>
    </row>
    <row r="52" spans="1:14" s="74" customFormat="1">
      <c r="A52" s="94"/>
      <c r="B52" s="102"/>
      <c r="C52" s="102"/>
      <c r="K52" s="75"/>
      <c r="L52" s="75"/>
      <c r="M52" s="75"/>
      <c r="N52" s="75"/>
    </row>
    <row r="53" spans="1:14" s="74" customFormat="1">
      <c r="K53" s="75"/>
      <c r="L53" s="75"/>
      <c r="M53" s="75"/>
      <c r="N53" s="75"/>
    </row>
    <row r="54" spans="1:14" s="74" customFormat="1">
      <c r="A54" s="94">
        <v>45728</v>
      </c>
      <c r="B54" s="87" t="s">
        <v>1678</v>
      </c>
      <c r="C54"/>
      <c r="D54" s="74" t="s">
        <v>1679</v>
      </c>
      <c r="E54" s="74">
        <v>-625</v>
      </c>
      <c r="K54" s="75"/>
      <c r="L54" s="75"/>
      <c r="M54" s="75"/>
      <c r="N54" s="75"/>
    </row>
    <row r="55" spans="1:14" s="74" customFormat="1">
      <c r="A55" s="418">
        <v>45692</v>
      </c>
      <c r="B55" s="87" t="s">
        <v>1653</v>
      </c>
      <c r="C55" s="87"/>
      <c r="D55" s="87" t="s">
        <v>982</v>
      </c>
      <c r="E55" s="87">
        <v>-600.13</v>
      </c>
      <c r="K55" s="75"/>
      <c r="L55" s="75"/>
      <c r="M55" s="75"/>
      <c r="N55" s="75"/>
    </row>
    <row r="56" spans="1:14" s="87" customFormat="1">
      <c r="A56" s="418">
        <v>45692</v>
      </c>
      <c r="B56" s="87" t="s">
        <v>1653</v>
      </c>
      <c r="D56" s="87" t="s">
        <v>982</v>
      </c>
      <c r="E56" s="87">
        <v>-2500.3000000000002</v>
      </c>
      <c r="K56" s="75"/>
      <c r="L56" s="75"/>
      <c r="M56" s="75"/>
      <c r="N56" s="75"/>
    </row>
    <row r="57" spans="1:14" s="87" customFormat="1">
      <c r="A57" s="94"/>
      <c r="B57" s="89"/>
      <c r="C57" s="102"/>
      <c r="K57" s="75"/>
      <c r="L57" s="75"/>
      <c r="M57" s="75"/>
      <c r="N57" s="75"/>
    </row>
    <row r="58" spans="1:14" s="74" customFormat="1">
      <c r="A58" s="94">
        <v>45737</v>
      </c>
      <c r="B58" s="74" t="s">
        <v>1680</v>
      </c>
      <c r="E58" s="74">
        <v>-2350</v>
      </c>
      <c r="K58" s="75"/>
      <c r="L58" s="75"/>
      <c r="M58" s="75"/>
      <c r="N58" s="75"/>
    </row>
    <row r="59" spans="1:14" s="74" customFormat="1">
      <c r="A59" s="94">
        <v>45737</v>
      </c>
      <c r="B59" s="74" t="s">
        <v>1681</v>
      </c>
      <c r="E59" s="74">
        <v>-1800</v>
      </c>
      <c r="K59" s="75"/>
      <c r="L59" s="75"/>
      <c r="M59" s="75"/>
      <c r="N59" s="75"/>
    </row>
    <row r="60" spans="1:14" s="74" customFormat="1">
      <c r="A60" s="94">
        <v>45714</v>
      </c>
      <c r="B60" s="3" t="s">
        <v>1603</v>
      </c>
      <c r="C60" s="102"/>
      <c r="E60" s="74">
        <v>-80</v>
      </c>
      <c r="K60" s="75"/>
      <c r="L60" s="75"/>
      <c r="M60" s="75"/>
      <c r="N60" s="75"/>
    </row>
    <row r="61" spans="1:14" s="74" customFormat="1">
      <c r="A61" s="94">
        <v>45716</v>
      </c>
      <c r="B61" s="3" t="s">
        <v>1682</v>
      </c>
      <c r="C61" s="102"/>
      <c r="E61" s="74">
        <v>-120</v>
      </c>
      <c r="K61" s="75"/>
      <c r="L61" s="75"/>
      <c r="M61" s="75"/>
      <c r="N61" s="75"/>
    </row>
    <row r="62" spans="1:14" s="74" customFormat="1">
      <c r="A62" s="94">
        <v>45716</v>
      </c>
      <c r="B62" s="74" t="s">
        <v>1603</v>
      </c>
      <c r="E62" s="74">
        <v>-360</v>
      </c>
      <c r="K62" s="75"/>
      <c r="L62" s="75"/>
      <c r="M62" s="75"/>
      <c r="N62" s="75"/>
    </row>
    <row r="63" spans="1:14" s="74" customFormat="1">
      <c r="A63" s="418">
        <v>45717</v>
      </c>
      <c r="B63" s="74" t="s">
        <v>1683</v>
      </c>
      <c r="E63" s="74">
        <v>-500</v>
      </c>
      <c r="K63" s="75"/>
      <c r="L63" s="75"/>
      <c r="M63" s="75"/>
      <c r="N63" s="75"/>
    </row>
    <row r="64" spans="1:14" s="74" customFormat="1">
      <c r="A64" s="94">
        <v>45721</v>
      </c>
      <c r="B64" s="3" t="s">
        <v>121</v>
      </c>
      <c r="C64" s="102"/>
      <c r="D64" s="74">
        <v>14628.183000000001</v>
      </c>
      <c r="K64" s="75"/>
      <c r="L64" s="75"/>
      <c r="M64" s="75"/>
      <c r="N64" s="75"/>
    </row>
    <row r="65" spans="1:14" s="74" customFormat="1" ht="13.5" thickBot="1">
      <c r="A65" s="94"/>
      <c r="B65" s="3"/>
      <c r="C65" s="102"/>
      <c r="K65" s="75"/>
      <c r="L65" s="75"/>
      <c r="M65" s="75"/>
      <c r="N65" s="75"/>
    </row>
    <row r="66" spans="1:14" s="74" customFormat="1">
      <c r="A66" s="94">
        <v>45728</v>
      </c>
      <c r="B66" s="3" t="s">
        <v>1684</v>
      </c>
      <c r="C66" s="102"/>
      <c r="D66" s="446">
        <v>1400</v>
      </c>
      <c r="E66" s="74">
        <v>-1400</v>
      </c>
      <c r="K66" s="75"/>
      <c r="L66" s="75"/>
      <c r="M66" s="75"/>
      <c r="N66" s="75"/>
    </row>
    <row r="67" spans="1:14" s="74" customFormat="1">
      <c r="A67" s="94">
        <v>45728</v>
      </c>
      <c r="B67" s="3" t="s">
        <v>1685</v>
      </c>
      <c r="C67" s="102"/>
      <c r="D67" s="447">
        <v>4150</v>
      </c>
      <c r="E67" s="74">
        <v>-4150</v>
      </c>
      <c r="K67" s="75"/>
      <c r="L67" s="75"/>
      <c r="M67" s="75"/>
      <c r="N67" s="75"/>
    </row>
    <row r="68" spans="1:14" s="74" customFormat="1">
      <c r="A68" s="94">
        <v>45733</v>
      </c>
      <c r="B68" s="89" t="s">
        <v>1686</v>
      </c>
      <c r="C68" s="102"/>
      <c r="D68" s="447">
        <v>2500</v>
      </c>
      <c r="E68" s="74">
        <v>-2500</v>
      </c>
      <c r="K68" s="75"/>
      <c r="L68" s="75"/>
      <c r="M68" s="75"/>
      <c r="N68" s="75"/>
    </row>
    <row r="69" spans="1:14" s="74" customFormat="1">
      <c r="A69" s="94">
        <v>45733</v>
      </c>
      <c r="B69" s="3" t="s">
        <v>1687</v>
      </c>
      <c r="C69" s="102"/>
      <c r="D69" s="447">
        <v>1400</v>
      </c>
      <c r="E69" s="74">
        <v>-1400</v>
      </c>
      <c r="K69" s="75"/>
      <c r="L69" s="75"/>
      <c r="M69" s="75"/>
      <c r="N69" s="75"/>
    </row>
    <row r="70" spans="1:14" s="74" customFormat="1">
      <c r="A70" s="94">
        <v>45739</v>
      </c>
      <c r="B70" s="3" t="s">
        <v>1688</v>
      </c>
      <c r="C70" s="102"/>
      <c r="D70" s="447">
        <v>1200</v>
      </c>
      <c r="E70" s="74">
        <v>-1000</v>
      </c>
      <c r="K70" s="75"/>
      <c r="L70" s="75"/>
      <c r="M70" s="75"/>
      <c r="N70" s="75"/>
    </row>
    <row r="71" spans="1:14" s="74" customFormat="1">
      <c r="A71" s="94">
        <v>45739</v>
      </c>
      <c r="B71" s="3" t="s">
        <v>1689</v>
      </c>
      <c r="C71" s="102"/>
      <c r="D71" s="447"/>
      <c r="E71" s="74">
        <v>-550</v>
      </c>
      <c r="K71" s="75"/>
      <c r="L71" s="75"/>
      <c r="M71" s="75"/>
      <c r="N71" s="75"/>
    </row>
    <row r="72" spans="1:14" s="74" customFormat="1">
      <c r="A72" s="94"/>
      <c r="B72" s="3" t="s">
        <v>1690</v>
      </c>
      <c r="D72" s="447"/>
      <c r="E72" s="74">
        <v>-17.75</v>
      </c>
      <c r="K72" s="75"/>
      <c r="L72" s="75"/>
      <c r="M72" s="75"/>
      <c r="N72" s="75"/>
    </row>
    <row r="73" spans="1:14" ht="15">
      <c r="B73" s="3"/>
      <c r="C73" s="102"/>
      <c r="D73" s="447"/>
      <c r="E73" s="101" t="s">
        <v>76</v>
      </c>
      <c r="I73" s="74"/>
      <c r="J73" s="74"/>
    </row>
    <row r="74" spans="1:14" ht="13.5" thickBot="1">
      <c r="D74" s="447"/>
    </row>
    <row r="75" spans="1:14" ht="13.5" thickBot="1">
      <c r="B75" s="450" t="s">
        <v>1698</v>
      </c>
      <c r="C75" s="140"/>
      <c r="D75" s="113">
        <f>SUM(D66:D74)</f>
        <v>10650</v>
      </c>
    </row>
    <row r="76" spans="1:14">
      <c r="A76" s="445">
        <v>45740</v>
      </c>
      <c r="B76" s="395" t="s">
        <v>1699</v>
      </c>
      <c r="C76" s="395"/>
      <c r="D76" s="452">
        <v>8500</v>
      </c>
      <c r="E76" s="393"/>
      <c r="F76" s="393"/>
    </row>
    <row r="77" spans="1:14">
      <c r="A77" s="445">
        <v>45740</v>
      </c>
      <c r="B77" s="395" t="s">
        <v>1700</v>
      </c>
      <c r="C77" s="395"/>
      <c r="D77" s="453">
        <v>90000</v>
      </c>
      <c r="E77" s="393"/>
      <c r="F77" s="393"/>
    </row>
    <row r="78" spans="1:14">
      <c r="A78" s="445">
        <v>45728</v>
      </c>
      <c r="B78" s="395" t="s">
        <v>1701</v>
      </c>
      <c r="C78" s="395"/>
      <c r="D78" s="453">
        <v>1500</v>
      </c>
      <c r="E78" s="393"/>
      <c r="F78" s="393"/>
    </row>
    <row r="79" spans="1:14">
      <c r="B79" s="454" t="s">
        <v>1705</v>
      </c>
      <c r="D79" s="447">
        <v>3750</v>
      </c>
    </row>
    <row r="80" spans="1:14">
      <c r="A80" s="94">
        <v>45743</v>
      </c>
      <c r="B80" s="459" t="s">
        <v>1713</v>
      </c>
      <c r="C80" s="456"/>
      <c r="D80" s="458">
        <v>1600</v>
      </c>
    </row>
    <row r="81" spans="1:14">
      <c r="A81" s="94">
        <v>45829</v>
      </c>
      <c r="B81" s="455" t="s">
        <v>1866</v>
      </c>
      <c r="C81" s="456"/>
      <c r="D81" s="457">
        <v>30000</v>
      </c>
    </row>
    <row r="82" spans="1:14" s="11" customFormat="1">
      <c r="A82" s="94">
        <v>45761</v>
      </c>
      <c r="B82" s="477" t="s">
        <v>1742</v>
      </c>
      <c r="C82" s="478"/>
      <c r="D82" s="479">
        <v>4500</v>
      </c>
      <c r="E82" s="87"/>
      <c r="F82" s="87"/>
      <c r="G82" s="87"/>
      <c r="H82" s="87"/>
      <c r="K82" s="75"/>
      <c r="L82" s="75"/>
      <c r="M82" s="75"/>
      <c r="N82" s="75"/>
    </row>
    <row r="83" spans="1:14" s="11" customFormat="1">
      <c r="A83" s="94">
        <v>45772</v>
      </c>
      <c r="B83" s="455" t="s">
        <v>1755</v>
      </c>
      <c r="C83" s="456"/>
      <c r="D83" s="457">
        <v>700</v>
      </c>
      <c r="E83" s="87"/>
      <c r="F83" s="87"/>
      <c r="G83" s="87"/>
      <c r="H83" s="87"/>
      <c r="K83" s="75"/>
      <c r="L83" s="75"/>
      <c r="M83" s="75"/>
      <c r="N83" s="75"/>
    </row>
    <row r="84" spans="1:14">
      <c r="A84" s="94">
        <v>45772</v>
      </c>
      <c r="B84" t="s">
        <v>1769</v>
      </c>
      <c r="D84" s="447">
        <v>700</v>
      </c>
    </row>
    <row r="85" spans="1:14" s="11" customFormat="1">
      <c r="A85" s="94">
        <v>45772</v>
      </c>
      <c r="B85" s="11" t="s">
        <v>1770</v>
      </c>
      <c r="D85" s="447">
        <v>1200</v>
      </c>
      <c r="E85" s="87"/>
      <c r="F85" s="87"/>
      <c r="G85" s="87"/>
      <c r="H85" s="87"/>
      <c r="K85" s="75"/>
      <c r="L85" s="75"/>
      <c r="M85" s="75"/>
      <c r="N85" s="75"/>
    </row>
    <row r="86" spans="1:14" s="11" customFormat="1">
      <c r="A86" s="94">
        <v>45829</v>
      </c>
      <c r="B86" s="11" t="s">
        <v>1862</v>
      </c>
      <c r="D86" s="447">
        <v>6500</v>
      </c>
      <c r="E86" s="87"/>
      <c r="F86" s="87"/>
      <c r="G86" s="87"/>
      <c r="H86" s="87"/>
      <c r="K86" s="75"/>
      <c r="L86" s="75"/>
      <c r="M86" s="75"/>
      <c r="N86" s="75"/>
    </row>
    <row r="87" spans="1:14" s="11" customFormat="1">
      <c r="A87" s="94">
        <v>45829</v>
      </c>
      <c r="B87" s="11" t="s">
        <v>1863</v>
      </c>
      <c r="D87" s="447"/>
      <c r="E87" s="87"/>
      <c r="F87" s="87"/>
      <c r="G87" s="87"/>
      <c r="H87" s="87"/>
      <c r="K87" s="75"/>
      <c r="L87" s="75"/>
      <c r="M87" s="75"/>
      <c r="N87" s="75"/>
    </row>
    <row r="88" spans="1:14" s="11" customFormat="1">
      <c r="A88" s="94">
        <v>45829</v>
      </c>
      <c r="B88" s="11" t="s">
        <v>1864</v>
      </c>
      <c r="D88" s="447"/>
      <c r="E88" s="87"/>
      <c r="F88" s="87"/>
      <c r="G88" s="87"/>
      <c r="H88" s="87"/>
      <c r="K88" s="75"/>
      <c r="L88" s="75"/>
      <c r="M88" s="75"/>
      <c r="N88" s="75"/>
    </row>
    <row r="89" spans="1:14" s="11" customFormat="1">
      <c r="A89" s="94">
        <v>45829</v>
      </c>
      <c r="B89" s="11" t="s">
        <v>1771</v>
      </c>
      <c r="D89" s="447"/>
      <c r="E89" s="87"/>
      <c r="F89" s="87"/>
      <c r="G89" s="87"/>
      <c r="H89" s="87"/>
      <c r="K89" s="75"/>
      <c r="L89" s="75"/>
      <c r="M89" s="75"/>
      <c r="N89" s="75"/>
    </row>
    <row r="90" spans="1:14" s="11" customFormat="1">
      <c r="A90" s="94">
        <v>45829</v>
      </c>
      <c r="B90" s="11" t="s">
        <v>1865</v>
      </c>
      <c r="D90" s="447"/>
      <c r="E90" s="87"/>
      <c r="F90" s="87"/>
      <c r="G90" s="87"/>
      <c r="H90" s="87"/>
      <c r="K90" s="75"/>
      <c r="L90" s="75"/>
      <c r="M90" s="75"/>
      <c r="N90" s="75"/>
    </row>
    <row r="91" spans="1:14" ht="13.5" thickBot="1">
      <c r="B91" t="s">
        <v>1772</v>
      </c>
      <c r="D91" s="448"/>
    </row>
    <row r="92" spans="1:14" ht="13.5" thickBot="1">
      <c r="B92" s="450" t="s">
        <v>1702</v>
      </c>
      <c r="C92" s="451"/>
      <c r="D92" s="449">
        <f>SUM(D75:D91)</f>
        <v>159600</v>
      </c>
    </row>
    <row r="106" spans="1:23">
      <c r="A106" s="109" t="s">
        <v>1719</v>
      </c>
      <c r="B106" s="100" t="s">
        <v>128</v>
      </c>
      <c r="C106" s="99">
        <v>2025</v>
      </c>
      <c r="D106" s="87"/>
      <c r="E106" s="87"/>
      <c r="F106" s="87"/>
      <c r="G106" s="87">
        <f>SUM(G110:G135)</f>
        <v>650146.41620000009</v>
      </c>
      <c r="H106" s="87"/>
      <c r="I106" s="87"/>
      <c r="J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>
      <c r="A107" s="109"/>
      <c r="B107" s="100"/>
      <c r="C107" s="99"/>
      <c r="D107" s="87"/>
      <c r="E107" s="87"/>
      <c r="F107" s="87"/>
      <c r="G107" s="87"/>
      <c r="H107" s="87"/>
      <c r="I107" s="87"/>
      <c r="J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>
      <c r="A108" s="109"/>
      <c r="B108" s="100"/>
      <c r="C108" s="99"/>
      <c r="D108" s="87"/>
      <c r="E108" s="87" t="s">
        <v>129</v>
      </c>
      <c r="F108" s="87"/>
      <c r="G108" s="87"/>
      <c r="H108" s="87"/>
      <c r="I108" s="87"/>
      <c r="J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>
      <c r="A109" s="96"/>
      <c r="B109" s="87" t="s">
        <v>69</v>
      </c>
      <c r="C109" s="87"/>
      <c r="D109" s="87"/>
      <c r="E109" s="87"/>
      <c r="F109" s="87"/>
      <c r="G109" s="87">
        <v>0</v>
      </c>
      <c r="H109" s="87"/>
      <c r="I109" s="87"/>
      <c r="J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>
      <c r="A110" s="96"/>
      <c r="B110" s="87" t="s">
        <v>70</v>
      </c>
      <c r="C110" s="87"/>
      <c r="D110" s="87"/>
      <c r="E110" s="87"/>
      <c r="F110" s="87"/>
      <c r="G110" s="87">
        <v>0</v>
      </c>
      <c r="H110" s="87"/>
      <c r="I110" s="87"/>
      <c r="J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>
      <c r="A111" s="96">
        <v>45777</v>
      </c>
      <c r="B111" s="87" t="s">
        <v>1727</v>
      </c>
      <c r="C111" s="87"/>
      <c r="D111" s="87"/>
      <c r="E111" s="87">
        <v>159330</v>
      </c>
      <c r="F111" s="87">
        <v>-36500</v>
      </c>
      <c r="G111" s="87">
        <f>E111+F111</f>
        <v>122830</v>
      </c>
      <c r="H111" s="87"/>
      <c r="I111" s="87"/>
      <c r="J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s="11" customFormat="1">
      <c r="A112" s="96"/>
      <c r="B112" s="87" t="s">
        <v>1728</v>
      </c>
      <c r="C112" s="87"/>
      <c r="D112" s="87">
        <f>D92</f>
        <v>159600</v>
      </c>
      <c r="E112" s="87"/>
      <c r="F112" s="87"/>
      <c r="H112" s="87"/>
      <c r="I112" s="87"/>
      <c r="K112" s="75"/>
      <c r="L112" s="75"/>
      <c r="M112" s="75"/>
      <c r="N112" s="75"/>
    </row>
    <row r="113" spans="1:23">
      <c r="A113" s="96">
        <v>45749</v>
      </c>
      <c r="B113" s="87" t="s">
        <v>131</v>
      </c>
      <c r="C113" s="12"/>
      <c r="D113" s="12"/>
      <c r="E113" s="87"/>
      <c r="F113" s="87"/>
      <c r="G113" s="14">
        <v>6171</v>
      </c>
      <c r="H113" s="87"/>
      <c r="I113" s="87"/>
      <c r="J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>
      <c r="A114" s="96">
        <v>45749</v>
      </c>
      <c r="B114" s="87" t="s">
        <v>132</v>
      </c>
      <c r="C114" s="12"/>
      <c r="D114" s="12"/>
      <c r="E114" s="87"/>
      <c r="F114" s="87"/>
      <c r="G114" s="14">
        <v>300</v>
      </c>
      <c r="H114" s="87"/>
      <c r="I114" s="87"/>
      <c r="J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>
      <c r="A115" s="96"/>
      <c r="B115" s="87"/>
      <c r="C115" s="12"/>
      <c r="D115" s="12"/>
      <c r="E115" s="87"/>
      <c r="F115" s="87"/>
      <c r="G115" s="14"/>
      <c r="H115" s="87"/>
      <c r="I115" s="87" t="s">
        <v>1677</v>
      </c>
      <c r="J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s="11" customFormat="1">
      <c r="A116" s="96">
        <v>45620</v>
      </c>
      <c r="B116" s="79" t="s">
        <v>1595</v>
      </c>
      <c r="C116" s="110"/>
      <c r="D116" s="110">
        <v>32.549999999999997</v>
      </c>
      <c r="E116" s="112">
        <f t="shared" ref="E116" si="5">D116*C116</f>
        <v>0</v>
      </c>
      <c r="F116" s="87">
        <v>45.3</v>
      </c>
      <c r="G116" s="14">
        <f t="shared" ref="G116" si="6">F116*C116</f>
        <v>0</v>
      </c>
      <c r="H116" s="87"/>
      <c r="I116" s="87">
        <f t="shared" ref="I116" si="7">G116-E116</f>
        <v>0</v>
      </c>
      <c r="K116" s="75"/>
      <c r="L116" s="75"/>
      <c r="M116" s="75"/>
      <c r="N116" s="75"/>
    </row>
    <row r="117" spans="1:23">
      <c r="A117" s="96">
        <v>45620</v>
      </c>
      <c r="B117" s="79" t="s">
        <v>1595</v>
      </c>
      <c r="C117" s="110">
        <v>1000</v>
      </c>
      <c r="D117" s="110">
        <v>32.549999999999997</v>
      </c>
      <c r="E117" s="112">
        <f t="shared" ref="E117:E118" si="8">D117*C117</f>
        <v>32549.999999999996</v>
      </c>
      <c r="F117" s="87">
        <f>F116</f>
        <v>45.3</v>
      </c>
      <c r="G117" s="14">
        <f>F117*C117</f>
        <v>45300</v>
      </c>
      <c r="H117" s="87"/>
      <c r="I117" s="87">
        <f>G117-E117</f>
        <v>12750.000000000004</v>
      </c>
      <c r="J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>
      <c r="A118" s="96">
        <v>45659</v>
      </c>
      <c r="B118" s="79" t="s">
        <v>1594</v>
      </c>
      <c r="C118" s="110">
        <v>4000</v>
      </c>
      <c r="D118" s="111">
        <v>30.86</v>
      </c>
      <c r="E118" s="112">
        <f t="shared" si="8"/>
        <v>123440</v>
      </c>
      <c r="F118" s="87">
        <f>F117</f>
        <v>45.3</v>
      </c>
      <c r="G118" s="14">
        <f t="shared" ref="G118" si="9">F118*C118</f>
        <v>181200</v>
      </c>
      <c r="H118" s="407">
        <f>SUM(G117:G118)</f>
        <v>226500</v>
      </c>
      <c r="I118" s="87">
        <f t="shared" ref="I118" si="10">G118-E118</f>
        <v>57760</v>
      </c>
      <c r="J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s="11" customFormat="1" ht="13.5" thickBot="1">
      <c r="A119" s="96">
        <v>45772</v>
      </c>
      <c r="B119" s="79" t="s">
        <v>228</v>
      </c>
      <c r="C119" s="110">
        <v>40</v>
      </c>
      <c r="D119" s="111">
        <v>983.06700000000001</v>
      </c>
      <c r="E119" s="112">
        <f t="shared" ref="E119" si="11">D119*C119</f>
        <v>39322.68</v>
      </c>
      <c r="F119" s="87">
        <v>988.94078000000002</v>
      </c>
      <c r="G119" s="14">
        <f t="shared" ref="G119" si="12">F119*C119</f>
        <v>39557.631200000003</v>
      </c>
      <c r="H119" s="407"/>
      <c r="I119" s="87">
        <f t="shared" ref="I119" si="13">G119-E119</f>
        <v>234.95120000000315</v>
      </c>
      <c r="K119" s="75"/>
      <c r="L119" s="75"/>
      <c r="M119" s="75"/>
      <c r="N119" s="75"/>
    </row>
    <row r="120" spans="1:23" ht="13.5" thickBot="1">
      <c r="A120" s="96"/>
      <c r="B120" s="87"/>
      <c r="C120" s="12"/>
      <c r="D120" s="12"/>
      <c r="E120" s="87">
        <f>SUM(E116:E118)</f>
        <v>155990</v>
      </c>
      <c r="F120" s="87"/>
      <c r="G120" s="87"/>
      <c r="H120" s="113">
        <f>(SUM(G116:G118))-(SUM(E116:E118))</f>
        <v>70510</v>
      </c>
      <c r="I120" s="113">
        <f>SUM(I116:I118)</f>
        <v>70510</v>
      </c>
      <c r="J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>
      <c r="A121" s="96"/>
      <c r="B121" s="87"/>
      <c r="C121" s="12"/>
      <c r="D121" s="12"/>
      <c r="E121" s="87"/>
      <c r="F121" s="87"/>
      <c r="G121" s="87"/>
      <c r="H121" s="87"/>
      <c r="I121" s="87"/>
      <c r="J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>
      <c r="A122" s="96">
        <v>45345</v>
      </c>
      <c r="B122" s="79" t="s">
        <v>135</v>
      </c>
      <c r="C122" s="114">
        <v>125000</v>
      </c>
      <c r="D122" s="80">
        <v>1.0399430000000001</v>
      </c>
      <c r="E122" s="112">
        <f>D122*C122</f>
        <v>129992.87500000001</v>
      </c>
      <c r="F122" s="392">
        <v>0.90134499999999995</v>
      </c>
      <c r="G122" s="14">
        <f>F122*C122</f>
        <v>112668.125</v>
      </c>
      <c r="H122" s="87"/>
      <c r="I122" s="87">
        <f t="shared" ref="I122:I125" si="14">G122-E122</f>
        <v>-17324.750000000015</v>
      </c>
      <c r="J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>
      <c r="A123" s="96">
        <v>45400</v>
      </c>
      <c r="B123" s="79" t="s">
        <v>136</v>
      </c>
      <c r="C123" s="110">
        <v>10</v>
      </c>
      <c r="D123" s="80">
        <v>135</v>
      </c>
      <c r="E123" s="112">
        <f>D123*C123</f>
        <v>1350</v>
      </c>
      <c r="F123" s="87">
        <v>109.4</v>
      </c>
      <c r="G123" s="14">
        <f>F123*C123</f>
        <v>1094</v>
      </c>
      <c r="H123" s="87"/>
      <c r="I123" s="87">
        <f t="shared" si="14"/>
        <v>-256</v>
      </c>
      <c r="J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>
      <c r="A124" s="96">
        <v>45418</v>
      </c>
      <c r="B124" s="79" t="s">
        <v>137</v>
      </c>
      <c r="C124" s="110">
        <v>38</v>
      </c>
      <c r="D124" s="80">
        <v>30.5</v>
      </c>
      <c r="E124" s="112">
        <f>D124*C124</f>
        <v>1159</v>
      </c>
      <c r="F124" s="87">
        <v>15.67</v>
      </c>
      <c r="G124" s="14">
        <f>F124*C124</f>
        <v>595.46</v>
      </c>
      <c r="H124" s="87"/>
      <c r="I124" s="87">
        <f t="shared" si="14"/>
        <v>-563.54</v>
      </c>
      <c r="J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3.5" thickBot="1">
      <c r="A125" s="96">
        <v>45418</v>
      </c>
      <c r="B125" s="79" t="s">
        <v>138</v>
      </c>
      <c r="C125" s="110">
        <v>26</v>
      </c>
      <c r="D125" s="80">
        <v>37.115000000000002</v>
      </c>
      <c r="E125" s="112">
        <f>D125*C125</f>
        <v>964.99</v>
      </c>
      <c r="F125" s="87">
        <v>22.7</v>
      </c>
      <c r="G125" s="14">
        <f>F125*C125</f>
        <v>590.19999999999993</v>
      </c>
      <c r="H125" s="407">
        <f>SUM(G122:G125)</f>
        <v>114947.785</v>
      </c>
      <c r="I125" s="87">
        <f t="shared" si="14"/>
        <v>-374.79000000000008</v>
      </c>
      <c r="J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3.5" thickBot="1">
      <c r="A126" s="96"/>
      <c r="B126" s="87"/>
      <c r="C126" s="12"/>
      <c r="D126" s="12"/>
      <c r="E126" s="87">
        <f>SUM(E122:E125)</f>
        <v>133466.86499999999</v>
      </c>
      <c r="F126" s="87"/>
      <c r="G126" s="87"/>
      <c r="H126" s="113">
        <f>(SUM(G122:G125))-(SUM(E122:E125))</f>
        <v>-18519.079999999987</v>
      </c>
      <c r="I126" s="87"/>
      <c r="J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>
      <c r="A127" s="96"/>
      <c r="B127" s="87"/>
      <c r="C127" s="87"/>
      <c r="D127" s="87"/>
      <c r="E127" s="14"/>
      <c r="F127" s="87"/>
      <c r="G127" s="87"/>
      <c r="H127" s="87"/>
      <c r="I127" s="87"/>
      <c r="J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>
      <c r="A128" s="96">
        <v>45509</v>
      </c>
      <c r="B128" s="79" t="s">
        <v>1722</v>
      </c>
      <c r="C128" s="110">
        <v>1</v>
      </c>
      <c r="D128" s="80">
        <v>2500</v>
      </c>
      <c r="E128" s="112">
        <f>D128*C128</f>
        <v>2500</v>
      </c>
      <c r="F128" s="87">
        <v>3900</v>
      </c>
      <c r="G128" s="14">
        <f>C128*F128</f>
        <v>3900</v>
      </c>
      <c r="H128" s="87"/>
      <c r="I128" s="87">
        <f t="shared" ref="I128:I130" si="15">G128-E128</f>
        <v>1400</v>
      </c>
      <c r="J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>
      <c r="A129" s="96">
        <v>45509</v>
      </c>
      <c r="B129" s="79" t="s">
        <v>140</v>
      </c>
      <c r="C129" s="110">
        <v>16</v>
      </c>
      <c r="D129" s="80">
        <v>4100</v>
      </c>
      <c r="E129" s="112">
        <f>D129*C129</f>
        <v>65600</v>
      </c>
      <c r="F129" s="87">
        <f>F128*1.73</f>
        <v>6747</v>
      </c>
      <c r="G129" s="14">
        <f>C129*F129</f>
        <v>107952</v>
      </c>
      <c r="H129" s="87"/>
      <c r="I129" s="87">
        <f t="shared" si="15"/>
        <v>42352</v>
      </c>
      <c r="J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3.5" thickBot="1">
      <c r="A130" s="96">
        <v>45509</v>
      </c>
      <c r="B130" s="79" t="s">
        <v>141</v>
      </c>
      <c r="C130" s="110">
        <v>1</v>
      </c>
      <c r="D130" s="80">
        <v>16200</v>
      </c>
      <c r="E130" s="112">
        <f>D130*C130</f>
        <v>16200</v>
      </c>
      <c r="F130" s="87">
        <f>F129*4</f>
        <v>26988</v>
      </c>
      <c r="G130" s="14">
        <f>C130*F130</f>
        <v>26988</v>
      </c>
      <c r="H130" s="407">
        <f>SUM(G128:G130)</f>
        <v>138840</v>
      </c>
      <c r="I130" s="87">
        <f t="shared" si="15"/>
        <v>10788</v>
      </c>
      <c r="J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3.5" thickBot="1">
      <c r="A131" s="96"/>
      <c r="B131" s="87"/>
      <c r="C131" s="12"/>
      <c r="D131" s="12"/>
      <c r="E131" s="87">
        <f>SUM(E128:E130)</f>
        <v>84300</v>
      </c>
      <c r="F131" s="87"/>
      <c r="G131" s="87"/>
      <c r="H131" s="113">
        <f>(SUM(G128:G130))-(SUM(E128:E130))</f>
        <v>54540</v>
      </c>
      <c r="I131" s="87"/>
      <c r="J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>
      <c r="A132" s="96"/>
      <c r="B132" s="87" t="s">
        <v>142</v>
      </c>
      <c r="C132" s="116">
        <v>33.250599999999999</v>
      </c>
      <c r="D132" s="12"/>
      <c r="E132" s="87"/>
      <c r="F132" s="87"/>
      <c r="G132" s="14"/>
      <c r="H132" s="87"/>
      <c r="I132" s="87"/>
      <c r="J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>
      <c r="A133" s="96"/>
      <c r="B133" s="87" t="s">
        <v>143</v>
      </c>
      <c r="C133" s="116">
        <v>36.854999999999997</v>
      </c>
      <c r="D133" s="12"/>
      <c r="E133" s="87"/>
      <c r="F133" s="87"/>
      <c r="G133" s="14"/>
      <c r="H133" s="87"/>
      <c r="I133" s="87"/>
      <c r="J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>
      <c r="A134" s="96"/>
      <c r="B134" s="87" t="s">
        <v>144</v>
      </c>
      <c r="C134" s="12"/>
      <c r="D134" s="12"/>
      <c r="E134" s="87"/>
      <c r="F134" s="87"/>
      <c r="G134" s="14">
        <v>0</v>
      </c>
      <c r="H134" s="87"/>
      <c r="I134" s="87"/>
      <c r="J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3.5" thickBot="1">
      <c r="A135" s="96"/>
      <c r="B135" s="87" t="s">
        <v>145</v>
      </c>
      <c r="C135" s="12"/>
      <c r="D135" s="12"/>
      <c r="E135" s="87"/>
      <c r="F135" s="87"/>
      <c r="G135" s="14">
        <v>1000</v>
      </c>
      <c r="H135" s="87"/>
      <c r="I135" s="87"/>
      <c r="J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3.5" thickBot="1">
      <c r="A136" s="96"/>
      <c r="B136" s="87"/>
      <c r="C136" s="87"/>
      <c r="D136" s="87"/>
      <c r="E136" s="117"/>
      <c r="F136" s="118"/>
      <c r="G136" s="119" t="s">
        <v>146</v>
      </c>
      <c r="H136" s="417">
        <f>H131+H126+H120</f>
        <v>106530.92000000001</v>
      </c>
      <c r="I136" s="87"/>
      <c r="J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3.5" thickBot="1">
      <c r="A137" s="96"/>
      <c r="B137" s="87"/>
      <c r="C137" s="120"/>
      <c r="D137" s="89"/>
      <c r="E137" s="87"/>
      <c r="F137" s="87"/>
      <c r="G137" s="120"/>
      <c r="H137" s="87"/>
      <c r="I137" s="87"/>
      <c r="J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3.5" thickBot="1">
      <c r="A138" s="96"/>
      <c r="B138" s="87"/>
      <c r="C138" s="120"/>
      <c r="D138" s="15" t="s">
        <v>147</v>
      </c>
      <c r="E138" s="87"/>
      <c r="F138" s="87"/>
      <c r="G138" s="470">
        <f>SUM(G110:G135)</f>
        <v>650146.41620000009</v>
      </c>
      <c r="H138" s="87"/>
      <c r="I138" s="87"/>
      <c r="J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>
      <c r="A139" s="96"/>
      <c r="B139" s="87"/>
      <c r="C139" s="122" t="str">
        <f>A106</f>
        <v>MAYIS 2025 e</v>
      </c>
      <c r="D139" s="122" t="s">
        <v>148</v>
      </c>
      <c r="E139" s="87"/>
      <c r="F139" s="87"/>
      <c r="G139" s="123"/>
      <c r="H139" s="87"/>
      <c r="I139" s="87"/>
      <c r="J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>
      <c r="A140" s="96"/>
      <c r="B140" s="11"/>
      <c r="C140" s="426"/>
      <c r="D140" s="427"/>
      <c r="E140" s="393"/>
      <c r="F140" s="393"/>
      <c r="G140" s="397"/>
      <c r="H140" s="87"/>
      <c r="I140" s="87"/>
      <c r="J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>
      <c r="A141" s="87"/>
      <c r="B141" s="87" t="s">
        <v>1676</v>
      </c>
      <c r="C141" s="87"/>
      <c r="D141" s="87"/>
      <c r="E141" s="87"/>
      <c r="F141" s="87"/>
      <c r="G141" s="87"/>
      <c r="H141" s="87"/>
      <c r="I141" s="87" t="s">
        <v>1667</v>
      </c>
      <c r="J141" s="11" t="s">
        <v>1667</v>
      </c>
      <c r="K141" s="75" t="s">
        <v>1668</v>
      </c>
      <c r="L141" s="75" t="s">
        <v>1669</v>
      </c>
      <c r="M141" s="75" t="s">
        <v>1670</v>
      </c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>
      <c r="A142" s="96">
        <v>45620</v>
      </c>
      <c r="B142" s="79" t="s">
        <v>1595</v>
      </c>
      <c r="C142" s="110">
        <v>3000</v>
      </c>
      <c r="D142" s="110">
        <v>32.549999999999997</v>
      </c>
      <c r="E142" s="112">
        <f t="shared" ref="E142" si="16">D142*C142</f>
        <v>97649.999999999985</v>
      </c>
      <c r="F142" s="87">
        <v>42.86</v>
      </c>
      <c r="G142" s="14">
        <f t="shared" ref="G142" si="17">F142*C142</f>
        <v>128580</v>
      </c>
      <c r="H142" s="87"/>
      <c r="I142" s="87">
        <f t="shared" ref="I142" si="18">G142-E142</f>
        <v>30930.000000000015</v>
      </c>
      <c r="J142" s="431">
        <f>(I142-I143)/E142</f>
        <v>0.31674347158218147</v>
      </c>
      <c r="K142" s="96">
        <v>45721</v>
      </c>
      <c r="L142" s="75">
        <f>K142-A142</f>
        <v>101</v>
      </c>
      <c r="M142" s="431">
        <f>J142/L142*30</f>
        <v>9.4082219281836091E-2</v>
      </c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>
      <c r="A143" s="96"/>
      <c r="B143" s="79"/>
      <c r="C143" s="110" t="s">
        <v>1721</v>
      </c>
      <c r="D143" s="111"/>
      <c r="E143" s="112"/>
      <c r="F143" s="87" t="s">
        <v>1720</v>
      </c>
      <c r="G143" s="14">
        <v>-257.16000000000003</v>
      </c>
      <c r="H143" s="87"/>
      <c r="I143" s="87"/>
      <c r="J143" s="87"/>
      <c r="K143" s="463"/>
      <c r="M143" s="43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>
      <c r="A144" s="96"/>
      <c r="B144" s="79"/>
      <c r="C144" s="110"/>
      <c r="D144" s="111"/>
      <c r="E144" s="112"/>
      <c r="F144" s="392"/>
      <c r="G144" s="14">
        <v>-12.86</v>
      </c>
      <c r="H144" s="87"/>
      <c r="I144" s="87">
        <f>G144+G143</f>
        <v>-270.02000000000004</v>
      </c>
      <c r="J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>
      <c r="A145" s="96"/>
      <c r="B145" s="79"/>
      <c r="C145" s="110"/>
      <c r="D145" s="111"/>
      <c r="E145" s="112"/>
      <c r="F145" s="392"/>
      <c r="G145" s="14"/>
      <c r="H145" s="87"/>
      <c r="I145" s="87"/>
      <c r="J145" s="431"/>
      <c r="K145" s="96"/>
      <c r="M145" s="43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>
      <c r="A146" s="394"/>
      <c r="B146" s="395"/>
      <c r="C146" s="443"/>
      <c r="D146" s="444"/>
      <c r="E146" s="397"/>
      <c r="F146" s="393"/>
      <c r="G146" s="397"/>
      <c r="H146" s="393"/>
      <c r="I146" s="393"/>
      <c r="J146" s="87"/>
      <c r="K146" s="463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3.5" thickBot="1">
      <c r="A147" s="395"/>
      <c r="B147" s="395"/>
      <c r="C147" s="395"/>
      <c r="D147" s="393"/>
      <c r="E147" s="393"/>
      <c r="F147" s="393"/>
      <c r="G147" s="393"/>
      <c r="H147" s="393"/>
      <c r="I147" s="395"/>
      <c r="J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>
      <c r="A148" s="416"/>
      <c r="B148" s="416"/>
      <c r="C148" s="416"/>
      <c r="D148" s="405"/>
      <c r="E148" s="405"/>
      <c r="F148" s="405"/>
      <c r="G148" s="405">
        <f>SUM(G142:G147)</f>
        <v>128309.98</v>
      </c>
      <c r="H148" s="405"/>
      <c r="I148" s="468">
        <f>SUM(I142:I147)</f>
        <v>30659.980000000014</v>
      </c>
      <c r="J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>
      <c r="A149" s="11"/>
      <c r="B149" s="11"/>
      <c r="C149" s="11"/>
      <c r="D149" s="87"/>
      <c r="E149" s="87"/>
      <c r="F149" s="87"/>
      <c r="G149" s="87" t="s">
        <v>878</v>
      </c>
      <c r="H149" s="87"/>
      <c r="I149" s="87">
        <f>I148+'03_25'!I174</f>
        <v>57762.699049000046</v>
      </c>
      <c r="J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>
      <c r="B150" s="11"/>
      <c r="C150" s="11"/>
      <c r="D150" s="87"/>
      <c r="E150" s="87"/>
      <c r="F150" s="87"/>
      <c r="G150" s="87"/>
      <c r="H150" s="87"/>
      <c r="I150" s="11"/>
      <c r="J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8">
      <c r="A151" s="476" t="s">
        <v>1733</v>
      </c>
    </row>
    <row r="152" spans="1:23" ht="15.75">
      <c r="B152" s="464">
        <f>1-76.4616%</f>
        <v>0.23538399999999993</v>
      </c>
      <c r="C152" s="465">
        <v>0.76461599999999996</v>
      </c>
      <c r="D152" s="392"/>
      <c r="J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s="11" customFormat="1" ht="15.75">
      <c r="A153" s="94"/>
      <c r="B153" s="464" t="s">
        <v>1735</v>
      </c>
      <c r="C153" s="465"/>
      <c r="D153" s="392"/>
      <c r="E153" s="87"/>
      <c r="F153" s="87"/>
      <c r="G153" s="87"/>
      <c r="H153" s="87"/>
      <c r="K153" s="75"/>
      <c r="L153" s="75"/>
      <c r="M153" s="75"/>
      <c r="N153" s="75"/>
    </row>
    <row r="154" spans="1:23" s="11" customFormat="1" ht="15.75">
      <c r="A154" s="94"/>
      <c r="B154" s="464" t="s">
        <v>1734</v>
      </c>
      <c r="C154" s="465"/>
      <c r="D154" s="392"/>
      <c r="E154" s="87"/>
      <c r="F154" s="87"/>
      <c r="G154" s="87"/>
      <c r="H154" s="87"/>
      <c r="K154" s="75"/>
      <c r="L154" s="75"/>
      <c r="M154" s="75"/>
      <c r="N154" s="75"/>
    </row>
    <row r="155" spans="1:23" s="11" customFormat="1" ht="15.75">
      <c r="A155" s="94"/>
      <c r="B155" s="464" t="s">
        <v>1737</v>
      </c>
      <c r="C155" s="465"/>
      <c r="D155" s="392"/>
      <c r="E155" s="87"/>
      <c r="F155" s="87"/>
      <c r="G155" s="87"/>
      <c r="H155" s="87"/>
      <c r="K155" s="75"/>
      <c r="L155" s="75"/>
      <c r="M155" s="75"/>
      <c r="N155" s="75"/>
    </row>
    <row r="156" spans="1:23" s="11" customFormat="1" ht="15.75">
      <c r="A156" s="94"/>
      <c r="B156" s="464" t="s">
        <v>1736</v>
      </c>
      <c r="C156" s="465"/>
      <c r="D156" s="392"/>
      <c r="E156" s="87"/>
      <c r="F156" s="87"/>
      <c r="G156" s="87"/>
      <c r="H156" s="87"/>
      <c r="K156" s="75"/>
      <c r="L156" s="75"/>
      <c r="M156" s="75"/>
      <c r="N156" s="75"/>
    </row>
    <row r="157" spans="1:23" s="11" customFormat="1" ht="16.5" thickBot="1">
      <c r="A157" s="94"/>
      <c r="B157" s="464"/>
      <c r="C157" s="11" t="s">
        <v>1739</v>
      </c>
      <c r="D157" s="11" t="s">
        <v>1738</v>
      </c>
      <c r="E157" s="87" t="s">
        <v>1730</v>
      </c>
      <c r="F157" s="473">
        <v>138749.76000000001</v>
      </c>
      <c r="G157" s="11" t="s">
        <v>1731</v>
      </c>
      <c r="H157" s="87" t="s">
        <v>3</v>
      </c>
      <c r="K157" s="75"/>
      <c r="L157" s="75"/>
      <c r="M157" s="75"/>
      <c r="N157" s="75"/>
    </row>
    <row r="158" spans="1:23" ht="13.5" thickBot="1">
      <c r="A158" s="96"/>
      <c r="B158" s="79" t="s">
        <v>1740</v>
      </c>
      <c r="C158" s="114">
        <v>160</v>
      </c>
      <c r="D158" s="74">
        <f>C158</f>
        <v>160</v>
      </c>
      <c r="E158" s="80">
        <v>872.26</v>
      </c>
      <c r="F158" s="474">
        <f>E158*C158</f>
        <v>139561.60000000001</v>
      </c>
      <c r="G158" s="469">
        <v>962.89330700000005</v>
      </c>
      <c r="H158" s="14">
        <f>G158*C158</f>
        <v>154062.92912000002</v>
      </c>
      <c r="I158" s="12">
        <f>H158</f>
        <v>154062.92912000002</v>
      </c>
      <c r="J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s="11" customFormat="1">
      <c r="A159" s="96"/>
      <c r="B159" s="79" t="s">
        <v>1741</v>
      </c>
      <c r="C159" s="114">
        <v>78</v>
      </c>
      <c r="D159" s="74">
        <f>D158+C159</f>
        <v>238</v>
      </c>
      <c r="E159" s="80">
        <v>872.26</v>
      </c>
      <c r="F159" s="474">
        <f>E159*C159</f>
        <v>68036.28</v>
      </c>
      <c r="G159" s="391">
        <f>G160</f>
        <v>962.89330700000005</v>
      </c>
      <c r="H159" s="14">
        <f>G159*C159</f>
        <v>75105.677946000011</v>
      </c>
      <c r="I159" s="12">
        <f>I158+H159</f>
        <v>229168.60706600003</v>
      </c>
      <c r="K159" s="75"/>
      <c r="L159" s="75"/>
      <c r="M159" s="75"/>
      <c r="N159" s="75"/>
    </row>
    <row r="160" spans="1:23">
      <c r="A160" s="472">
        <v>45755</v>
      </c>
      <c r="B160" s="475" t="s">
        <v>1729</v>
      </c>
      <c r="C160" s="114">
        <v>-21</v>
      </c>
      <c r="D160" s="87">
        <f>D159+C160</f>
        <v>217</v>
      </c>
      <c r="E160" s="80">
        <v>872.26</v>
      </c>
      <c r="F160" s="437">
        <f>E160*C160</f>
        <v>-18317.46</v>
      </c>
      <c r="G160" s="391">
        <f>G158</f>
        <v>962.89330700000005</v>
      </c>
      <c r="H160" s="14">
        <f>G160*C160</f>
        <v>-20220.759447</v>
      </c>
      <c r="I160" s="12">
        <f>I159+H160</f>
        <v>208947.84761900004</v>
      </c>
      <c r="J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>
      <c r="A161" s="96"/>
      <c r="B161" s="79" t="s">
        <v>1732</v>
      </c>
      <c r="C161" s="377"/>
      <c r="E161" s="80"/>
      <c r="H161" s="74">
        <v>-300.32</v>
      </c>
      <c r="I161" s="12">
        <f>I160+H161</f>
        <v>208647.52761900003</v>
      </c>
      <c r="J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>
      <c r="A162" s="96">
        <v>45777</v>
      </c>
      <c r="B162" s="79" t="s">
        <v>1781</v>
      </c>
      <c r="C162" s="114">
        <v>219</v>
      </c>
      <c r="G162" s="74">
        <v>988.94078000000002</v>
      </c>
      <c r="H162" s="14">
        <f>G162*C162</f>
        <v>216578.03082000001</v>
      </c>
      <c r="I162" s="87"/>
      <c r="J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>
      <c r="A163" s="96"/>
      <c r="B163" s="87" t="s">
        <v>1675</v>
      </c>
      <c r="C163" s="426"/>
      <c r="D163" s="427"/>
      <c r="E163" s="393"/>
      <c r="F163" s="393"/>
      <c r="G163" s="397"/>
      <c r="H163" s="87"/>
      <c r="I163" s="87"/>
      <c r="J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>
      <c r="B164" s="11"/>
      <c r="C164" s="11"/>
      <c r="D164" s="87"/>
      <c r="E164" s="87"/>
      <c r="F164" s="87"/>
      <c r="G164" s="87"/>
      <c r="H164" s="87"/>
      <c r="I164" s="11"/>
      <c r="J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>
      <c r="B165" s="11"/>
      <c r="C165" s="11"/>
      <c r="D165" s="87"/>
      <c r="E165" s="87"/>
      <c r="F165" s="87"/>
      <c r="G165" s="87"/>
      <c r="H165" s="87"/>
      <c r="I165" s="11"/>
      <c r="J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>
      <c r="B166" s="11"/>
      <c r="C166" s="11"/>
      <c r="D166" s="87"/>
      <c r="E166" s="87"/>
      <c r="F166" s="87"/>
      <c r="G166" s="87"/>
      <c r="H166" s="87"/>
      <c r="I166" s="11"/>
      <c r="J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>
      <c r="B167" s="11"/>
      <c r="C167" s="11"/>
      <c r="D167" s="87"/>
      <c r="E167" s="87"/>
      <c r="F167" s="87"/>
      <c r="G167" s="87"/>
      <c r="H167" s="87"/>
      <c r="I167" s="11"/>
      <c r="J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>
      <c r="B168" s="11"/>
      <c r="C168" s="11"/>
      <c r="D168" s="87"/>
      <c r="E168" s="87"/>
      <c r="F168" s="87"/>
      <c r="G168" s="87"/>
      <c r="H168" s="87"/>
      <c r="I168" s="11"/>
      <c r="J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>
      <c r="B169" s="11"/>
      <c r="C169" s="11"/>
      <c r="D169" s="87"/>
      <c r="E169" s="87"/>
      <c r="F169" s="87"/>
      <c r="G169" s="87"/>
      <c r="H169" s="87"/>
      <c r="I169" s="11"/>
      <c r="J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>
      <c r="B170" s="11"/>
      <c r="C170" s="11"/>
      <c r="D170" s="87"/>
      <c r="E170" s="87"/>
      <c r="F170" s="87"/>
      <c r="G170" s="87"/>
      <c r="H170" s="87"/>
      <c r="I170" s="11"/>
      <c r="J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>
      <c r="B171" s="11"/>
      <c r="C171" s="11"/>
      <c r="D171" s="87"/>
      <c r="E171" s="87"/>
      <c r="F171" s="87"/>
      <c r="G171" s="87"/>
      <c r="H171" s="87"/>
      <c r="I171" s="11"/>
      <c r="J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>
      <c r="B172" s="11"/>
      <c r="C172" s="11"/>
      <c r="D172" s="87"/>
      <c r="E172" s="87"/>
      <c r="F172" s="87"/>
      <c r="G172" s="87"/>
      <c r="H172" s="87"/>
      <c r="I172" s="11"/>
      <c r="J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>
      <c r="B173" s="11"/>
      <c r="C173" s="11"/>
      <c r="D173" s="87"/>
      <c r="E173" s="87"/>
      <c r="F173" s="87"/>
      <c r="G173" s="87"/>
      <c r="H173" s="87"/>
      <c r="I173" s="11"/>
      <c r="J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>
      <c r="B174" s="11"/>
      <c r="C174" s="11"/>
      <c r="D174" s="87"/>
      <c r="E174" s="87"/>
      <c r="F174" s="87"/>
      <c r="G174" s="87"/>
      <c r="H174" s="87"/>
      <c r="I174" s="11"/>
      <c r="J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>
      <c r="B175" s="11"/>
      <c r="C175" s="11"/>
      <c r="D175" s="87"/>
      <c r="E175" s="87"/>
      <c r="F175" s="87"/>
      <c r="G175" s="87"/>
      <c r="H175" s="87"/>
      <c r="I175" s="11"/>
      <c r="J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>
      <c r="B176" s="11"/>
      <c r="C176" s="11"/>
      <c r="D176" s="87"/>
      <c r="E176" s="87"/>
      <c r="F176" s="87"/>
      <c r="G176" s="87"/>
      <c r="H176" s="87"/>
      <c r="I176" s="11"/>
      <c r="J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2:23">
      <c r="B177" s="11"/>
      <c r="C177" s="11"/>
      <c r="D177" s="87"/>
      <c r="E177" s="87"/>
      <c r="F177" s="87"/>
      <c r="G177" s="87"/>
      <c r="H177" s="87"/>
      <c r="I177" s="11"/>
      <c r="J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2:23">
      <c r="B178" s="11"/>
      <c r="C178" s="11"/>
      <c r="D178" s="87"/>
      <c r="E178" s="87"/>
      <c r="F178" s="87"/>
      <c r="G178" s="87"/>
      <c r="H178" s="87"/>
      <c r="I178" s="11"/>
      <c r="J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2:23">
      <c r="B179" s="11"/>
      <c r="C179" s="11"/>
      <c r="D179" s="87"/>
      <c r="E179" s="87"/>
      <c r="F179" s="87"/>
      <c r="G179" s="87"/>
      <c r="H179" s="87"/>
      <c r="I179" s="11"/>
      <c r="J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2:23">
      <c r="B180" s="11"/>
      <c r="C180" s="11"/>
      <c r="D180" s="87"/>
      <c r="E180" s="87"/>
      <c r="F180" s="87"/>
      <c r="G180" s="87"/>
      <c r="H180" s="87"/>
      <c r="I180" s="11"/>
      <c r="J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2:23">
      <c r="B181" s="11"/>
      <c r="C181" s="11"/>
      <c r="D181" s="87"/>
      <c r="E181" s="87"/>
      <c r="F181" s="87"/>
      <c r="G181" s="87"/>
      <c r="H181" s="87"/>
      <c r="I181" s="11"/>
      <c r="J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2:23">
      <c r="B182" s="11"/>
      <c r="C182" s="11"/>
      <c r="D182" s="87"/>
      <c r="E182" s="87"/>
      <c r="F182" s="87"/>
      <c r="G182" s="87"/>
      <c r="H182" s="87"/>
      <c r="I182" s="11"/>
      <c r="J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2:23">
      <c r="B183" s="11"/>
      <c r="C183" s="11"/>
      <c r="D183" s="87"/>
      <c r="E183" s="87"/>
      <c r="F183" s="87"/>
      <c r="G183" s="87"/>
      <c r="H183" s="87"/>
      <c r="I183" s="11"/>
      <c r="J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2:23">
      <c r="B184" s="11"/>
      <c r="C184" s="11"/>
      <c r="D184" s="87"/>
      <c r="E184" s="87"/>
      <c r="F184" s="87"/>
      <c r="G184" s="87"/>
      <c r="H184" s="87"/>
      <c r="I184" s="11"/>
      <c r="J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2:23">
      <c r="B185" s="11"/>
      <c r="C185" s="11"/>
      <c r="D185" s="87"/>
      <c r="E185" s="87"/>
      <c r="F185" s="87"/>
      <c r="G185" s="87"/>
      <c r="H185" s="87"/>
      <c r="I185" s="11"/>
      <c r="J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2:23">
      <c r="B186" s="11"/>
      <c r="C186" s="11"/>
      <c r="D186" s="87"/>
      <c r="E186" s="87"/>
      <c r="F186" s="87"/>
      <c r="G186" s="87"/>
      <c r="H186" s="87"/>
      <c r="I186" s="11"/>
      <c r="J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2:23">
      <c r="B187" s="11"/>
      <c r="C187" s="11"/>
      <c r="D187" s="87"/>
      <c r="E187" s="87"/>
      <c r="F187" s="87"/>
      <c r="G187" s="87"/>
      <c r="H187" s="87"/>
      <c r="I187" s="11"/>
      <c r="J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2:23">
      <c r="B188" s="11"/>
      <c r="C188" s="11"/>
      <c r="D188" s="87"/>
      <c r="E188" s="87"/>
      <c r="F188" s="87"/>
      <c r="G188" s="87"/>
      <c r="H188" s="87"/>
      <c r="I188" s="11"/>
      <c r="J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2:23">
      <c r="B189" s="11"/>
      <c r="C189" s="11"/>
      <c r="D189" s="87"/>
      <c r="E189" s="87"/>
      <c r="F189" s="87"/>
      <c r="G189" s="87"/>
      <c r="H189" s="87"/>
      <c r="I189" s="11"/>
      <c r="J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2:23">
      <c r="B190" s="11"/>
      <c r="C190" s="11"/>
      <c r="D190" s="87"/>
      <c r="E190" s="87"/>
      <c r="F190" s="87"/>
      <c r="G190" s="87"/>
      <c r="H190" s="87"/>
      <c r="I190" s="11"/>
      <c r="J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2:23">
      <c r="B191" s="11"/>
      <c r="C191" s="11"/>
      <c r="D191" s="87"/>
      <c r="E191" s="87"/>
      <c r="F191" s="87"/>
      <c r="G191" s="87"/>
      <c r="H191" s="87"/>
      <c r="I191" s="11"/>
      <c r="J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2:23">
      <c r="B192" s="11"/>
      <c r="C192" s="11"/>
      <c r="D192" s="87"/>
      <c r="E192" s="87"/>
      <c r="F192" s="87"/>
      <c r="G192" s="87"/>
      <c r="H192" s="87"/>
      <c r="I192" s="11"/>
      <c r="J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2:23">
      <c r="B193" s="11"/>
      <c r="C193" s="11"/>
      <c r="D193" s="87"/>
      <c r="E193" s="87"/>
      <c r="F193" s="87"/>
      <c r="G193" s="87"/>
      <c r="H193" s="87"/>
      <c r="I193" s="11"/>
      <c r="J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2:23">
      <c r="B194" s="11"/>
      <c r="C194" s="11"/>
      <c r="D194" s="87"/>
      <c r="E194" s="87"/>
      <c r="F194" s="87"/>
      <c r="G194" s="87"/>
      <c r="H194" s="87"/>
      <c r="I194" s="11"/>
      <c r="J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2:23">
      <c r="B195" s="11"/>
      <c r="C195" s="11"/>
      <c r="D195" s="87"/>
      <c r="E195" s="87"/>
      <c r="F195" s="87"/>
      <c r="G195" s="87"/>
      <c r="H195" s="87"/>
      <c r="I195" s="11"/>
      <c r="J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2:23">
      <c r="B196" s="11"/>
      <c r="C196" s="11"/>
      <c r="D196" s="87"/>
      <c r="E196" s="87"/>
      <c r="F196" s="87"/>
      <c r="G196" s="87"/>
      <c r="H196" s="87"/>
      <c r="I196" s="11"/>
      <c r="J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2:23">
      <c r="B197" s="11"/>
      <c r="C197" s="11"/>
      <c r="D197" s="87"/>
      <c r="E197" s="87"/>
      <c r="F197" s="87"/>
      <c r="G197" s="87"/>
      <c r="H197" s="87"/>
      <c r="I197" s="11"/>
      <c r="J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2:23">
      <c r="B198" s="11"/>
      <c r="C198" s="11"/>
      <c r="D198" s="87"/>
      <c r="E198" s="87"/>
      <c r="F198" s="87"/>
      <c r="G198" s="87"/>
      <c r="H198" s="87"/>
      <c r="I198" s="11"/>
      <c r="J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2:23">
      <c r="B199" s="11"/>
      <c r="C199" s="11"/>
      <c r="D199" s="87"/>
      <c r="E199" s="87"/>
      <c r="F199" s="87"/>
      <c r="G199" s="87"/>
      <c r="H199" s="87"/>
      <c r="I199" s="11"/>
      <c r="J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2:23">
      <c r="B200" s="11"/>
      <c r="C200" s="11"/>
      <c r="D200" s="87"/>
      <c r="E200" s="87"/>
      <c r="F200" s="87"/>
      <c r="G200" s="87"/>
      <c r="H200" s="87"/>
      <c r="I200" s="11"/>
      <c r="J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2:23">
      <c r="B201" s="11"/>
      <c r="C201" s="11"/>
      <c r="D201" s="87"/>
      <c r="E201" s="87"/>
      <c r="F201" s="87"/>
      <c r="G201" s="87"/>
      <c r="H201" s="87"/>
      <c r="I201" s="11"/>
      <c r="J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2:23">
      <c r="B202" s="11"/>
      <c r="C202" s="11"/>
      <c r="D202" s="87"/>
      <c r="E202" s="87"/>
      <c r="F202" s="87"/>
      <c r="G202" s="87"/>
      <c r="H202" s="87"/>
      <c r="I202" s="11"/>
      <c r="J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2:23">
      <c r="B203" s="11"/>
      <c r="C203" s="11"/>
      <c r="D203" s="87"/>
      <c r="E203" s="87"/>
      <c r="F203" s="87"/>
      <c r="G203" s="87"/>
      <c r="H203" s="87"/>
      <c r="I203" s="11"/>
      <c r="J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2:23">
      <c r="B204" s="11"/>
      <c r="C204" s="11"/>
      <c r="D204" s="87"/>
      <c r="E204" s="87"/>
      <c r="F204" s="87"/>
      <c r="G204" s="87"/>
      <c r="H204" s="87"/>
      <c r="I204" s="11"/>
      <c r="J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2:23">
      <c r="B205" s="11"/>
      <c r="C205" s="11"/>
      <c r="D205" s="87"/>
      <c r="E205" s="87"/>
      <c r="F205" s="87"/>
      <c r="G205" s="87"/>
      <c r="H205" s="87"/>
      <c r="I205" s="11"/>
      <c r="J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2:23">
      <c r="B206" s="11"/>
      <c r="C206" s="11"/>
      <c r="D206" s="87"/>
      <c r="E206" s="87"/>
      <c r="F206" s="87"/>
      <c r="G206" s="87"/>
      <c r="H206" s="87"/>
      <c r="I206" s="11"/>
      <c r="J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2:23">
      <c r="B207" s="11"/>
      <c r="C207" s="11"/>
      <c r="D207" s="87"/>
      <c r="E207" s="87"/>
      <c r="F207" s="87"/>
      <c r="G207" s="87"/>
      <c r="H207" s="87"/>
      <c r="I207" s="11"/>
      <c r="J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2:23">
      <c r="B208" s="11"/>
      <c r="C208" s="11"/>
      <c r="D208" s="87"/>
      <c r="E208" s="87"/>
      <c r="F208" s="87"/>
      <c r="G208" s="87"/>
      <c r="H208" s="87"/>
      <c r="I208" s="11"/>
      <c r="J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2:23">
      <c r="B209" s="11"/>
      <c r="C209" s="11"/>
      <c r="D209" s="87"/>
      <c r="E209" s="87"/>
      <c r="F209" s="87"/>
      <c r="G209" s="87"/>
      <c r="H209" s="87"/>
      <c r="I209" s="11"/>
      <c r="J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2:23">
      <c r="B210" s="11"/>
      <c r="C210" s="11"/>
      <c r="D210" s="87"/>
      <c r="E210" s="87"/>
      <c r="F210" s="87"/>
      <c r="G210" s="87"/>
      <c r="H210" s="87"/>
      <c r="I210" s="11"/>
      <c r="J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2:23">
      <c r="B211" s="11"/>
      <c r="C211" s="11"/>
      <c r="D211" s="87"/>
      <c r="E211" s="87"/>
      <c r="F211" s="87"/>
      <c r="G211" s="87"/>
      <c r="H211" s="87"/>
      <c r="I211" s="11"/>
      <c r="J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2:23">
      <c r="B212" s="11"/>
      <c r="C212" s="11"/>
      <c r="D212" s="87"/>
      <c r="E212" s="87"/>
      <c r="F212" s="87"/>
      <c r="G212" s="87"/>
      <c r="H212" s="87"/>
      <c r="I212" s="11"/>
      <c r="J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2:23">
      <c r="B213" s="11"/>
      <c r="C213" s="11"/>
      <c r="D213" s="87"/>
      <c r="E213" s="87"/>
      <c r="F213" s="87"/>
      <c r="G213" s="87"/>
      <c r="H213" s="87"/>
      <c r="I213" s="11"/>
      <c r="J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2:23">
      <c r="B214" s="11"/>
      <c r="C214" s="11"/>
      <c r="D214" s="87"/>
      <c r="E214" s="87"/>
      <c r="F214" s="87"/>
      <c r="G214" s="87"/>
      <c r="H214" s="87"/>
      <c r="I214" s="11"/>
      <c r="J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2:23">
      <c r="B215" s="11"/>
      <c r="C215" s="11"/>
      <c r="D215" s="87"/>
      <c r="E215" s="87"/>
      <c r="F215" s="87"/>
      <c r="G215" s="87"/>
      <c r="H215" s="87"/>
      <c r="I215" s="11"/>
      <c r="J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2:23">
      <c r="B216" s="11"/>
      <c r="C216" s="11"/>
      <c r="D216" s="87"/>
      <c r="E216" s="87"/>
      <c r="F216" s="87"/>
      <c r="G216" s="87"/>
      <c r="H216" s="87"/>
      <c r="I216" s="11"/>
      <c r="J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2:23">
      <c r="B217" s="11"/>
      <c r="C217" s="11"/>
      <c r="D217" s="87"/>
      <c r="E217" s="87"/>
      <c r="F217" s="87"/>
      <c r="G217" s="87"/>
      <c r="H217" s="87"/>
      <c r="I217" s="11"/>
      <c r="J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2:23">
      <c r="B218" s="11"/>
      <c r="C218" s="11"/>
      <c r="D218" s="87"/>
      <c r="E218" s="87"/>
      <c r="F218" s="87"/>
      <c r="G218" s="87"/>
      <c r="H218" s="87"/>
      <c r="I218" s="11"/>
      <c r="J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2:23">
      <c r="B219" s="11"/>
      <c r="C219" s="11"/>
      <c r="D219" s="87"/>
      <c r="E219" s="87"/>
      <c r="F219" s="87"/>
      <c r="G219" s="87"/>
      <c r="H219" s="87"/>
      <c r="I219" s="11"/>
      <c r="J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2:23">
      <c r="B220" s="11"/>
      <c r="C220" s="11"/>
      <c r="D220" s="87"/>
      <c r="E220" s="87"/>
      <c r="F220" s="87"/>
      <c r="G220" s="87"/>
      <c r="H220" s="87"/>
      <c r="I220" s="11"/>
      <c r="J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2:23">
      <c r="B221" s="11"/>
      <c r="C221" s="11"/>
      <c r="D221" s="87"/>
      <c r="E221" s="87"/>
      <c r="F221" s="87"/>
      <c r="G221" s="87"/>
      <c r="H221" s="87"/>
      <c r="I221" s="11"/>
      <c r="J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2:23">
      <c r="B222" s="11"/>
      <c r="C222" s="11"/>
      <c r="D222" s="87"/>
      <c r="E222" s="87"/>
      <c r="F222" s="87"/>
      <c r="G222" s="87"/>
      <c r="H222" s="87"/>
      <c r="I222" s="11"/>
      <c r="J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2:23">
      <c r="B223" s="11"/>
      <c r="C223" s="11"/>
      <c r="D223" s="87"/>
      <c r="E223" s="87"/>
      <c r="F223" s="87"/>
      <c r="G223" s="87"/>
      <c r="H223" s="87"/>
      <c r="I223" s="11"/>
      <c r="J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2:23">
      <c r="B224" s="11"/>
      <c r="C224" s="11"/>
      <c r="D224" s="87"/>
      <c r="E224" s="87"/>
      <c r="F224" s="87"/>
      <c r="G224" s="87"/>
      <c r="H224" s="87"/>
      <c r="I224" s="11"/>
      <c r="J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2:23">
      <c r="B225" s="11"/>
      <c r="C225" s="11"/>
      <c r="D225" s="87"/>
      <c r="E225" s="87"/>
      <c r="F225" s="87"/>
      <c r="G225" s="87"/>
      <c r="H225" s="87"/>
      <c r="I225" s="11"/>
      <c r="J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2:23">
      <c r="B226" s="11"/>
      <c r="C226" s="11"/>
      <c r="D226" s="87"/>
      <c r="E226" s="87"/>
      <c r="F226" s="87"/>
      <c r="G226" s="87"/>
      <c r="H226" s="87"/>
      <c r="I226" s="11"/>
      <c r="J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2:23">
      <c r="B227" s="11"/>
      <c r="C227" s="11"/>
      <c r="D227" s="87"/>
      <c r="E227" s="87"/>
      <c r="F227" s="87"/>
      <c r="G227" s="87"/>
      <c r="H227" s="87"/>
      <c r="I227" s="11"/>
      <c r="J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2:23">
      <c r="B228" s="11"/>
      <c r="C228" s="11"/>
      <c r="D228" s="87"/>
      <c r="E228" s="87"/>
      <c r="F228" s="87"/>
      <c r="G228" s="87"/>
      <c r="H228" s="87"/>
      <c r="I228" s="11"/>
      <c r="J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2:23">
      <c r="B229" s="11"/>
      <c r="C229" s="11"/>
      <c r="D229" s="87"/>
      <c r="E229" s="87"/>
      <c r="F229" s="87"/>
      <c r="G229" s="87"/>
      <c r="H229" s="87"/>
      <c r="I229" s="11"/>
      <c r="J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2:23">
      <c r="B230" s="11"/>
      <c r="C230" s="11"/>
      <c r="D230" s="87"/>
      <c r="E230" s="87"/>
      <c r="F230" s="87"/>
      <c r="G230" s="87"/>
      <c r="H230" s="87"/>
      <c r="I230" s="11"/>
      <c r="J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2:23">
      <c r="B231" s="11"/>
      <c r="C231" s="11"/>
      <c r="D231" s="87"/>
      <c r="E231" s="87"/>
      <c r="F231" s="87"/>
      <c r="G231" s="87"/>
      <c r="H231" s="87"/>
      <c r="I231" s="11"/>
      <c r="J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2:23">
      <c r="B232" s="11"/>
      <c r="C232" s="11"/>
      <c r="D232" s="87"/>
      <c r="E232" s="87"/>
      <c r="F232" s="87"/>
      <c r="G232" s="87"/>
      <c r="H232" s="87"/>
      <c r="I232" s="11"/>
      <c r="J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2:23">
      <c r="B233" s="11"/>
      <c r="C233" s="11"/>
      <c r="D233" s="87"/>
      <c r="E233" s="87"/>
      <c r="F233" s="87"/>
      <c r="G233" s="87"/>
      <c r="H233" s="87"/>
      <c r="I233" s="11"/>
      <c r="J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2:23">
      <c r="B234" s="11"/>
      <c r="C234" s="11"/>
      <c r="D234" s="87"/>
      <c r="E234" s="87"/>
      <c r="F234" s="87"/>
      <c r="G234" s="87"/>
      <c r="H234" s="87"/>
      <c r="I234" s="11"/>
      <c r="J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2:23">
      <c r="B235" s="11"/>
      <c r="C235" s="11"/>
      <c r="D235" s="87"/>
      <c r="E235" s="87"/>
      <c r="F235" s="87"/>
      <c r="G235" s="87"/>
      <c r="H235" s="87"/>
      <c r="I235" s="11"/>
      <c r="J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2:23">
      <c r="B236" s="11"/>
      <c r="C236" s="11"/>
      <c r="D236" s="87"/>
      <c r="E236" s="87"/>
      <c r="F236" s="87"/>
      <c r="G236" s="87"/>
      <c r="H236" s="87"/>
      <c r="I236" s="11"/>
      <c r="J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2:23">
      <c r="B237" s="11"/>
      <c r="C237" s="11"/>
      <c r="D237" s="87"/>
      <c r="E237" s="87"/>
      <c r="F237" s="87"/>
      <c r="G237" s="87"/>
      <c r="H237" s="87"/>
      <c r="I237" s="11"/>
      <c r="J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2:23">
      <c r="B238" s="11"/>
      <c r="C238" s="11"/>
      <c r="D238" s="87"/>
      <c r="E238" s="87"/>
      <c r="F238" s="87"/>
      <c r="G238" s="87"/>
      <c r="H238" s="87"/>
      <c r="I238" s="11"/>
      <c r="J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2:23">
      <c r="B239" s="11"/>
      <c r="C239" s="11"/>
      <c r="D239" s="87"/>
      <c r="E239" s="87"/>
      <c r="F239" s="87"/>
      <c r="G239" s="87"/>
      <c r="H239" s="87"/>
      <c r="I239" s="11"/>
      <c r="J239" s="11"/>
      <c r="O239" s="11"/>
      <c r="P239" s="11"/>
      <c r="Q239" s="11"/>
      <c r="R239" s="11"/>
      <c r="S239" s="11"/>
      <c r="T239" s="11"/>
      <c r="U239" s="11"/>
      <c r="V239" s="11"/>
      <c r="W239" s="11"/>
    </row>
  </sheetData>
  <conditionalFormatting sqref="F128:F130">
    <cfRule type="cellIs" dxfId="45" priority="11" operator="lessThan">
      <formula>D128</formula>
    </cfRule>
  </conditionalFormatting>
  <conditionalFormatting sqref="F123:F125">
    <cfRule type="cellIs" dxfId="44" priority="12" operator="lessThan">
      <formula>D123</formula>
    </cfRule>
  </conditionalFormatting>
  <conditionalFormatting sqref="F118">
    <cfRule type="cellIs" dxfId="43" priority="13" operator="lessThan">
      <formula>D118</formula>
    </cfRule>
  </conditionalFormatting>
  <conditionalFormatting sqref="F117">
    <cfRule type="cellIs" dxfId="42" priority="14" operator="lessThan">
      <formula>D117</formula>
    </cfRule>
  </conditionalFormatting>
  <conditionalFormatting sqref="F143">
    <cfRule type="cellIs" dxfId="41" priority="10" operator="lessThan">
      <formula>D143</formula>
    </cfRule>
  </conditionalFormatting>
  <conditionalFormatting sqref="F146">
    <cfRule type="cellIs" dxfId="40" priority="9" operator="lessThan">
      <formula>D146</formula>
    </cfRule>
  </conditionalFormatting>
  <conditionalFormatting sqref="F145">
    <cfRule type="cellIs" dxfId="39" priority="6" operator="lessThan">
      <formula>D145</formula>
    </cfRule>
  </conditionalFormatting>
  <conditionalFormatting sqref="F144">
    <cfRule type="cellIs" dxfId="38" priority="5" operator="lessThan">
      <formula>D144</formula>
    </cfRule>
  </conditionalFormatting>
  <conditionalFormatting sqref="F116">
    <cfRule type="cellIs" dxfId="37" priority="4" operator="lessThan">
      <formula>D116</formula>
    </cfRule>
  </conditionalFormatting>
  <conditionalFormatting sqref="F142">
    <cfRule type="cellIs" dxfId="36" priority="3" operator="lessThan">
      <formula>D142</formula>
    </cfRule>
  </conditionalFormatting>
  <conditionalFormatting sqref="F122">
    <cfRule type="cellIs" dxfId="35" priority="2" operator="lessThan">
      <formula>D122</formula>
    </cfRule>
  </conditionalFormatting>
  <conditionalFormatting sqref="F119">
    <cfRule type="cellIs" dxfId="34" priority="1" operator="lessThan">
      <formula>D119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79998168889431442"/>
  </sheetPr>
  <dimension ref="A1:N174"/>
  <sheetViews>
    <sheetView topLeftCell="A155" zoomScale="160" zoomScaleNormal="160" workbookViewId="0">
      <selection activeCell="G174" sqref="G174:I174"/>
    </sheetView>
  </sheetViews>
  <sheetFormatPr defaultColWidth="12.28515625" defaultRowHeight="12.75"/>
  <cols>
    <col min="1" max="1" width="12.28515625" style="94"/>
    <col min="2" max="2" width="35.85546875" customWidth="1"/>
    <col min="3" max="3" width="9.42578125" customWidth="1"/>
    <col min="4" max="4" width="11.5703125" style="74" customWidth="1"/>
    <col min="5" max="8" width="12.28515625" style="74"/>
    <col min="10" max="10" width="8.42578125" bestFit="1" customWidth="1"/>
    <col min="11" max="11" width="10.5703125" style="75" bestFit="1" customWidth="1"/>
    <col min="12" max="12" width="6.28515625" style="75" bestFit="1" customWidth="1"/>
    <col min="13" max="13" width="7.42578125" style="75" bestFit="1" customWidth="1"/>
    <col min="14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418" t="s">
        <v>92</v>
      </c>
      <c r="C2" s="76" t="s">
        <v>59</v>
      </c>
      <c r="D2" s="74">
        <f>SUM(D4:D36)</f>
        <v>30000</v>
      </c>
      <c r="E2" s="74">
        <f>SUM(E4:E36)</f>
        <v>-79968.850000000006</v>
      </c>
      <c r="F2" s="74">
        <f>SUM(F4:F36)</f>
        <v>32994.19</v>
      </c>
      <c r="G2" s="74">
        <f>SUM(G4:G40)</f>
        <v>-186074.69999999998</v>
      </c>
      <c r="H2" s="74">
        <f>F2+G2</f>
        <v>-153080.50999999998</v>
      </c>
    </row>
    <row r="3" spans="1:14">
      <c r="B3" s="15"/>
    </row>
    <row r="4" spans="1:14">
      <c r="B4" s="38"/>
      <c r="H4" s="74">
        <f t="shared" ref="H4:H37" si="0">H3+F4+G4</f>
        <v>0</v>
      </c>
    </row>
    <row r="5" spans="1:14" s="11" customFormat="1">
      <c r="A5" s="94"/>
      <c r="B5" s="38"/>
      <c r="D5" s="87"/>
      <c r="E5" s="87"/>
      <c r="F5" s="87"/>
      <c r="G5" s="87"/>
      <c r="H5" s="87">
        <f t="shared" si="0"/>
        <v>0</v>
      </c>
      <c r="K5" s="75"/>
      <c r="L5" s="75"/>
      <c r="M5" s="75"/>
      <c r="N5" s="75"/>
    </row>
    <row r="6" spans="1:14" s="11" customFormat="1">
      <c r="A6" s="413">
        <v>45718</v>
      </c>
      <c r="B6" s="439" t="s">
        <v>1666</v>
      </c>
      <c r="C6" s="380"/>
      <c r="D6" s="376"/>
      <c r="E6" s="376"/>
      <c r="F6" s="376"/>
      <c r="G6" s="376">
        <v>-213.25</v>
      </c>
      <c r="H6" s="84">
        <f t="shared" si="0"/>
        <v>-213.25</v>
      </c>
      <c r="K6" s="75"/>
      <c r="L6" s="75"/>
      <c r="M6" s="75"/>
      <c r="N6" s="75"/>
    </row>
    <row r="7" spans="1:14" s="11" customFormat="1">
      <c r="A7" s="413"/>
      <c r="B7" s="381" t="s">
        <v>64</v>
      </c>
      <c r="C7" s="380"/>
      <c r="D7" s="376"/>
      <c r="E7" s="376">
        <v>0</v>
      </c>
      <c r="F7" s="84"/>
      <c r="G7" s="84"/>
      <c r="H7" s="84">
        <f t="shared" si="0"/>
        <v>-213.25</v>
      </c>
      <c r="K7" s="75"/>
      <c r="L7" s="75"/>
      <c r="M7" s="75"/>
      <c r="N7" s="75"/>
    </row>
    <row r="8" spans="1:14">
      <c r="A8" s="413">
        <v>45721</v>
      </c>
      <c r="B8" s="379" t="s">
        <v>62</v>
      </c>
      <c r="C8" s="379"/>
      <c r="D8" s="376"/>
      <c r="E8" s="376">
        <v>-2117.06</v>
      </c>
      <c r="F8" s="84"/>
      <c r="G8" s="84">
        <v>-2116.98</v>
      </c>
      <c r="H8" s="84">
        <f t="shared" si="0"/>
        <v>-2330.23</v>
      </c>
    </row>
    <row r="9" spans="1:14">
      <c r="A9" s="413">
        <v>45722</v>
      </c>
      <c r="B9" s="381" t="s">
        <v>61</v>
      </c>
      <c r="C9" s="380"/>
      <c r="D9" s="376"/>
      <c r="E9" s="376">
        <f>E67</f>
        <v>-14628.179999999997</v>
      </c>
      <c r="F9" s="84"/>
      <c r="G9" s="84">
        <f>E9</f>
        <v>-14628.179999999997</v>
      </c>
      <c r="H9" s="84">
        <f t="shared" si="0"/>
        <v>-16958.409999999996</v>
      </c>
    </row>
    <row r="10" spans="1:14">
      <c r="A10" s="413">
        <v>45723</v>
      </c>
      <c r="B10" s="381" t="s">
        <v>60</v>
      </c>
      <c r="C10" s="380"/>
      <c r="D10" s="376"/>
      <c r="E10" s="376">
        <f>E43</f>
        <v>-19043.61</v>
      </c>
      <c r="F10" s="84"/>
      <c r="G10" s="84">
        <f>E10</f>
        <v>-19043.61</v>
      </c>
      <c r="H10" s="84">
        <f t="shared" si="0"/>
        <v>-36002.019999999997</v>
      </c>
    </row>
    <row r="11" spans="1:14">
      <c r="A11" s="440">
        <v>45721</v>
      </c>
      <c r="B11" s="441" t="s">
        <v>98</v>
      </c>
      <c r="C11" s="441"/>
      <c r="D11" s="442">
        <v>15000</v>
      </c>
      <c r="E11" s="442"/>
      <c r="F11" s="442">
        <v>15000</v>
      </c>
      <c r="G11" s="84"/>
      <c r="H11" s="84">
        <f t="shared" si="0"/>
        <v>-21002.019999999997</v>
      </c>
    </row>
    <row r="12" spans="1:14">
      <c r="A12" s="413">
        <v>45723</v>
      </c>
      <c r="B12" s="379" t="s">
        <v>1584</v>
      </c>
      <c r="C12" s="379"/>
      <c r="D12" s="376"/>
      <c r="E12" s="376">
        <v>-17500</v>
      </c>
      <c r="F12" s="84"/>
      <c r="G12" s="84">
        <v>-17500</v>
      </c>
      <c r="H12" s="84">
        <f t="shared" si="0"/>
        <v>-38502.019999999997</v>
      </c>
    </row>
    <row r="13" spans="1:14" s="75" customFormat="1">
      <c r="A13" s="413">
        <v>45734</v>
      </c>
      <c r="B13" s="398" t="s">
        <v>65</v>
      </c>
      <c r="C13" s="398"/>
      <c r="D13" s="376"/>
      <c r="E13" s="376">
        <v>-1000</v>
      </c>
      <c r="F13" s="84"/>
      <c r="G13" s="84">
        <v>-2645</v>
      </c>
      <c r="H13" s="84">
        <f t="shared" si="0"/>
        <v>-41147.019999999997</v>
      </c>
    </row>
    <row r="14" spans="1:14" s="75" customFormat="1">
      <c r="A14" s="413">
        <v>45733</v>
      </c>
      <c r="B14" s="398" t="s">
        <v>66</v>
      </c>
      <c r="C14" s="398"/>
      <c r="D14" s="376"/>
      <c r="E14" s="376">
        <v>-200</v>
      </c>
      <c r="F14" s="84"/>
      <c r="G14" s="84">
        <v>-25</v>
      </c>
      <c r="H14" s="84">
        <f t="shared" si="0"/>
        <v>-41172.019999999997</v>
      </c>
    </row>
    <row r="15" spans="1:14" s="75" customFormat="1">
      <c r="A15" s="84"/>
      <c r="B15" s="84"/>
      <c r="C15" s="84"/>
      <c r="D15" s="84"/>
      <c r="E15" s="84"/>
      <c r="F15" s="84"/>
      <c r="G15" s="84"/>
      <c r="H15" s="84">
        <f t="shared" si="0"/>
        <v>-41172.019999999997</v>
      </c>
    </row>
    <row r="16" spans="1:14" s="75" customFormat="1">
      <c r="A16" s="413"/>
      <c r="B16" s="380" t="s">
        <v>68</v>
      </c>
      <c r="C16" s="380"/>
      <c r="D16" s="376">
        <v>15000</v>
      </c>
      <c r="E16" s="84"/>
      <c r="F16" s="84">
        <v>14994.19</v>
      </c>
      <c r="G16" s="84"/>
      <c r="H16" s="84">
        <f t="shared" si="0"/>
        <v>-26177.829999999994</v>
      </c>
      <c r="J16" s="90"/>
      <c r="K16" s="90"/>
      <c r="L16" s="91"/>
      <c r="M16" s="92"/>
    </row>
    <row r="17" spans="1:13" s="75" customFormat="1">
      <c r="A17" s="413"/>
      <c r="B17" s="380" t="s">
        <v>1706</v>
      </c>
      <c r="C17" s="380"/>
      <c r="D17" s="376"/>
      <c r="E17" s="376"/>
      <c r="F17" s="376">
        <v>3000</v>
      </c>
      <c r="G17" s="84"/>
      <c r="H17" s="84">
        <f t="shared" si="0"/>
        <v>-23177.829999999994</v>
      </c>
      <c r="J17" s="90"/>
      <c r="K17" s="90"/>
      <c r="L17" s="91"/>
      <c r="M17" s="92"/>
    </row>
    <row r="18" spans="1:13" s="75" customFormat="1">
      <c r="A18" s="460"/>
      <c r="B18" s="380" t="s">
        <v>69</v>
      </c>
      <c r="C18" s="380"/>
      <c r="D18" s="376"/>
      <c r="E18" s="376">
        <v>-7500</v>
      </c>
      <c r="F18" s="84"/>
      <c r="G18" s="84">
        <v>-9003</v>
      </c>
      <c r="H18" s="84">
        <f t="shared" si="0"/>
        <v>-32180.829999999994</v>
      </c>
      <c r="J18" s="90"/>
      <c r="K18" s="90"/>
      <c r="L18" s="91"/>
      <c r="M18" s="92"/>
    </row>
    <row r="19" spans="1:13" s="75" customFormat="1">
      <c r="A19" s="460"/>
      <c r="B19" s="380" t="s">
        <v>70</v>
      </c>
      <c r="C19" s="380"/>
      <c r="D19" s="376"/>
      <c r="E19" s="376">
        <v>-7500</v>
      </c>
      <c r="F19" s="84"/>
      <c r="G19" s="84">
        <v>-7503</v>
      </c>
      <c r="H19" s="84">
        <f t="shared" si="0"/>
        <v>-39683.829999999994</v>
      </c>
      <c r="J19" s="90"/>
      <c r="K19" s="90"/>
      <c r="L19" s="91"/>
      <c r="M19" s="92"/>
    </row>
    <row r="20" spans="1:13" s="75" customFormat="1">
      <c r="A20" s="460"/>
      <c r="B20" s="380" t="s">
        <v>1716</v>
      </c>
      <c r="C20" s="380"/>
      <c r="D20" s="376"/>
      <c r="E20" s="376"/>
      <c r="F20" s="376"/>
      <c r="G20" s="376">
        <v>-1400</v>
      </c>
      <c r="H20" s="84">
        <f t="shared" si="0"/>
        <v>-41083.829999999994</v>
      </c>
      <c r="J20" s="90"/>
      <c r="K20" s="90"/>
      <c r="L20" s="91"/>
      <c r="M20" s="92"/>
    </row>
    <row r="21" spans="1:13" s="75" customFormat="1">
      <c r="A21" s="460"/>
      <c r="B21" s="380" t="s">
        <v>71</v>
      </c>
      <c r="C21" s="380"/>
      <c r="D21" s="376"/>
      <c r="E21" s="376">
        <v>-7500</v>
      </c>
      <c r="F21" s="84"/>
      <c r="G21" s="84">
        <v>-7500</v>
      </c>
      <c r="H21" s="84">
        <f t="shared" si="0"/>
        <v>-48583.829999999994</v>
      </c>
      <c r="J21" s="90"/>
      <c r="K21" s="90"/>
      <c r="L21" s="91"/>
      <c r="M21" s="92"/>
    </row>
    <row r="22" spans="1:13" s="75" customFormat="1">
      <c r="A22" s="94"/>
      <c r="B22" s="3"/>
      <c r="C22" s="3"/>
      <c r="D22" s="74"/>
      <c r="E22" s="74"/>
      <c r="F22" s="74"/>
      <c r="G22" s="74"/>
      <c r="H22" s="84">
        <f t="shared" si="0"/>
        <v>-48583.829999999994</v>
      </c>
      <c r="J22" s="90"/>
      <c r="K22" s="90"/>
      <c r="L22" s="91"/>
      <c r="M22" s="92"/>
    </row>
    <row r="23" spans="1:13" s="75" customFormat="1">
      <c r="A23" s="94"/>
      <c r="B23" s="89"/>
      <c r="C23" s="89"/>
      <c r="D23" s="87"/>
      <c r="E23" s="87"/>
      <c r="F23" s="74"/>
      <c r="G23" s="74"/>
      <c r="H23" s="84">
        <f t="shared" si="0"/>
        <v>-48583.829999999994</v>
      </c>
      <c r="J23" s="90"/>
      <c r="K23" s="90"/>
      <c r="L23" s="91"/>
      <c r="M23" s="92"/>
    </row>
    <row r="24" spans="1:13" s="75" customFormat="1">
      <c r="A24" s="462">
        <v>45716</v>
      </c>
      <c r="B24" s="404" t="s">
        <v>90</v>
      </c>
      <c r="C24" s="404" t="s">
        <v>1588</v>
      </c>
      <c r="D24" s="405"/>
      <c r="E24" s="405">
        <v>-1380</v>
      </c>
      <c r="F24" s="87"/>
      <c r="G24" s="87"/>
      <c r="H24" s="87">
        <f t="shared" si="0"/>
        <v>-48583.829999999994</v>
      </c>
      <c r="J24" s="90"/>
      <c r="K24" s="90"/>
      <c r="L24" s="91"/>
      <c r="M24" s="92"/>
    </row>
    <row r="25" spans="1:13" s="75" customFormat="1">
      <c r="A25" s="413">
        <v>45744</v>
      </c>
      <c r="B25" s="379" t="s">
        <v>72</v>
      </c>
      <c r="C25" s="379"/>
      <c r="D25" s="376"/>
      <c r="E25" s="376">
        <v>-600</v>
      </c>
      <c r="F25" s="84"/>
      <c r="G25" s="84">
        <v>-340</v>
      </c>
      <c r="H25" s="84">
        <f t="shared" si="0"/>
        <v>-48923.829999999994</v>
      </c>
      <c r="J25" s="90"/>
      <c r="K25" s="90"/>
      <c r="L25" s="91"/>
      <c r="M25" s="92"/>
    </row>
    <row r="26" spans="1:13" s="75" customFormat="1">
      <c r="A26" s="413">
        <v>45744</v>
      </c>
      <c r="B26" s="379" t="s">
        <v>73</v>
      </c>
      <c r="C26" s="379"/>
      <c r="D26" s="376"/>
      <c r="E26" s="376">
        <v>-800</v>
      </c>
      <c r="F26" s="84"/>
      <c r="G26" s="84">
        <v>-565</v>
      </c>
      <c r="H26" s="84">
        <f t="shared" si="0"/>
        <v>-49488.829999999994</v>
      </c>
      <c r="J26" s="90"/>
      <c r="K26" s="90"/>
      <c r="L26" s="91"/>
      <c r="M26" s="92"/>
    </row>
    <row r="27" spans="1:13" s="75" customFormat="1">
      <c r="A27" s="460"/>
      <c r="B27" s="97" t="s">
        <v>94</v>
      </c>
      <c r="C27" s="8"/>
      <c r="D27" s="84"/>
      <c r="E27" s="84"/>
      <c r="F27" s="84"/>
      <c r="G27" s="84"/>
      <c r="H27" s="84">
        <f t="shared" si="0"/>
        <v>-49488.829999999994</v>
      </c>
    </row>
    <row r="28" spans="1:13" s="75" customFormat="1">
      <c r="A28" s="460"/>
      <c r="B28" s="97"/>
      <c r="C28" s="8"/>
      <c r="D28" s="84"/>
      <c r="E28" s="84"/>
      <c r="F28" s="84"/>
      <c r="G28" s="84"/>
      <c r="H28" s="84">
        <f t="shared" si="0"/>
        <v>-49488.829999999994</v>
      </c>
    </row>
    <row r="29" spans="1:13" s="75" customFormat="1">
      <c r="A29" s="460"/>
      <c r="B29" s="97"/>
      <c r="C29" s="8"/>
      <c r="D29" s="84"/>
      <c r="E29" s="84"/>
      <c r="F29" s="84"/>
      <c r="G29" s="84"/>
      <c r="H29" s="84">
        <f t="shared" si="0"/>
        <v>-49488.829999999994</v>
      </c>
    </row>
    <row r="30" spans="1:13" s="75" customFormat="1">
      <c r="A30" s="413">
        <v>45741</v>
      </c>
      <c r="B30" s="379" t="s">
        <v>67</v>
      </c>
      <c r="C30" s="379"/>
      <c r="D30" s="376"/>
      <c r="E30" s="376">
        <v>-200</v>
      </c>
      <c r="F30" s="84"/>
      <c r="G30" s="84">
        <v>-565.88</v>
      </c>
      <c r="H30" s="84">
        <f t="shared" si="0"/>
        <v>-50054.709999999992</v>
      </c>
    </row>
    <row r="31" spans="1:13" s="75" customFormat="1">
      <c r="A31" s="413"/>
      <c r="B31" s="376" t="s">
        <v>1697</v>
      </c>
      <c r="C31" s="376"/>
      <c r="D31" s="376"/>
      <c r="E31" s="376"/>
      <c r="F31" s="376"/>
      <c r="G31" s="376">
        <v>-2800</v>
      </c>
      <c r="H31" s="84">
        <f t="shared" si="0"/>
        <v>-52854.709999999992</v>
      </c>
    </row>
    <row r="32" spans="1:13">
      <c r="A32" s="413">
        <v>45743</v>
      </c>
      <c r="B32" s="381" t="s">
        <v>1666</v>
      </c>
      <c r="C32" s="380"/>
      <c r="D32" s="411"/>
      <c r="E32" s="411"/>
      <c r="F32" s="84"/>
      <c r="G32" s="84">
        <v>-213</v>
      </c>
      <c r="H32" s="84">
        <f t="shared" si="0"/>
        <v>-53067.709999999992</v>
      </c>
      <c r="I32" s="75"/>
      <c r="J32" s="75"/>
    </row>
    <row r="33" spans="1:14">
      <c r="A33" s="413">
        <v>45740</v>
      </c>
      <c r="B33" s="380" t="s">
        <v>1694</v>
      </c>
      <c r="C33" s="380"/>
      <c r="D33" s="376"/>
      <c r="E33" s="376"/>
      <c r="F33" s="376"/>
      <c r="G33" s="376">
        <v>-8500</v>
      </c>
      <c r="H33" s="84">
        <f t="shared" si="0"/>
        <v>-61567.709999999992</v>
      </c>
    </row>
    <row r="34" spans="1:14">
      <c r="A34" s="413">
        <v>45740</v>
      </c>
      <c r="B34" s="380" t="s">
        <v>1693</v>
      </c>
      <c r="C34" s="380"/>
      <c r="D34" s="376"/>
      <c r="E34" s="376"/>
      <c r="F34" s="376"/>
      <c r="G34" s="376">
        <v>-90000</v>
      </c>
      <c r="H34" s="84">
        <f t="shared" si="0"/>
        <v>-151567.71</v>
      </c>
    </row>
    <row r="35" spans="1:14">
      <c r="A35" s="413"/>
      <c r="B35" s="380" t="s">
        <v>1695</v>
      </c>
      <c r="C35" s="380" t="s">
        <v>1703</v>
      </c>
      <c r="D35" s="376"/>
      <c r="E35" s="376"/>
      <c r="F35" s="376"/>
      <c r="G35" s="376">
        <v>-12.8</v>
      </c>
      <c r="H35" s="84">
        <f t="shared" si="0"/>
        <v>-151580.50999999998</v>
      </c>
    </row>
    <row r="36" spans="1:14" s="75" customFormat="1">
      <c r="A36" s="413">
        <v>45728</v>
      </c>
      <c r="B36" s="380" t="s">
        <v>1696</v>
      </c>
      <c r="C36" s="380"/>
      <c r="D36" s="376"/>
      <c r="E36" s="376"/>
      <c r="F36" s="376"/>
      <c r="G36" s="376">
        <v>-1500</v>
      </c>
      <c r="H36" s="84">
        <f t="shared" si="0"/>
        <v>-153080.50999999998</v>
      </c>
      <c r="I36"/>
      <c r="J36"/>
    </row>
    <row r="37" spans="1:14" s="75" customFormat="1">
      <c r="A37" s="460"/>
      <c r="B37" s="84"/>
      <c r="C37" s="84"/>
      <c r="D37" s="84"/>
      <c r="E37" s="84"/>
      <c r="F37" s="84"/>
      <c r="G37" s="84"/>
      <c r="H37" s="84">
        <f t="shared" si="0"/>
        <v>-153080.50999999998</v>
      </c>
    </row>
    <row r="38" spans="1:14" s="74" customFormat="1">
      <c r="A38" s="94"/>
      <c r="B38" s="75"/>
      <c r="C38" s="75"/>
      <c r="I38" s="75"/>
      <c r="J38" s="75"/>
      <c r="K38" s="75"/>
      <c r="L38" s="75"/>
      <c r="M38" s="75"/>
      <c r="N38" s="75"/>
    </row>
    <row r="39" spans="1:14" s="87" customFormat="1">
      <c r="A39" s="94"/>
      <c r="B39" s="75"/>
      <c r="C39" s="75"/>
      <c r="I39" s="75"/>
      <c r="J39" s="75"/>
      <c r="K39" s="75"/>
      <c r="L39" s="75"/>
      <c r="M39" s="75"/>
      <c r="N39" s="75"/>
    </row>
    <row r="40" spans="1:14" s="87" customFormat="1">
      <c r="A40" s="94"/>
      <c r="B40" s="75"/>
      <c r="C40" s="75"/>
      <c r="I40" s="75"/>
      <c r="J40" s="75"/>
      <c r="K40" s="75"/>
      <c r="L40" s="75"/>
      <c r="M40" s="75"/>
      <c r="N40" s="75"/>
    </row>
    <row r="41" spans="1:14" s="87" customFormat="1">
      <c r="A41" s="94"/>
      <c r="B41" s="75"/>
      <c r="C41" s="75"/>
      <c r="I41" s="75"/>
      <c r="J41" s="75"/>
      <c r="K41" s="75"/>
      <c r="L41" s="75"/>
      <c r="M41" s="75"/>
      <c r="N41" s="75"/>
    </row>
    <row r="42" spans="1:14" s="74" customFormat="1">
      <c r="A42" s="418"/>
      <c r="B42" s="98"/>
      <c r="K42" s="75"/>
      <c r="L42" s="75"/>
      <c r="M42" s="75"/>
      <c r="N42" s="75"/>
    </row>
    <row r="43" spans="1:14">
      <c r="A43" s="419"/>
      <c r="B43" s="100" t="s">
        <v>75</v>
      </c>
      <c r="C43" s="99"/>
      <c r="E43" s="74">
        <f>SUM(E44:E61)</f>
        <v>-19043.61</v>
      </c>
      <c r="I43" s="74"/>
      <c r="J43" s="74"/>
    </row>
    <row r="44" spans="1:14" s="74" customFormat="1">
      <c r="A44" s="94"/>
      <c r="B44"/>
      <c r="C44"/>
      <c r="I44"/>
      <c r="J44"/>
      <c r="K44" s="75"/>
      <c r="L44" s="75"/>
      <c r="M44" s="75"/>
      <c r="N44" s="75"/>
    </row>
    <row r="45" spans="1:14" s="74" customFormat="1">
      <c r="A45" s="94">
        <v>45715</v>
      </c>
      <c r="B45" s="87" t="s">
        <v>1628</v>
      </c>
      <c r="C45" s="87">
        <v>5938.7</v>
      </c>
      <c r="D45" s="87" t="s">
        <v>686</v>
      </c>
      <c r="E45" s="87">
        <v>-989.78</v>
      </c>
      <c r="F45" s="74">
        <v>0</v>
      </c>
      <c r="K45" s="75"/>
      <c r="L45" s="75"/>
      <c r="M45" s="75"/>
      <c r="N45" s="75"/>
    </row>
    <row r="46" spans="1:14" s="74" customFormat="1">
      <c r="A46" s="94">
        <v>45715</v>
      </c>
      <c r="B46" s="74" t="s">
        <v>1622</v>
      </c>
      <c r="E46" s="74">
        <v>-2820</v>
      </c>
      <c r="F46" s="74">
        <v>0</v>
      </c>
      <c r="K46" s="75"/>
      <c r="L46" s="75"/>
      <c r="M46" s="75"/>
      <c r="N46" s="75"/>
    </row>
    <row r="47" spans="1:14" s="74" customFormat="1">
      <c r="A47" s="94">
        <v>45715</v>
      </c>
      <c r="B47" s="74" t="s">
        <v>1624</v>
      </c>
      <c r="E47" s="74">
        <v>-3196.34</v>
      </c>
      <c r="F47" s="74">
        <v>0</v>
      </c>
      <c r="K47" s="75"/>
      <c r="L47" s="75"/>
      <c r="M47" s="75"/>
      <c r="N47" s="75"/>
    </row>
    <row r="48" spans="1:14">
      <c r="A48" s="94">
        <v>45715</v>
      </c>
      <c r="B48" s="87" t="s">
        <v>1623</v>
      </c>
      <c r="C48" s="74"/>
      <c r="E48" s="74">
        <v>-467.95</v>
      </c>
      <c r="F48" s="74">
        <v>0</v>
      </c>
      <c r="I48" s="74"/>
      <c r="J48" s="74"/>
    </row>
    <row r="49" spans="1:14" s="74" customFormat="1">
      <c r="A49" s="94">
        <v>45715</v>
      </c>
      <c r="B49" s="87" t="s">
        <v>1626</v>
      </c>
      <c r="C49"/>
      <c r="I49"/>
      <c r="J49"/>
      <c r="K49" s="75"/>
      <c r="L49" s="75"/>
      <c r="M49" s="75"/>
      <c r="N49" s="75"/>
    </row>
    <row r="50" spans="1:14" s="74" customFormat="1">
      <c r="A50" s="94"/>
      <c r="B50" s="102"/>
      <c r="C50" s="102"/>
      <c r="K50" s="75"/>
      <c r="L50" s="75"/>
      <c r="M50" s="75"/>
      <c r="N50" s="75"/>
    </row>
    <row r="51" spans="1:14" s="74" customFormat="1">
      <c r="A51" s="94">
        <v>45691</v>
      </c>
      <c r="B51" s="102" t="s">
        <v>1641</v>
      </c>
      <c r="C51" s="102"/>
      <c r="E51" s="74">
        <v>-1580</v>
      </c>
      <c r="F51" s="74">
        <v>0</v>
      </c>
      <c r="K51" s="75"/>
      <c r="L51" s="75"/>
      <c r="M51" s="75"/>
      <c r="N51" s="75"/>
    </row>
    <row r="52" spans="1:14" s="74" customFormat="1">
      <c r="A52" s="94">
        <v>45691</v>
      </c>
      <c r="B52" s="103" t="s">
        <v>1640</v>
      </c>
      <c r="C52" s="102"/>
      <c r="E52" s="74">
        <v>-1338</v>
      </c>
      <c r="F52" s="74">
        <v>0</v>
      </c>
      <c r="K52" s="75"/>
      <c r="L52" s="75"/>
      <c r="M52" s="75"/>
      <c r="N52" s="75"/>
    </row>
    <row r="53" spans="1:14" s="74" customFormat="1">
      <c r="A53" s="94">
        <v>45691</v>
      </c>
      <c r="B53" s="103" t="s">
        <v>1642</v>
      </c>
      <c r="C53" s="102"/>
      <c r="E53" s="74">
        <v>-1200</v>
      </c>
      <c r="F53" s="74">
        <v>0</v>
      </c>
      <c r="K53" s="75"/>
      <c r="L53" s="75"/>
      <c r="M53" s="75"/>
      <c r="N53" s="75"/>
    </row>
    <row r="54" spans="1:14" s="74" customFormat="1">
      <c r="A54" s="94">
        <v>45691</v>
      </c>
      <c r="B54" s="103" t="s">
        <v>1648</v>
      </c>
      <c r="E54" s="74">
        <v>-1300.54</v>
      </c>
      <c r="F54" s="74">
        <v>0</v>
      </c>
      <c r="K54" s="75"/>
      <c r="L54" s="75"/>
      <c r="M54" s="75"/>
      <c r="N54" s="75"/>
    </row>
    <row r="55" spans="1:14" s="74" customFormat="1">
      <c r="A55" s="94">
        <v>45689</v>
      </c>
      <c r="B55" s="103" t="s">
        <v>1643</v>
      </c>
      <c r="C55" s="102"/>
      <c r="E55" s="74">
        <v>-3720</v>
      </c>
      <c r="F55" s="74">
        <v>0</v>
      </c>
      <c r="K55" s="75"/>
      <c r="L55" s="75"/>
      <c r="M55" s="75"/>
      <c r="N55" s="75"/>
    </row>
    <row r="56" spans="1:14" s="74" customFormat="1">
      <c r="A56" s="94">
        <v>45699</v>
      </c>
      <c r="B56" s="3" t="s">
        <v>1656</v>
      </c>
      <c r="E56" s="74">
        <v>-2235</v>
      </c>
      <c r="F56" s="74">
        <v>0</v>
      </c>
      <c r="K56" s="75"/>
      <c r="L56" s="75"/>
      <c r="M56" s="75"/>
      <c r="N56" s="75"/>
    </row>
    <row r="57" spans="1:14" s="87" customFormat="1">
      <c r="A57" s="94">
        <v>45703</v>
      </c>
      <c r="B57" s="89" t="s">
        <v>1658</v>
      </c>
      <c r="E57" s="87">
        <v>-196</v>
      </c>
      <c r="F57" s="87">
        <v>0</v>
      </c>
      <c r="K57" s="75"/>
      <c r="L57" s="75"/>
      <c r="M57" s="75"/>
      <c r="N57" s="75"/>
    </row>
    <row r="58" spans="1:14" s="87" customFormat="1" ht="15">
      <c r="A58" s="94"/>
      <c r="B58" s="89"/>
      <c r="E58" s="101" t="s">
        <v>76</v>
      </c>
      <c r="K58" s="75"/>
      <c r="L58" s="75"/>
      <c r="M58" s="75"/>
      <c r="N58" s="75"/>
    </row>
    <row r="59" spans="1:14" s="87" customFormat="1">
      <c r="A59" s="94"/>
      <c r="B59" s="89"/>
      <c r="K59" s="75"/>
      <c r="L59" s="75"/>
      <c r="M59" s="75"/>
      <c r="N59" s="75"/>
    </row>
    <row r="60" spans="1:14" s="87" customFormat="1">
      <c r="A60" s="94"/>
      <c r="B60" s="89"/>
      <c r="K60" s="75"/>
      <c r="L60" s="75"/>
      <c r="M60" s="75"/>
      <c r="N60" s="75"/>
    </row>
    <row r="61" spans="1:14" s="87" customFormat="1">
      <c r="A61" s="94"/>
      <c r="B61" s="89"/>
      <c r="K61" s="75"/>
      <c r="L61" s="75"/>
      <c r="M61" s="75"/>
      <c r="N61" s="75"/>
    </row>
    <row r="62" spans="1:14" s="87" customFormat="1">
      <c r="A62" s="94"/>
      <c r="B62" s="89"/>
      <c r="K62" s="75"/>
      <c r="L62" s="75"/>
      <c r="M62" s="75"/>
      <c r="N62" s="75"/>
    </row>
    <row r="63" spans="1:14" s="87" customFormat="1">
      <c r="A63" s="94"/>
      <c r="B63" s="89"/>
      <c r="K63" s="75"/>
      <c r="L63" s="75"/>
      <c r="M63" s="75"/>
      <c r="N63" s="75"/>
    </row>
    <row r="64" spans="1:14" s="87" customFormat="1">
      <c r="A64" s="94"/>
      <c r="K64" s="75"/>
      <c r="L64" s="75"/>
      <c r="M64" s="75"/>
      <c r="N64" s="75"/>
    </row>
    <row r="65" spans="1:14" s="87" customFormat="1">
      <c r="A65" s="94"/>
      <c r="B65" s="89"/>
      <c r="K65" s="75"/>
      <c r="L65" s="75"/>
      <c r="M65" s="75"/>
      <c r="N65" s="75"/>
    </row>
    <row r="66" spans="1:14" s="74" customFormat="1">
      <c r="A66" s="94"/>
      <c r="B66" s="102"/>
      <c r="C66" s="102"/>
      <c r="K66" s="75"/>
      <c r="L66" s="75"/>
      <c r="M66" s="75"/>
      <c r="N66" s="75"/>
    </row>
    <row r="67" spans="1:14" s="74" customFormat="1">
      <c r="A67" s="419"/>
      <c r="B67" s="100" t="s">
        <v>77</v>
      </c>
      <c r="C67" s="99"/>
      <c r="E67" s="74">
        <f>SUM(E68:E101)</f>
        <v>-14628.179999999997</v>
      </c>
      <c r="K67" s="75"/>
      <c r="L67" s="75"/>
      <c r="M67" s="75"/>
      <c r="N67" s="75"/>
    </row>
    <row r="68" spans="1:14" s="74" customFormat="1">
      <c r="A68" s="94"/>
      <c r="B68" s="102"/>
      <c r="C68" s="102"/>
      <c r="K68" s="75"/>
      <c r="L68" s="75"/>
      <c r="M68" s="75"/>
      <c r="N68" s="75"/>
    </row>
    <row r="69" spans="1:14" s="74" customFormat="1">
      <c r="A69" s="418"/>
      <c r="F69" s="87"/>
      <c r="K69" s="75"/>
      <c r="L69" s="75"/>
      <c r="M69" s="75"/>
      <c r="N69" s="75"/>
    </row>
    <row r="70" spans="1:14" s="87" customFormat="1">
      <c r="A70" s="418">
        <v>45692</v>
      </c>
      <c r="B70" s="87" t="s">
        <v>1653</v>
      </c>
      <c r="D70" s="87" t="s">
        <v>1034</v>
      </c>
      <c r="E70" s="87">
        <v>-600.13</v>
      </c>
      <c r="K70" s="75"/>
      <c r="L70" s="75"/>
      <c r="M70" s="75"/>
      <c r="N70" s="75"/>
    </row>
    <row r="71" spans="1:14" s="87" customFormat="1">
      <c r="A71" s="418">
        <v>45692</v>
      </c>
      <c r="B71" s="87" t="s">
        <v>1653</v>
      </c>
      <c r="D71" s="87" t="s">
        <v>1034</v>
      </c>
      <c r="E71" s="87">
        <v>-2500.3000000000002</v>
      </c>
      <c r="K71" s="75"/>
      <c r="L71" s="75"/>
      <c r="M71" s="75"/>
      <c r="N71" s="75"/>
    </row>
    <row r="72" spans="1:14" s="87" customFormat="1">
      <c r="A72" s="418"/>
      <c r="K72" s="75"/>
      <c r="L72" s="75"/>
      <c r="M72" s="75"/>
      <c r="N72" s="75"/>
    </row>
    <row r="73" spans="1:14" s="87" customFormat="1">
      <c r="A73" s="418"/>
      <c r="K73" s="75"/>
      <c r="L73" s="75"/>
      <c r="M73" s="75"/>
      <c r="N73" s="75"/>
    </row>
    <row r="74" spans="1:14" s="87" customFormat="1">
      <c r="A74" s="418"/>
      <c r="K74" s="75"/>
      <c r="L74" s="75"/>
      <c r="M74" s="75"/>
      <c r="N74" s="75"/>
    </row>
    <row r="75" spans="1:14" s="87" customFormat="1">
      <c r="A75" s="94">
        <v>45681</v>
      </c>
      <c r="B75" s="89" t="s">
        <v>1614</v>
      </c>
      <c r="C75" s="102"/>
      <c r="E75" s="87">
        <v>-1798</v>
      </c>
      <c r="F75" s="74"/>
      <c r="K75" s="75"/>
      <c r="L75" s="75"/>
      <c r="M75" s="75"/>
      <c r="N75" s="75"/>
    </row>
    <row r="76" spans="1:14" s="87" customFormat="1">
      <c r="A76" s="94"/>
      <c r="B76" s="89" t="s">
        <v>525</v>
      </c>
      <c r="C76" s="102"/>
      <c r="E76" s="87">
        <v>1.8</v>
      </c>
      <c r="K76" s="75"/>
      <c r="L76" s="75"/>
      <c r="M76" s="75"/>
      <c r="N76" s="75"/>
    </row>
    <row r="77" spans="1:14" s="87" customFormat="1">
      <c r="A77" s="94">
        <v>45681</v>
      </c>
      <c r="B77" s="89" t="s">
        <v>1615</v>
      </c>
      <c r="C77" s="102"/>
      <c r="E77" s="87">
        <v>-700</v>
      </c>
      <c r="K77" s="75"/>
      <c r="L77" s="75"/>
      <c r="M77" s="75"/>
      <c r="N77" s="75"/>
    </row>
    <row r="78" spans="1:14" s="87" customFormat="1">
      <c r="A78" s="94">
        <v>45681</v>
      </c>
      <c r="B78" s="89" t="s">
        <v>1613</v>
      </c>
      <c r="C78" s="102"/>
      <c r="E78" s="87">
        <v>-120</v>
      </c>
      <c r="K78" s="75"/>
      <c r="L78" s="75"/>
      <c r="M78" s="75"/>
      <c r="N78" s="75"/>
    </row>
    <row r="79" spans="1:14" s="87" customFormat="1">
      <c r="A79" s="94">
        <v>45682</v>
      </c>
      <c r="B79" s="89" t="s">
        <v>1603</v>
      </c>
      <c r="C79" s="102"/>
      <c r="E79" s="87">
        <v>-70</v>
      </c>
      <c r="K79" s="75"/>
      <c r="L79" s="75"/>
      <c r="M79" s="75"/>
      <c r="N79" s="75"/>
    </row>
    <row r="80" spans="1:14" s="87" customFormat="1">
      <c r="A80" s="94">
        <v>45682</v>
      </c>
      <c r="B80" s="89" t="s">
        <v>1616</v>
      </c>
      <c r="C80" s="102"/>
      <c r="E80" s="87">
        <v>-699.99</v>
      </c>
      <c r="K80" s="75"/>
      <c r="L80" s="75"/>
      <c r="M80" s="75"/>
      <c r="N80" s="75"/>
    </row>
    <row r="81" spans="1:14" s="87" customFormat="1">
      <c r="A81" s="94">
        <v>45684</v>
      </c>
      <c r="B81" s="89" t="s">
        <v>1603</v>
      </c>
      <c r="C81" s="102"/>
      <c r="E81" s="87">
        <v>-70</v>
      </c>
      <c r="K81" s="75"/>
      <c r="L81" s="75"/>
      <c r="M81" s="75"/>
      <c r="N81" s="75"/>
    </row>
    <row r="82" spans="1:14" s="87" customFormat="1">
      <c r="A82" s="94">
        <v>45686</v>
      </c>
      <c r="B82" s="87" t="s">
        <v>1651</v>
      </c>
      <c r="E82" s="87">
        <v>-3600</v>
      </c>
      <c r="K82" s="75"/>
      <c r="L82" s="75"/>
      <c r="M82" s="75"/>
      <c r="N82" s="75"/>
    </row>
    <row r="83" spans="1:14" s="87" customFormat="1">
      <c r="A83" s="94">
        <v>45691</v>
      </c>
      <c r="B83" s="3" t="s">
        <v>121</v>
      </c>
      <c r="C83" s="102">
        <v>18950.04</v>
      </c>
      <c r="K83" s="75"/>
      <c r="L83" s="75"/>
      <c r="M83" s="75"/>
      <c r="N83" s="75"/>
    </row>
    <row r="84" spans="1:14" s="87" customFormat="1">
      <c r="A84" s="94">
        <v>45691</v>
      </c>
      <c r="B84" s="89" t="s">
        <v>121</v>
      </c>
      <c r="C84" s="102">
        <v>10153.299999999999</v>
      </c>
      <c r="K84" s="75"/>
      <c r="L84" s="75"/>
      <c r="M84" s="75"/>
      <c r="N84" s="75"/>
    </row>
    <row r="85" spans="1:14" s="87" customFormat="1">
      <c r="A85" s="418">
        <v>45694</v>
      </c>
      <c r="B85" s="87" t="s">
        <v>1603</v>
      </c>
      <c r="E85" s="87">
        <v>-70</v>
      </c>
      <c r="K85" s="75"/>
      <c r="L85" s="75"/>
      <c r="M85" s="75"/>
      <c r="N85" s="75"/>
    </row>
    <row r="86" spans="1:14" s="87" customFormat="1">
      <c r="A86" s="418">
        <v>45695</v>
      </c>
      <c r="B86" s="87" t="s">
        <v>1652</v>
      </c>
      <c r="E86" s="87">
        <v>-200</v>
      </c>
      <c r="K86" s="75"/>
      <c r="L86" s="75"/>
      <c r="M86" s="75"/>
      <c r="N86" s="75"/>
    </row>
    <row r="87" spans="1:14" s="74" customFormat="1">
      <c r="A87" s="418">
        <v>45696</v>
      </c>
      <c r="B87" s="74" t="s">
        <v>1654</v>
      </c>
      <c r="E87" s="74">
        <v>-550</v>
      </c>
      <c r="K87" s="75"/>
      <c r="L87" s="75"/>
      <c r="M87" s="75"/>
      <c r="N87" s="75"/>
    </row>
    <row r="88" spans="1:14" s="74" customFormat="1">
      <c r="A88" s="418">
        <v>45697</v>
      </c>
      <c r="B88" s="74" t="s">
        <v>1655</v>
      </c>
      <c r="E88" s="74">
        <v>-329.97</v>
      </c>
      <c r="K88" s="75"/>
      <c r="L88" s="75"/>
      <c r="M88" s="75"/>
      <c r="N88" s="75"/>
    </row>
    <row r="89" spans="1:14" s="74" customFormat="1">
      <c r="A89" s="418">
        <v>45699</v>
      </c>
      <c r="B89" s="74" t="s">
        <v>1659</v>
      </c>
      <c r="E89" s="74">
        <v>-200</v>
      </c>
      <c r="K89" s="75"/>
      <c r="L89" s="75"/>
      <c r="M89" s="75"/>
      <c r="N89" s="75"/>
    </row>
    <row r="90" spans="1:14" s="74" customFormat="1">
      <c r="A90" s="418">
        <v>45700</v>
      </c>
      <c r="B90" s="74" t="s">
        <v>1603</v>
      </c>
      <c r="E90" s="74">
        <v>-70</v>
      </c>
      <c r="K90" s="75"/>
      <c r="L90" s="75"/>
      <c r="M90" s="75"/>
      <c r="N90" s="75"/>
    </row>
    <row r="91" spans="1:14" s="74" customFormat="1">
      <c r="A91" s="418">
        <v>45701</v>
      </c>
      <c r="B91" s="74" t="s">
        <v>1604</v>
      </c>
      <c r="E91" s="74">
        <v>-230</v>
      </c>
      <c r="K91" s="75"/>
      <c r="L91" s="75"/>
      <c r="M91" s="75"/>
      <c r="N91" s="75"/>
    </row>
    <row r="92" spans="1:14" s="74" customFormat="1">
      <c r="A92" s="418">
        <v>45702</v>
      </c>
      <c r="B92" s="74" t="s">
        <v>475</v>
      </c>
      <c r="E92" s="74">
        <v>-250</v>
      </c>
      <c r="K92" s="75"/>
      <c r="L92" s="75"/>
      <c r="M92" s="75"/>
      <c r="N92" s="75"/>
    </row>
    <row r="93" spans="1:14" s="74" customFormat="1">
      <c r="A93" s="418">
        <v>45703</v>
      </c>
      <c r="B93" s="74" t="s">
        <v>1660</v>
      </c>
      <c r="E93" s="74">
        <v>-210</v>
      </c>
      <c r="K93" s="75"/>
      <c r="L93" s="75"/>
      <c r="M93" s="75"/>
      <c r="N93" s="75"/>
    </row>
    <row r="94" spans="1:14" s="74" customFormat="1">
      <c r="A94" s="94">
        <v>45704</v>
      </c>
      <c r="B94" s="3" t="s">
        <v>119</v>
      </c>
      <c r="C94" s="102"/>
      <c r="E94" s="74">
        <v>-467.38</v>
      </c>
      <c r="K94" s="75"/>
      <c r="L94" s="75"/>
      <c r="M94" s="75"/>
      <c r="N94" s="75"/>
    </row>
    <row r="95" spans="1:14" s="87" customFormat="1">
      <c r="A95" s="94">
        <v>45705</v>
      </c>
      <c r="B95" s="89" t="s">
        <v>1661</v>
      </c>
      <c r="C95" s="102"/>
      <c r="E95" s="87">
        <v>-350</v>
      </c>
      <c r="K95" s="75"/>
      <c r="L95" s="75"/>
      <c r="M95" s="75"/>
      <c r="N95" s="75"/>
    </row>
    <row r="96" spans="1:14" s="87" customFormat="1">
      <c r="A96" s="94">
        <v>45704</v>
      </c>
      <c r="B96" s="89"/>
      <c r="C96" s="102"/>
      <c r="E96" s="87">
        <v>-33</v>
      </c>
      <c r="K96" s="75"/>
      <c r="L96" s="75"/>
      <c r="M96" s="75"/>
      <c r="N96" s="75"/>
    </row>
    <row r="97" spans="1:14" s="87" customFormat="1">
      <c r="A97" s="94">
        <v>45705</v>
      </c>
      <c r="B97" s="89" t="s">
        <v>402</v>
      </c>
      <c r="C97" s="102"/>
      <c r="E97" s="87">
        <v>-380</v>
      </c>
      <c r="K97" s="75"/>
      <c r="L97" s="75"/>
      <c r="M97" s="75"/>
      <c r="N97" s="75"/>
    </row>
    <row r="98" spans="1:14" s="87" customFormat="1">
      <c r="A98" s="94">
        <v>45706</v>
      </c>
      <c r="B98" s="89" t="s">
        <v>1603</v>
      </c>
      <c r="C98" s="102"/>
      <c r="E98" s="87">
        <v>-400</v>
      </c>
      <c r="K98" s="75"/>
      <c r="L98" s="75"/>
      <c r="M98" s="75"/>
      <c r="N98" s="75"/>
    </row>
    <row r="99" spans="1:14" s="87" customFormat="1">
      <c r="A99" s="94">
        <v>45706</v>
      </c>
      <c r="B99" s="89" t="s">
        <v>119</v>
      </c>
      <c r="C99" s="102"/>
      <c r="E99" s="87">
        <v>-215.21</v>
      </c>
      <c r="K99" s="75"/>
      <c r="L99" s="75"/>
      <c r="M99" s="75"/>
      <c r="N99" s="75"/>
    </row>
    <row r="100" spans="1:14" s="74" customFormat="1">
      <c r="A100" s="94">
        <v>45709</v>
      </c>
      <c r="B100" s="3" t="s">
        <v>1662</v>
      </c>
      <c r="C100" s="102"/>
      <c r="E100" s="74">
        <v>-120</v>
      </c>
      <c r="K100" s="75"/>
      <c r="L100" s="75"/>
      <c r="M100" s="75"/>
      <c r="N100" s="75"/>
    </row>
    <row r="101" spans="1:14" s="74" customFormat="1">
      <c r="A101" s="94">
        <v>45710</v>
      </c>
      <c r="B101" s="3" t="s">
        <v>119</v>
      </c>
      <c r="C101" s="102"/>
      <c r="E101" s="74">
        <v>-396</v>
      </c>
      <c r="K101" s="75"/>
      <c r="L101" s="75"/>
      <c r="M101" s="75"/>
      <c r="N101" s="75"/>
    </row>
    <row r="102" spans="1:14" s="74" customFormat="1" ht="15">
      <c r="A102" s="94"/>
      <c r="B102" s="3"/>
      <c r="C102" s="102"/>
      <c r="E102" s="101" t="s">
        <v>76</v>
      </c>
      <c r="K102" s="75"/>
      <c r="L102" s="75"/>
      <c r="M102" s="75"/>
      <c r="N102" s="75"/>
    </row>
    <row r="103" spans="1:14" s="74" customFormat="1">
      <c r="A103" s="94"/>
      <c r="B103" s="3"/>
      <c r="C103" s="102"/>
      <c r="K103" s="75"/>
      <c r="L103" s="75"/>
      <c r="M103" s="75"/>
      <c r="N103" s="75"/>
    </row>
    <row r="104" spans="1:14" s="74" customFormat="1">
      <c r="A104" s="94"/>
      <c r="C104" s="102"/>
      <c r="K104" s="75"/>
      <c r="L104" s="75"/>
      <c r="M104" s="75"/>
      <c r="N104" s="75"/>
    </row>
    <row r="105" spans="1:14" s="74" customFormat="1">
      <c r="A105" s="94"/>
      <c r="B105" s="3"/>
      <c r="C105" s="102"/>
      <c r="K105" s="75"/>
      <c r="L105" s="75"/>
      <c r="M105" s="75"/>
      <c r="N105" s="75"/>
    </row>
    <row r="106" spans="1:14" s="74" customFormat="1">
      <c r="A106" s="94"/>
      <c r="B106" s="3"/>
      <c r="C106" s="102"/>
      <c r="K106" s="75"/>
      <c r="L106" s="75"/>
      <c r="M106" s="75"/>
      <c r="N106" s="75"/>
    </row>
    <row r="107" spans="1:14" s="74" customFormat="1">
      <c r="A107" s="94"/>
      <c r="B107" s="3"/>
      <c r="C107" s="102"/>
      <c r="K107" s="75"/>
      <c r="L107" s="75"/>
      <c r="M107" s="75"/>
      <c r="N107" s="75"/>
    </row>
    <row r="108" spans="1:14">
      <c r="B108" s="3"/>
      <c r="C108" s="102"/>
      <c r="I108" s="74"/>
      <c r="J108" s="74"/>
    </row>
    <row r="117" spans="1:14">
      <c r="A117" s="109" t="s">
        <v>1665</v>
      </c>
      <c r="B117" s="100" t="s">
        <v>128</v>
      </c>
      <c r="C117" s="99">
        <v>2025</v>
      </c>
      <c r="D117" s="87"/>
      <c r="E117" s="87"/>
      <c r="F117" s="87"/>
      <c r="G117" s="87">
        <f>SUM(G121:G148)</f>
        <v>773509.50500000012</v>
      </c>
      <c r="H117" s="87"/>
      <c r="I117" s="87"/>
    </row>
    <row r="118" spans="1:14">
      <c r="A118" s="109"/>
      <c r="B118" s="100"/>
      <c r="C118" s="99"/>
      <c r="D118" s="87"/>
      <c r="E118" s="87"/>
      <c r="F118" s="87"/>
      <c r="G118" s="87"/>
      <c r="H118" s="87"/>
      <c r="I118" s="87"/>
    </row>
    <row r="119" spans="1:14">
      <c r="A119" s="109"/>
      <c r="B119" s="100"/>
      <c r="C119" s="99"/>
      <c r="D119" s="87"/>
      <c r="E119" s="87" t="s">
        <v>129</v>
      </c>
      <c r="F119" s="87"/>
      <c r="G119" s="87"/>
      <c r="H119" s="87"/>
      <c r="I119" s="87"/>
    </row>
    <row r="120" spans="1:14">
      <c r="A120" s="96"/>
      <c r="B120" s="87" t="s">
        <v>69</v>
      </c>
      <c r="C120" s="87"/>
      <c r="D120" s="87"/>
      <c r="E120" s="87"/>
      <c r="F120" s="87"/>
      <c r="G120" s="87">
        <v>0</v>
      </c>
      <c r="H120" s="87"/>
      <c r="I120" s="87"/>
    </row>
    <row r="121" spans="1:14">
      <c r="A121" s="96"/>
      <c r="B121" s="87" t="s">
        <v>70</v>
      </c>
      <c r="C121" s="87"/>
      <c r="D121" s="87"/>
      <c r="E121" s="87"/>
      <c r="F121" s="87"/>
      <c r="G121" s="87">
        <v>0</v>
      </c>
      <c r="H121" s="87"/>
      <c r="I121" s="87"/>
    </row>
    <row r="122" spans="1:14">
      <c r="A122" s="96">
        <v>45747</v>
      </c>
      <c r="B122" s="87" t="s">
        <v>1727</v>
      </c>
      <c r="C122" s="87"/>
      <c r="D122" s="87"/>
      <c r="E122" s="87"/>
      <c r="F122" s="87"/>
      <c r="G122" s="87">
        <v>159330</v>
      </c>
      <c r="H122" s="87"/>
      <c r="I122" s="87"/>
    </row>
    <row r="123" spans="1:14">
      <c r="A123" s="96">
        <v>45721</v>
      </c>
      <c r="B123" s="87" t="s">
        <v>131</v>
      </c>
      <c r="C123" s="12"/>
      <c r="D123" s="12"/>
      <c r="E123" s="87"/>
      <c r="F123" s="87"/>
      <c r="G123" s="14">
        <v>34010.300000000003</v>
      </c>
      <c r="H123" s="87"/>
      <c r="I123" s="87"/>
    </row>
    <row r="124" spans="1:14" s="11" customFormat="1">
      <c r="A124" s="96">
        <v>45721</v>
      </c>
      <c r="B124" s="87"/>
      <c r="C124" s="12"/>
      <c r="D124" s="12"/>
      <c r="E124" s="87"/>
      <c r="F124" s="87" t="s">
        <v>1672</v>
      </c>
      <c r="G124" s="14">
        <v>0</v>
      </c>
      <c r="H124" s="87"/>
      <c r="I124" s="87"/>
      <c r="K124" s="75"/>
      <c r="L124" s="75"/>
      <c r="M124" s="75"/>
      <c r="N124" s="75"/>
    </row>
    <row r="125" spans="1:14">
      <c r="A125" s="96">
        <v>45721</v>
      </c>
      <c r="B125" s="87" t="s">
        <v>132</v>
      </c>
      <c r="C125" s="12"/>
      <c r="D125" s="12"/>
      <c r="E125" s="87"/>
      <c r="F125" s="87"/>
      <c r="G125" s="14">
        <v>500</v>
      </c>
      <c r="H125" s="87"/>
      <c r="I125" s="87"/>
    </row>
    <row r="126" spans="1:14">
      <c r="A126" s="96"/>
      <c r="B126" s="87"/>
      <c r="C126" s="12"/>
      <c r="D126" s="12"/>
      <c r="E126" s="87"/>
      <c r="F126" s="87"/>
      <c r="G126" s="14"/>
      <c r="H126" s="87"/>
      <c r="I126" s="87" t="s">
        <v>1677</v>
      </c>
    </row>
    <row r="127" spans="1:14">
      <c r="A127" s="433">
        <v>45667</v>
      </c>
      <c r="B127" s="434" t="s">
        <v>133</v>
      </c>
      <c r="C127" s="435"/>
      <c r="D127" s="436">
        <v>872.26366499999995</v>
      </c>
      <c r="E127" s="437">
        <f t="shared" ref="E127:E132" si="1">D127*C127</f>
        <v>0</v>
      </c>
      <c r="F127" s="461">
        <v>949.42488000000003</v>
      </c>
      <c r="G127" s="438">
        <f t="shared" ref="G127:G132" si="2">F127*C127</f>
        <v>0</v>
      </c>
      <c r="H127" s="405"/>
      <c r="I127" s="405">
        <f t="shared" ref="I127:I132" si="3">G127-E127</f>
        <v>0</v>
      </c>
      <c r="M127" s="432"/>
    </row>
    <row r="128" spans="1:14">
      <c r="A128" s="433">
        <v>45672</v>
      </c>
      <c r="B128" s="434" t="s">
        <v>133</v>
      </c>
      <c r="C128" s="435"/>
      <c r="D128" s="436">
        <v>877.65409299999999</v>
      </c>
      <c r="E128" s="437">
        <f t="shared" si="1"/>
        <v>0</v>
      </c>
      <c r="F128" s="461">
        <f>F127</f>
        <v>949.42488000000003</v>
      </c>
      <c r="G128" s="438">
        <f t="shared" si="2"/>
        <v>0</v>
      </c>
      <c r="H128" s="405"/>
      <c r="I128" s="405">
        <f t="shared" si="3"/>
        <v>0</v>
      </c>
    </row>
    <row r="129" spans="1:14">
      <c r="A129" s="433">
        <v>45680</v>
      </c>
      <c r="B129" s="434" t="s">
        <v>1593</v>
      </c>
      <c r="C129" s="435"/>
      <c r="D129" s="436">
        <v>305</v>
      </c>
      <c r="E129" s="437">
        <f>D129*C129</f>
        <v>0</v>
      </c>
      <c r="F129" s="405">
        <v>323.75</v>
      </c>
      <c r="G129" s="438">
        <f>F129*C129</f>
        <v>0</v>
      </c>
      <c r="H129" s="405"/>
      <c r="I129" s="405">
        <f>G129-E129</f>
        <v>0</v>
      </c>
      <c r="J129" s="431"/>
      <c r="K129" s="96"/>
      <c r="M129" s="431"/>
    </row>
    <row r="130" spans="1:14" s="11" customFormat="1">
      <c r="A130" s="433">
        <v>45721</v>
      </c>
      <c r="B130" s="434" t="s">
        <v>1593</v>
      </c>
      <c r="C130" s="435"/>
      <c r="D130" s="436"/>
      <c r="E130" s="437"/>
      <c r="F130" s="405"/>
      <c r="G130" s="438"/>
      <c r="H130" s="405"/>
      <c r="I130" s="405">
        <v>-81.59</v>
      </c>
      <c r="J130" s="75"/>
      <c r="K130" s="431"/>
      <c r="L130" s="75"/>
      <c r="M130" s="431"/>
      <c r="N130" s="75"/>
    </row>
    <row r="131" spans="1:14">
      <c r="A131" s="96">
        <v>45620</v>
      </c>
      <c r="B131" s="79" t="s">
        <v>1595</v>
      </c>
      <c r="C131" s="110">
        <v>4000</v>
      </c>
      <c r="D131" s="110">
        <v>32.549999999999997</v>
      </c>
      <c r="E131" s="112">
        <f t="shared" si="1"/>
        <v>130199.99999999999</v>
      </c>
      <c r="F131" s="87">
        <v>41.73</v>
      </c>
      <c r="G131" s="14">
        <f t="shared" si="2"/>
        <v>166920</v>
      </c>
      <c r="H131" s="87"/>
      <c r="I131" s="87">
        <f t="shared" si="3"/>
        <v>36720.000000000015</v>
      </c>
    </row>
    <row r="132" spans="1:14" ht="13.5" thickBot="1">
      <c r="A132" s="96">
        <v>45659</v>
      </c>
      <c r="B132" s="79" t="s">
        <v>1594</v>
      </c>
      <c r="C132" s="110">
        <v>4000</v>
      </c>
      <c r="D132" s="111">
        <v>30.86</v>
      </c>
      <c r="E132" s="112">
        <f t="shared" si="1"/>
        <v>123440</v>
      </c>
      <c r="F132" s="87">
        <f>F131</f>
        <v>41.73</v>
      </c>
      <c r="G132" s="14">
        <f t="shared" si="2"/>
        <v>166920</v>
      </c>
      <c r="H132" s="407">
        <f>SUM(G127:G132)</f>
        <v>333840</v>
      </c>
      <c r="I132" s="87">
        <f t="shared" si="3"/>
        <v>43480</v>
      </c>
    </row>
    <row r="133" spans="1:14" ht="13.5" thickBot="1">
      <c r="A133" s="96"/>
      <c r="B133" s="87"/>
      <c r="C133" s="12"/>
      <c r="D133" s="12"/>
      <c r="E133" s="87">
        <f>SUM(E127:E132)</f>
        <v>253640</v>
      </c>
      <c r="F133" s="87"/>
      <c r="G133" s="14"/>
      <c r="H133" s="113">
        <f>(SUM(G127:G132))-(SUM(E127:E132))</f>
        <v>80200</v>
      </c>
      <c r="I133" s="113">
        <f>SUM(I127:I132)</f>
        <v>80118.410000000018</v>
      </c>
    </row>
    <row r="134" spans="1:14">
      <c r="A134" s="96"/>
      <c r="B134" s="87"/>
      <c r="C134" s="12"/>
      <c r="D134" s="12"/>
      <c r="E134" s="87"/>
      <c r="F134" s="87"/>
      <c r="G134" s="87"/>
      <c r="H134" s="87"/>
      <c r="I134" s="87"/>
    </row>
    <row r="135" spans="1:14">
      <c r="A135" s="96">
        <v>45345</v>
      </c>
      <c r="B135" s="79" t="s">
        <v>135</v>
      </c>
      <c r="C135" s="114">
        <v>125000</v>
      </c>
      <c r="D135" s="80">
        <v>1.0399430000000001</v>
      </c>
      <c r="E135" s="112">
        <f>D135*C135</f>
        <v>129992.87500000001</v>
      </c>
      <c r="F135" s="115">
        <v>0.88676500000000003</v>
      </c>
      <c r="G135" s="14">
        <f>F135*C135</f>
        <v>110845.625</v>
      </c>
      <c r="H135" s="87"/>
      <c r="I135" s="87">
        <f t="shared" ref="I135:I138" si="4">G135-E135</f>
        <v>-19147.250000000015</v>
      </c>
    </row>
    <row r="136" spans="1:14">
      <c r="A136" s="96">
        <v>45400</v>
      </c>
      <c r="B136" s="79" t="s">
        <v>136</v>
      </c>
      <c r="C136" s="110">
        <v>10</v>
      </c>
      <c r="D136" s="80">
        <v>135</v>
      </c>
      <c r="E136" s="112">
        <f>D136*C136</f>
        <v>1350</v>
      </c>
      <c r="F136" s="87">
        <v>106.3</v>
      </c>
      <c r="G136" s="14">
        <f>F136*C136</f>
        <v>1063</v>
      </c>
      <c r="H136" s="87"/>
      <c r="I136" s="87">
        <f t="shared" si="4"/>
        <v>-287</v>
      </c>
    </row>
    <row r="137" spans="1:14">
      <c r="A137" s="96">
        <v>45418</v>
      </c>
      <c r="B137" s="79" t="s">
        <v>137</v>
      </c>
      <c r="C137" s="110">
        <v>38</v>
      </c>
      <c r="D137" s="80">
        <v>30.5</v>
      </c>
      <c r="E137" s="112">
        <f>D137*C137</f>
        <v>1159</v>
      </c>
      <c r="F137" s="87">
        <v>15.31</v>
      </c>
      <c r="G137" s="14">
        <f>F137*C137</f>
        <v>581.78</v>
      </c>
      <c r="H137" s="87"/>
      <c r="I137" s="87">
        <f t="shared" si="4"/>
        <v>-577.22</v>
      </c>
    </row>
    <row r="138" spans="1:14" ht="13.5" thickBot="1">
      <c r="A138" s="96">
        <v>45418</v>
      </c>
      <c r="B138" s="79" t="s">
        <v>138</v>
      </c>
      <c r="C138" s="110">
        <v>26</v>
      </c>
      <c r="D138" s="80">
        <v>37.115000000000002</v>
      </c>
      <c r="E138" s="112">
        <f>D138*C138</f>
        <v>964.99</v>
      </c>
      <c r="F138" s="87">
        <v>23.8</v>
      </c>
      <c r="G138" s="14">
        <f>F138*C138</f>
        <v>618.80000000000007</v>
      </c>
      <c r="H138" s="407">
        <f>SUM(G135:G138)</f>
        <v>113109.205</v>
      </c>
      <c r="I138" s="87">
        <f t="shared" si="4"/>
        <v>-346.18999999999994</v>
      </c>
    </row>
    <row r="139" spans="1:14" ht="13.5" thickBot="1">
      <c r="A139" s="96"/>
      <c r="B139" s="87"/>
      <c r="C139" s="12"/>
      <c r="D139" s="12"/>
      <c r="E139" s="87">
        <f>SUM(E135:E138)</f>
        <v>133466.86499999999</v>
      </c>
      <c r="F139" s="87"/>
      <c r="G139" s="87"/>
      <c r="H139" s="113">
        <f>(SUM(G135:G138))-(SUM(E135:E138))</f>
        <v>-20357.659999999989</v>
      </c>
      <c r="I139" s="87"/>
    </row>
    <row r="140" spans="1:14">
      <c r="A140" s="96"/>
      <c r="B140" s="87"/>
      <c r="C140" s="87"/>
      <c r="D140" s="87"/>
      <c r="E140" s="14"/>
      <c r="F140" s="87"/>
      <c r="G140" s="87"/>
      <c r="H140" s="87"/>
      <c r="I140" s="87"/>
    </row>
    <row r="141" spans="1:14">
      <c r="A141" s="96">
        <v>45509</v>
      </c>
      <c r="B141" s="79" t="s">
        <v>1715</v>
      </c>
      <c r="C141" s="110">
        <v>1</v>
      </c>
      <c r="D141" s="80">
        <v>2500</v>
      </c>
      <c r="E141" s="112">
        <f>D141*C141</f>
        <v>2500</v>
      </c>
      <c r="F141" s="87">
        <v>3700</v>
      </c>
      <c r="G141" s="14">
        <f>C141*F141</f>
        <v>3700</v>
      </c>
      <c r="H141" s="87"/>
      <c r="I141" s="87">
        <f t="shared" ref="I141:I143" si="5">G141-E141</f>
        <v>1200</v>
      </c>
    </row>
    <row r="142" spans="1:14">
      <c r="A142" s="96">
        <v>45509</v>
      </c>
      <c r="B142" s="79" t="s">
        <v>140</v>
      </c>
      <c r="C142" s="110">
        <v>16</v>
      </c>
      <c r="D142" s="80">
        <v>4100</v>
      </c>
      <c r="E142" s="112">
        <f>D142*C142</f>
        <v>65600</v>
      </c>
      <c r="F142" s="87">
        <f>F141*1.73</f>
        <v>6401</v>
      </c>
      <c r="G142" s="14">
        <f>C142*F142</f>
        <v>102416</v>
      </c>
      <c r="H142" s="87"/>
      <c r="I142" s="87">
        <f t="shared" si="5"/>
        <v>36816</v>
      </c>
    </row>
    <row r="143" spans="1:14" ht="13.5" thickBot="1">
      <c r="A143" s="96">
        <v>45509</v>
      </c>
      <c r="B143" s="79" t="s">
        <v>141</v>
      </c>
      <c r="C143" s="110">
        <v>1</v>
      </c>
      <c r="D143" s="80">
        <v>16200</v>
      </c>
      <c r="E143" s="112">
        <f>D143*C143</f>
        <v>16200</v>
      </c>
      <c r="F143" s="87">
        <f>F142*4</f>
        <v>25604</v>
      </c>
      <c r="G143" s="14">
        <f>C143*F143</f>
        <v>25604</v>
      </c>
      <c r="H143" s="407">
        <f>SUM(G141:G143)</f>
        <v>131720</v>
      </c>
      <c r="I143" s="87">
        <f t="shared" si="5"/>
        <v>9404</v>
      </c>
    </row>
    <row r="144" spans="1:14" ht="13.5" thickBot="1">
      <c r="A144" s="96"/>
      <c r="B144" s="87"/>
      <c r="C144" s="12"/>
      <c r="D144" s="12"/>
      <c r="E144" s="87">
        <f>SUM(E141:E143)</f>
        <v>84300</v>
      </c>
      <c r="F144" s="87"/>
      <c r="G144" s="87"/>
      <c r="H144" s="113">
        <f>(SUM(G141:G143))-(SUM(E141:E143))</f>
        <v>47420</v>
      </c>
      <c r="I144" s="87"/>
    </row>
    <row r="145" spans="1:14">
      <c r="A145" s="96"/>
      <c r="B145" s="87" t="s">
        <v>142</v>
      </c>
      <c r="C145" s="116">
        <v>33.250599999999999</v>
      </c>
      <c r="D145" s="12"/>
      <c r="E145" s="87"/>
      <c r="F145" s="87"/>
      <c r="G145" s="14"/>
      <c r="H145" s="87"/>
      <c r="I145" s="87"/>
    </row>
    <row r="146" spans="1:14">
      <c r="A146" s="96"/>
      <c r="B146" s="87" t="s">
        <v>143</v>
      </c>
      <c r="C146" s="116">
        <v>36.854999999999997</v>
      </c>
      <c r="D146" s="12"/>
      <c r="E146" s="87"/>
      <c r="F146" s="87"/>
      <c r="G146" s="14"/>
      <c r="H146" s="87"/>
      <c r="I146" s="87"/>
    </row>
    <row r="147" spans="1:14">
      <c r="A147" s="96"/>
      <c r="B147" s="87" t="s">
        <v>144</v>
      </c>
      <c r="C147" s="12"/>
      <c r="D147" s="12"/>
      <c r="E147" s="87"/>
      <c r="F147" s="87"/>
      <c r="G147" s="14">
        <v>0</v>
      </c>
      <c r="H147" s="87"/>
      <c r="I147" s="87"/>
    </row>
    <row r="148" spans="1:14" ht="13.5" thickBot="1">
      <c r="A148" s="96"/>
      <c r="B148" s="87" t="s">
        <v>145</v>
      </c>
      <c r="C148" s="12"/>
      <c r="D148" s="12"/>
      <c r="E148" s="87"/>
      <c r="F148" s="87"/>
      <c r="G148" s="14">
        <v>1000</v>
      </c>
      <c r="H148" s="87"/>
      <c r="I148" s="87"/>
    </row>
    <row r="149" spans="1:14" ht="13.5" thickBot="1">
      <c r="A149" s="96"/>
      <c r="B149" s="87"/>
      <c r="C149" s="87"/>
      <c r="D149" s="87"/>
      <c r="E149" s="117"/>
      <c r="F149" s="118"/>
      <c r="G149" s="119" t="s">
        <v>146</v>
      </c>
      <c r="H149" s="417">
        <f>H144+H139+H133</f>
        <v>107262.34000000001</v>
      </c>
      <c r="I149" s="87"/>
    </row>
    <row r="150" spans="1:14">
      <c r="A150" s="96"/>
      <c r="B150" s="87"/>
      <c r="C150" s="120"/>
      <c r="D150" s="89"/>
      <c r="E150" s="87"/>
      <c r="F150" s="87"/>
      <c r="G150" s="120"/>
      <c r="H150" s="87"/>
      <c r="I150" s="87"/>
    </row>
    <row r="151" spans="1:14">
      <c r="A151" s="96"/>
      <c r="B151" s="87"/>
      <c r="C151" s="120"/>
      <c r="D151" s="15" t="s">
        <v>147</v>
      </c>
      <c r="E151" s="87"/>
      <c r="F151" s="87"/>
      <c r="G151" s="9">
        <f>SUM(G121:G148)</f>
        <v>773509.50500000012</v>
      </c>
      <c r="H151" s="87"/>
      <c r="I151" s="87"/>
    </row>
    <row r="152" spans="1:14">
      <c r="A152" s="96"/>
      <c r="B152" s="87"/>
      <c r="C152" s="122" t="str">
        <f>A117</f>
        <v>NİSAN 2025 e</v>
      </c>
      <c r="D152" s="122" t="s">
        <v>148</v>
      </c>
      <c r="E152" s="87"/>
      <c r="F152" s="87"/>
      <c r="G152" s="123"/>
      <c r="H152" s="87"/>
      <c r="I152" s="87"/>
    </row>
    <row r="153" spans="1:14">
      <c r="A153" s="96"/>
      <c r="B153" s="393"/>
      <c r="C153" s="426"/>
      <c r="D153" s="427"/>
      <c r="E153" s="393"/>
      <c r="F153" s="393"/>
      <c r="G153" s="397"/>
      <c r="H153" s="393"/>
      <c r="I153" s="87"/>
    </row>
    <row r="154" spans="1:14">
      <c r="A154" s="96">
        <v>45747</v>
      </c>
      <c r="B154" s="79" t="s">
        <v>1674</v>
      </c>
      <c r="C154" s="114">
        <v>240</v>
      </c>
      <c r="D154" s="80">
        <v>872.26366499999995</v>
      </c>
      <c r="E154" s="112">
        <f>D154*C154</f>
        <v>209343.27959999998</v>
      </c>
      <c r="F154" s="391">
        <f>F128</f>
        <v>949.42488000000003</v>
      </c>
      <c r="H154" s="87"/>
    </row>
    <row r="155" spans="1:14" s="11" customFormat="1">
      <c r="A155" s="96"/>
      <c r="B155" s="79">
        <v>2024</v>
      </c>
      <c r="C155" s="114">
        <v>100</v>
      </c>
      <c r="D155" s="80">
        <v>872.26</v>
      </c>
      <c r="E155" s="112">
        <f>D155*C155</f>
        <v>87226</v>
      </c>
      <c r="F155" s="391">
        <f>F154</f>
        <v>949.42488000000003</v>
      </c>
      <c r="G155" s="14"/>
      <c r="H155" s="87"/>
      <c r="I155" s="87"/>
      <c r="K155" s="75"/>
      <c r="L155" s="75"/>
      <c r="M155" s="75"/>
      <c r="N155" s="75"/>
    </row>
    <row r="156" spans="1:14" s="11" customFormat="1">
      <c r="A156" s="96"/>
      <c r="B156" s="79" t="s">
        <v>1717</v>
      </c>
      <c r="C156" s="114">
        <v>25</v>
      </c>
      <c r="D156" s="80">
        <v>872.26</v>
      </c>
      <c r="E156" s="112">
        <f>D156*C156</f>
        <v>21806.5</v>
      </c>
      <c r="F156" s="391">
        <f>F155</f>
        <v>949.42488000000003</v>
      </c>
      <c r="G156" s="14"/>
      <c r="H156" s="87"/>
      <c r="I156" s="87"/>
      <c r="K156" s="75"/>
      <c r="L156" s="75"/>
      <c r="M156" s="75"/>
      <c r="N156" s="75"/>
    </row>
    <row r="157" spans="1:14" s="11" customFormat="1" ht="15.75">
      <c r="A157" s="96"/>
      <c r="B157" s="464">
        <f>1-76.4616%</f>
        <v>0.23538399999999993</v>
      </c>
      <c r="C157" s="377">
        <f>219/12*B157</f>
        <v>4.2957579999999984</v>
      </c>
      <c r="D157" s="80">
        <v>5</v>
      </c>
      <c r="E157" s="112">
        <f>C157*D157</f>
        <v>21.478789999999993</v>
      </c>
      <c r="F157" s="391"/>
      <c r="G157" s="14"/>
      <c r="H157" s="87"/>
      <c r="I157" s="87"/>
      <c r="K157" s="75"/>
      <c r="L157" s="75"/>
      <c r="M157" s="75"/>
      <c r="N157" s="75"/>
    </row>
    <row r="158" spans="1:14" s="11" customFormat="1">
      <c r="A158" s="96"/>
      <c r="B158" s="79" t="s">
        <v>1718</v>
      </c>
      <c r="C158" s="114">
        <v>25</v>
      </c>
      <c r="D158" s="80">
        <v>872.26</v>
      </c>
      <c r="E158" s="112">
        <f>D158*C158</f>
        <v>21806.5</v>
      </c>
      <c r="F158" s="391">
        <f>F156</f>
        <v>949.42488000000003</v>
      </c>
      <c r="G158" s="14"/>
      <c r="H158" s="87"/>
      <c r="I158" s="87"/>
      <c r="K158" s="75"/>
      <c r="L158" s="75"/>
      <c r="M158" s="75"/>
      <c r="N158" s="75"/>
    </row>
    <row r="159" spans="1:14" s="11" customFormat="1">
      <c r="A159" s="96"/>
      <c r="B159" s="79"/>
      <c r="C159" s="377">
        <f>290/12*B157</f>
        <v>5.6884466666666649</v>
      </c>
      <c r="D159" s="80">
        <v>4</v>
      </c>
      <c r="E159" s="112">
        <f>C159*D159</f>
        <v>22.753786666666659</v>
      </c>
      <c r="F159" s="391"/>
      <c r="G159" s="14"/>
      <c r="H159" s="87"/>
      <c r="I159" s="87"/>
      <c r="K159" s="75"/>
      <c r="L159" s="75"/>
      <c r="M159" s="75"/>
      <c r="N159" s="75"/>
    </row>
    <row r="160" spans="1:14" s="11" customFormat="1">
      <c r="A160" s="96"/>
      <c r="B160" s="79"/>
      <c r="C160" s="112">
        <f>C158+C156+C155</f>
        <v>150</v>
      </c>
      <c r="D160" s="80">
        <v>872.26</v>
      </c>
      <c r="E160" s="112">
        <f>E158+E156+E155</f>
        <v>130839</v>
      </c>
      <c r="F160" s="391">
        <f>F158</f>
        <v>949.42488000000003</v>
      </c>
      <c r="G160" s="14">
        <f>F160*C160</f>
        <v>142413.73200000002</v>
      </c>
      <c r="H160" s="87"/>
      <c r="I160" s="87">
        <f>G160-E160</f>
        <v>11574.732000000018</v>
      </c>
      <c r="K160" s="75"/>
      <c r="L160" s="75"/>
      <c r="M160" s="75"/>
      <c r="N160" s="75"/>
    </row>
    <row r="161" spans="1:14" s="11" customFormat="1">
      <c r="A161" s="96"/>
      <c r="B161" s="79"/>
      <c r="C161" s="377"/>
      <c r="D161" s="80"/>
      <c r="E161" s="112"/>
      <c r="F161" s="391"/>
      <c r="G161" s="14"/>
      <c r="H161" s="87"/>
      <c r="I161" s="87"/>
      <c r="K161" s="75"/>
      <c r="L161" s="75"/>
      <c r="M161" s="75"/>
      <c r="N161" s="75"/>
    </row>
    <row r="162" spans="1:14">
      <c r="A162" s="96"/>
      <c r="B162" s="87" t="s">
        <v>1675</v>
      </c>
      <c r="C162" s="426"/>
      <c r="D162" s="427"/>
      <c r="E162" s="393"/>
      <c r="F162" s="393"/>
      <c r="G162" s="397"/>
      <c r="H162" s="87"/>
      <c r="I162" s="87"/>
    </row>
    <row r="163" spans="1:14" s="11" customFormat="1">
      <c r="A163" s="96"/>
      <c r="B163" s="87"/>
      <c r="C163" s="426"/>
      <c r="D163" s="427"/>
      <c r="E163" s="393"/>
      <c r="F163" s="393"/>
      <c r="G163" s="397"/>
      <c r="H163" s="87"/>
      <c r="I163" s="87"/>
      <c r="K163" s="75"/>
      <c r="L163" s="75"/>
      <c r="M163" s="75"/>
      <c r="N163" s="75"/>
    </row>
    <row r="164" spans="1:14" s="11" customFormat="1">
      <c r="A164" s="96"/>
      <c r="B164" s="87"/>
      <c r="C164" s="466">
        <v>0.76461599999999996</v>
      </c>
      <c r="D164" s="427"/>
      <c r="E164" s="393"/>
      <c r="F164" s="393"/>
      <c r="G164" s="397"/>
      <c r="H164" s="87"/>
      <c r="I164" s="87"/>
      <c r="K164" s="75"/>
      <c r="L164" s="75"/>
      <c r="M164" s="75"/>
      <c r="N164" s="75"/>
    </row>
    <row r="165" spans="1:14" s="11" customFormat="1">
      <c r="A165" s="96"/>
      <c r="C165" s="426"/>
      <c r="D165" s="427"/>
      <c r="E165" s="393"/>
      <c r="F165" s="393"/>
      <c r="G165" s="397"/>
      <c r="H165" s="87"/>
      <c r="I165" s="87"/>
      <c r="K165" s="75"/>
      <c r="L165" s="75"/>
      <c r="M165" s="75"/>
      <c r="N165" s="75"/>
    </row>
    <row r="166" spans="1:14">
      <c r="A166" s="87"/>
      <c r="B166" s="87" t="s">
        <v>1676</v>
      </c>
      <c r="C166" s="87"/>
      <c r="D166" s="87"/>
      <c r="E166" s="87"/>
      <c r="F166" s="87"/>
      <c r="G166" s="87"/>
      <c r="H166" s="87"/>
      <c r="I166" s="87" t="s">
        <v>1667</v>
      </c>
      <c r="J166" t="s">
        <v>1667</v>
      </c>
      <c r="K166" s="75" t="s">
        <v>1668</v>
      </c>
      <c r="L166" s="75" t="s">
        <v>1669</v>
      </c>
      <c r="M166" s="75" t="s">
        <v>1670</v>
      </c>
    </row>
    <row r="167" spans="1:14">
      <c r="A167" s="96">
        <v>45680</v>
      </c>
      <c r="B167" s="79" t="s">
        <v>1673</v>
      </c>
      <c r="C167" s="110">
        <v>120</v>
      </c>
      <c r="D167" s="111">
        <v>305</v>
      </c>
      <c r="E167" s="112">
        <f>D167*C167</f>
        <v>36600</v>
      </c>
      <c r="F167" s="87">
        <v>323.75</v>
      </c>
      <c r="G167" s="14">
        <f>F167*C167</f>
        <v>38850</v>
      </c>
      <c r="H167" s="87"/>
      <c r="I167" s="87">
        <f>G167-E167</f>
        <v>2250</v>
      </c>
      <c r="J167" s="431">
        <f>(I167-I168)/E167</f>
        <v>6.3704644808743174E-2</v>
      </c>
      <c r="K167" s="96">
        <v>45721</v>
      </c>
      <c r="L167" s="75">
        <f>K167-A167</f>
        <v>41</v>
      </c>
      <c r="M167" s="431">
        <f>J167/L167*30</f>
        <v>4.6613154738104762E-2</v>
      </c>
    </row>
    <row r="168" spans="1:14">
      <c r="A168" s="96">
        <v>45721</v>
      </c>
      <c r="B168" s="79" t="s">
        <v>1593</v>
      </c>
      <c r="C168" s="110"/>
      <c r="D168" s="111"/>
      <c r="E168" s="112"/>
      <c r="F168" s="87"/>
      <c r="G168" s="14"/>
      <c r="H168" s="87"/>
      <c r="I168" s="87">
        <v>-81.59</v>
      </c>
      <c r="J168" s="87">
        <f>I167-I168</f>
        <v>2331.59</v>
      </c>
      <c r="K168" s="463" t="s">
        <v>1671</v>
      </c>
      <c r="M168" s="431"/>
    </row>
    <row r="169" spans="1:14">
      <c r="A169" s="96">
        <v>45667</v>
      </c>
      <c r="B169" s="79" t="s">
        <v>133</v>
      </c>
      <c r="C169" s="110">
        <v>50</v>
      </c>
      <c r="D169" s="111">
        <v>872.26366499999995</v>
      </c>
      <c r="E169" s="112">
        <f t="shared" ref="E169:E170" si="6">D169*C169</f>
        <v>43613.183249999995</v>
      </c>
      <c r="F169" s="392">
        <v>948.605186</v>
      </c>
      <c r="G169" s="14">
        <f t="shared" ref="G169:G170" si="7">F169*C169</f>
        <v>47430.259299999998</v>
      </c>
      <c r="H169" s="87"/>
      <c r="I169" s="87">
        <f t="shared" ref="I169:I170" si="8">G169-E169</f>
        <v>3817.0760500000033</v>
      </c>
    </row>
    <row r="170" spans="1:14">
      <c r="A170" s="96">
        <v>45672</v>
      </c>
      <c r="B170" s="79" t="s">
        <v>133</v>
      </c>
      <c r="C170" s="110">
        <v>50</v>
      </c>
      <c r="D170" s="111">
        <v>877.65409299999999</v>
      </c>
      <c r="E170" s="112">
        <f t="shared" si="6"/>
        <v>43882.70465</v>
      </c>
      <c r="F170" s="392">
        <f>F169</f>
        <v>948.605186</v>
      </c>
      <c r="G170" s="14">
        <f t="shared" si="7"/>
        <v>47430.259299999998</v>
      </c>
      <c r="H170" s="87"/>
      <c r="I170" s="87">
        <f t="shared" si="8"/>
        <v>3547.5546499999982</v>
      </c>
      <c r="J170" s="431">
        <f>(I169+I170-I171)/(E170+E169)</f>
        <v>9.2896373704895008E-2</v>
      </c>
      <c r="K170" s="96">
        <v>45736</v>
      </c>
      <c r="L170" s="75">
        <f>K170-A170</f>
        <v>64</v>
      </c>
      <c r="M170" s="431">
        <f>J170/L170*30</f>
        <v>4.3545175174169531E-2</v>
      </c>
    </row>
    <row r="171" spans="1:14">
      <c r="A171" s="394"/>
      <c r="B171" s="395"/>
      <c r="C171" s="443"/>
      <c r="D171" s="444"/>
      <c r="E171" s="397"/>
      <c r="F171" s="393"/>
      <c r="G171" s="397"/>
      <c r="H171" s="393"/>
      <c r="I171" s="393">
        <v>-763.42</v>
      </c>
      <c r="J171" s="87">
        <f>I170+I169-I171</f>
        <v>8128.0507000000016</v>
      </c>
      <c r="K171" s="463" t="s">
        <v>1671</v>
      </c>
    </row>
    <row r="172" spans="1:14">
      <c r="A172" s="395"/>
      <c r="B172" s="395"/>
      <c r="C172" s="395"/>
      <c r="D172" s="393"/>
      <c r="E172" s="393"/>
      <c r="F172" s="393"/>
      <c r="G172" s="393"/>
      <c r="H172" s="393"/>
      <c r="I172" s="395"/>
    </row>
    <row r="173" spans="1:14">
      <c r="A173" s="416"/>
      <c r="B173" s="416"/>
      <c r="C173" s="416"/>
      <c r="D173" s="405"/>
      <c r="E173" s="405"/>
      <c r="F173" s="405"/>
      <c r="G173" s="405"/>
      <c r="H173" s="87" t="s">
        <v>1920</v>
      </c>
      <c r="I173" s="467">
        <f>SUM(I158:I172)</f>
        <v>20344.352700000021</v>
      </c>
    </row>
    <row r="174" spans="1:14">
      <c r="A174" s="11"/>
      <c r="B174" s="11"/>
      <c r="C174" s="11"/>
      <c r="D174" s="87"/>
      <c r="E174" s="87"/>
      <c r="F174" s="87"/>
      <c r="G174" s="87" t="s">
        <v>878</v>
      </c>
      <c r="H174" s="87" t="str">
        <f>H173</f>
        <v>yatırımdan</v>
      </c>
      <c r="I174" s="87">
        <f>I173+'02_25'!I167</f>
        <v>27102.719049000028</v>
      </c>
    </row>
  </sheetData>
  <conditionalFormatting sqref="F141:F143">
    <cfRule type="cellIs" dxfId="33" priority="13" operator="lessThan">
      <formula>D141</formula>
    </cfRule>
  </conditionalFormatting>
  <conditionalFormatting sqref="F136:F138">
    <cfRule type="cellIs" dxfId="32" priority="14" operator="lessThan">
      <formula>D136</formula>
    </cfRule>
  </conditionalFormatting>
  <conditionalFormatting sqref="F132">
    <cfRule type="cellIs" dxfId="31" priority="15" operator="lessThan">
      <formula>D132</formula>
    </cfRule>
  </conditionalFormatting>
  <conditionalFormatting sqref="F131">
    <cfRule type="cellIs" dxfId="30" priority="16" operator="lessThan">
      <formula>D131</formula>
    </cfRule>
  </conditionalFormatting>
  <conditionalFormatting sqref="F128">
    <cfRule type="cellIs" dxfId="29" priority="17" operator="lessThan">
      <formula>D128</formula>
    </cfRule>
  </conditionalFormatting>
  <conditionalFormatting sqref="F167:F168">
    <cfRule type="cellIs" dxfId="28" priority="12" operator="lessThan">
      <formula>D167</formula>
    </cfRule>
  </conditionalFormatting>
  <conditionalFormatting sqref="F171">
    <cfRule type="cellIs" dxfId="27" priority="9" operator="lessThan">
      <formula>D171</formula>
    </cfRule>
  </conditionalFormatting>
  <conditionalFormatting sqref="F127">
    <cfRule type="cellIs" dxfId="26" priority="6" operator="lessThan">
      <formula>D127</formula>
    </cfRule>
  </conditionalFormatting>
  <conditionalFormatting sqref="F129:F130">
    <cfRule type="cellIs" dxfId="25" priority="3" operator="lessThan">
      <formula>D129</formula>
    </cfRule>
  </conditionalFormatting>
  <conditionalFormatting sqref="F169">
    <cfRule type="cellIs" dxfId="24" priority="1" operator="lessThan">
      <formula>D169</formula>
    </cfRule>
  </conditionalFormatting>
  <conditionalFormatting sqref="F170">
    <cfRule type="cellIs" dxfId="23" priority="2" operator="lessThan">
      <formula>D170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1:N173"/>
  <sheetViews>
    <sheetView topLeftCell="A141" zoomScale="145" zoomScaleNormal="145" workbookViewId="0">
      <selection activeCell="J166" sqref="J166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5" width="12.28515625" style="74"/>
    <col min="6" max="6" width="15" style="74" bestFit="1" customWidth="1"/>
    <col min="7" max="8" width="12.28515625" style="74"/>
    <col min="10" max="10" width="27.42578125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14">
      <c r="F1" s="74" t="s">
        <v>20</v>
      </c>
      <c r="G1" s="74" t="s">
        <v>21</v>
      </c>
      <c r="H1" s="74" t="s">
        <v>3</v>
      </c>
    </row>
    <row r="2" spans="1:14">
      <c r="A2" s="3" t="s">
        <v>95</v>
      </c>
      <c r="C2" s="76" t="s">
        <v>59</v>
      </c>
      <c r="D2" s="74">
        <f>SUM(D4:D31)</f>
        <v>45000</v>
      </c>
      <c r="E2" s="74">
        <f>SUM(E4:E32)</f>
        <v>-75400.399999999994</v>
      </c>
      <c r="F2" s="74">
        <f>SUM(F4:F32)</f>
        <v>30054.879999999997</v>
      </c>
      <c r="G2" s="74">
        <f>SUM(G4:G32)</f>
        <v>-96628.72</v>
      </c>
      <c r="H2" s="74">
        <f>F2+G2</f>
        <v>-66573.84</v>
      </c>
    </row>
    <row r="3" spans="1:14">
      <c r="B3" s="15"/>
    </row>
    <row r="4" spans="1:14">
      <c r="B4" s="38"/>
      <c r="H4" s="74">
        <f t="shared" ref="H4:H32" si="0">H3+F4+G4</f>
        <v>0</v>
      </c>
    </row>
    <row r="5" spans="1:14">
      <c r="B5" s="38"/>
      <c r="H5" s="74">
        <f t="shared" si="0"/>
        <v>0</v>
      </c>
    </row>
    <row r="6" spans="1:14">
      <c r="A6" s="77"/>
      <c r="B6" s="78"/>
      <c r="C6" s="79"/>
      <c r="D6" s="80"/>
      <c r="E6" s="80"/>
      <c r="H6" s="74">
        <f t="shared" si="0"/>
        <v>0</v>
      </c>
    </row>
    <row r="7" spans="1:14">
      <c r="A7" s="81">
        <v>45692</v>
      </c>
      <c r="B7" s="78" t="s">
        <v>60</v>
      </c>
      <c r="C7" s="82"/>
      <c r="D7" s="83"/>
      <c r="E7" s="83">
        <f>E37</f>
        <v>0</v>
      </c>
      <c r="F7" s="84"/>
      <c r="G7" s="84">
        <f>E7</f>
        <v>0</v>
      </c>
      <c r="H7" s="87">
        <f t="shared" si="0"/>
        <v>0</v>
      </c>
    </row>
    <row r="8" spans="1:14">
      <c r="A8" s="77">
        <v>45691</v>
      </c>
      <c r="B8" s="78" t="s">
        <v>61</v>
      </c>
      <c r="C8" s="82"/>
      <c r="D8" s="83"/>
      <c r="E8" s="83">
        <f>E52</f>
        <v>-29103.34</v>
      </c>
      <c r="F8" s="84"/>
      <c r="G8" s="84">
        <f>E8</f>
        <v>-29103.34</v>
      </c>
      <c r="H8" s="87">
        <f t="shared" si="0"/>
        <v>-29103.34</v>
      </c>
    </row>
    <row r="9" spans="1:14">
      <c r="A9" s="410">
        <v>45873</v>
      </c>
      <c r="B9" s="416" t="s">
        <v>1639</v>
      </c>
      <c r="C9" s="408"/>
      <c r="D9" s="373"/>
      <c r="E9" s="373"/>
      <c r="F9" s="373"/>
      <c r="G9" s="376">
        <v>-18000</v>
      </c>
      <c r="H9" s="87">
        <f t="shared" si="0"/>
        <v>-47103.34</v>
      </c>
    </row>
    <row r="10" spans="1:14">
      <c r="A10" s="378">
        <v>45692</v>
      </c>
      <c r="B10" s="379" t="s">
        <v>62</v>
      </c>
      <c r="C10" s="379"/>
      <c r="D10" s="376"/>
      <c r="E10" s="376">
        <v>-2117.06</v>
      </c>
      <c r="F10" s="84"/>
      <c r="G10" s="84">
        <v>-2116.98</v>
      </c>
      <c r="H10" s="84">
        <f t="shared" si="0"/>
        <v>-49220.32</v>
      </c>
    </row>
    <row r="11" spans="1:14" s="11" customFormat="1">
      <c r="A11" s="378">
        <v>45699</v>
      </c>
      <c r="B11" s="379" t="s">
        <v>1583</v>
      </c>
      <c r="C11" s="379"/>
      <c r="D11" s="376"/>
      <c r="E11" s="376">
        <v>-17500</v>
      </c>
      <c r="F11" s="74"/>
      <c r="G11" s="84">
        <v>-17500</v>
      </c>
      <c r="H11" s="84">
        <f t="shared" si="0"/>
        <v>-66720.320000000007</v>
      </c>
      <c r="K11" s="75"/>
      <c r="L11" s="75"/>
      <c r="M11" s="75"/>
      <c r="N11" s="75"/>
    </row>
    <row r="12" spans="1:14" s="11" customFormat="1">
      <c r="A12" s="378">
        <v>45699</v>
      </c>
      <c r="B12" s="379" t="s">
        <v>67</v>
      </c>
      <c r="C12" s="379"/>
      <c r="D12" s="376"/>
      <c r="E12" s="376">
        <v>-200</v>
      </c>
      <c r="F12" s="74"/>
      <c r="G12" s="84">
        <v>-391.01</v>
      </c>
      <c r="H12" s="84">
        <f t="shared" si="0"/>
        <v>-67111.33</v>
      </c>
      <c r="K12" s="75"/>
      <c r="L12" s="75"/>
      <c r="M12" s="75"/>
      <c r="N12" s="75"/>
    </row>
    <row r="13" spans="1:14" s="11" customFormat="1">
      <c r="A13" s="399"/>
      <c r="B13" s="420" t="s">
        <v>64</v>
      </c>
      <c r="C13" s="403"/>
      <c r="D13" s="373"/>
      <c r="E13" s="373">
        <v>0</v>
      </c>
      <c r="F13" s="87"/>
      <c r="G13" s="87"/>
      <c r="H13" s="84">
        <f t="shared" si="0"/>
        <v>-67111.33</v>
      </c>
      <c r="K13" s="75"/>
      <c r="L13" s="75"/>
      <c r="M13" s="75"/>
      <c r="N13" s="75"/>
    </row>
    <row r="14" spans="1:14" s="75" customFormat="1">
      <c r="A14" s="378">
        <v>45705</v>
      </c>
      <c r="B14" s="423" t="s">
        <v>105</v>
      </c>
      <c r="C14" s="423"/>
      <c r="D14" s="424">
        <v>15000</v>
      </c>
      <c r="E14" s="424"/>
      <c r="F14" s="424">
        <v>15000</v>
      </c>
      <c r="G14" s="84"/>
      <c r="H14" s="84">
        <f t="shared" si="0"/>
        <v>-52111.33</v>
      </c>
      <c r="I14"/>
      <c r="J14"/>
    </row>
    <row r="15" spans="1:14" s="75" customFormat="1">
      <c r="A15" s="378">
        <v>45705</v>
      </c>
      <c r="B15" s="398" t="s">
        <v>65</v>
      </c>
      <c r="C15" s="398"/>
      <c r="D15" s="376"/>
      <c r="E15" s="376">
        <v>-1000</v>
      </c>
      <c r="F15" s="84"/>
      <c r="G15" s="84">
        <v>-2305</v>
      </c>
      <c r="H15" s="84">
        <f t="shared" si="0"/>
        <v>-54416.33</v>
      </c>
    </row>
    <row r="16" spans="1:14" s="75" customFormat="1">
      <c r="A16" s="378">
        <v>45705</v>
      </c>
      <c r="B16" s="398" t="s">
        <v>66</v>
      </c>
      <c r="C16" s="398"/>
      <c r="D16" s="376"/>
      <c r="E16" s="376">
        <v>-200</v>
      </c>
      <c r="F16" s="84"/>
      <c r="G16" s="84">
        <v>-40</v>
      </c>
      <c r="H16" s="84">
        <f t="shared" si="0"/>
        <v>-54456.33</v>
      </c>
    </row>
    <row r="17" spans="1:13" s="75" customFormat="1">
      <c r="A17" s="378">
        <v>45709</v>
      </c>
      <c r="B17" s="421" t="s">
        <v>1657</v>
      </c>
      <c r="C17" s="421"/>
      <c r="D17" s="376"/>
      <c r="E17" s="376"/>
      <c r="F17" s="376"/>
      <c r="G17" s="376">
        <v>-2391.39</v>
      </c>
      <c r="H17" s="84">
        <f t="shared" si="0"/>
        <v>-56847.72</v>
      </c>
    </row>
    <row r="18" spans="1:13" s="75" customFormat="1">
      <c r="A18" s="85"/>
      <c r="H18" s="84">
        <f t="shared" si="0"/>
        <v>-56847.72</v>
      </c>
    </row>
    <row r="19" spans="1:13" s="75" customFormat="1">
      <c r="A19" s="399"/>
      <c r="B19" s="403" t="s">
        <v>68</v>
      </c>
      <c r="C19" s="403"/>
      <c r="D19" s="373">
        <v>15000</v>
      </c>
      <c r="E19" s="373"/>
      <c r="F19" s="74">
        <v>15054.88</v>
      </c>
      <c r="G19" s="74"/>
      <c r="H19" s="84">
        <f t="shared" si="0"/>
        <v>-41792.840000000004</v>
      </c>
      <c r="J19" s="90"/>
      <c r="K19" s="90"/>
      <c r="L19" s="91"/>
      <c r="M19" s="92"/>
    </row>
    <row r="20" spans="1:13" s="75" customFormat="1">
      <c r="A20" s="402"/>
      <c r="B20" s="403" t="s">
        <v>69</v>
      </c>
      <c r="C20" s="403"/>
      <c r="D20" s="373"/>
      <c r="E20" s="373">
        <v>-7500</v>
      </c>
      <c r="F20" s="74"/>
      <c r="G20" s="74">
        <v>-7502</v>
      </c>
      <c r="H20" s="84">
        <f t="shared" si="0"/>
        <v>-49294.840000000004</v>
      </c>
      <c r="J20" s="90"/>
      <c r="K20" s="90"/>
      <c r="L20" s="91"/>
      <c r="M20" s="92"/>
    </row>
    <row r="21" spans="1:13" s="75" customFormat="1">
      <c r="A21" s="402"/>
      <c r="B21" s="403" t="s">
        <v>70</v>
      </c>
      <c r="C21" s="403"/>
      <c r="D21" s="373"/>
      <c r="E21" s="373">
        <v>-7500</v>
      </c>
      <c r="F21" s="74"/>
      <c r="G21" s="74">
        <v>-7502</v>
      </c>
      <c r="H21" s="84">
        <f t="shared" si="0"/>
        <v>-56796.840000000004</v>
      </c>
      <c r="J21" s="90"/>
      <c r="K21" s="90"/>
      <c r="L21" s="91"/>
      <c r="M21" s="92"/>
    </row>
    <row r="22" spans="1:13" s="75" customFormat="1">
      <c r="A22" s="402"/>
      <c r="B22" s="403" t="s">
        <v>71</v>
      </c>
      <c r="C22" s="403"/>
      <c r="D22" s="373"/>
      <c r="E22" s="373">
        <v>-7500</v>
      </c>
      <c r="F22" s="74"/>
      <c r="G22" s="74">
        <v>-7502</v>
      </c>
      <c r="H22" s="84">
        <f t="shared" si="0"/>
        <v>-64298.840000000004</v>
      </c>
      <c r="J22" s="90"/>
      <c r="K22" s="90"/>
      <c r="L22" s="91"/>
      <c r="M22" s="92"/>
    </row>
    <row r="23" spans="1:13" s="75" customFormat="1">
      <c r="A23" s="402"/>
      <c r="B23" s="403"/>
      <c r="C23" s="403"/>
      <c r="D23" s="373"/>
      <c r="E23" s="373"/>
      <c r="F23" s="74"/>
      <c r="G23" s="74"/>
      <c r="H23" s="84">
        <f t="shared" si="0"/>
        <v>-64298.840000000004</v>
      </c>
      <c r="J23" s="90"/>
      <c r="K23" s="90"/>
      <c r="L23" s="91"/>
      <c r="M23" s="92"/>
    </row>
    <row r="24" spans="1:13" s="75" customFormat="1">
      <c r="A24" s="400"/>
      <c r="B24" s="403"/>
      <c r="C24" s="403"/>
      <c r="D24" s="373"/>
      <c r="E24" s="373"/>
      <c r="F24" s="74"/>
      <c r="G24" s="74"/>
      <c r="H24" s="84">
        <f t="shared" si="0"/>
        <v>-64298.840000000004</v>
      </c>
      <c r="J24" s="90"/>
      <c r="K24" s="90"/>
      <c r="L24" s="91"/>
      <c r="M24" s="92"/>
    </row>
    <row r="25" spans="1:13" s="75" customFormat="1">
      <c r="A25" s="401">
        <v>45716</v>
      </c>
      <c r="B25" s="403" t="s">
        <v>90</v>
      </c>
      <c r="C25" s="403" t="s">
        <v>1664</v>
      </c>
      <c r="D25" s="373"/>
      <c r="E25" s="373">
        <v>-1380</v>
      </c>
      <c r="F25" s="74"/>
      <c r="G25" s="74">
        <v>-1380</v>
      </c>
      <c r="H25" s="84">
        <f t="shared" si="0"/>
        <v>-65678.84</v>
      </c>
      <c r="J25" s="90"/>
      <c r="K25" s="90"/>
      <c r="L25" s="91"/>
      <c r="M25" s="92"/>
    </row>
    <row r="26" spans="1:13" s="75" customFormat="1">
      <c r="A26" s="401">
        <v>45716</v>
      </c>
      <c r="B26" s="422" t="s">
        <v>72</v>
      </c>
      <c r="C26" s="422"/>
      <c r="D26" s="373"/>
      <c r="E26" s="373">
        <v>-600</v>
      </c>
      <c r="F26" s="74"/>
      <c r="G26" s="74">
        <v>-325</v>
      </c>
      <c r="H26" s="74">
        <f t="shared" si="0"/>
        <v>-66003.839999999997</v>
      </c>
      <c r="J26" s="90"/>
      <c r="K26" s="90"/>
      <c r="L26" s="91"/>
      <c r="M26" s="92"/>
    </row>
    <row r="27" spans="1:13" s="75" customFormat="1">
      <c r="A27" s="401">
        <v>45716</v>
      </c>
      <c r="B27" s="422" t="s">
        <v>73</v>
      </c>
      <c r="C27" s="422"/>
      <c r="D27" s="373"/>
      <c r="E27" s="373">
        <v>-800</v>
      </c>
      <c r="F27" s="74"/>
      <c r="G27" s="74">
        <v>-570</v>
      </c>
      <c r="H27" s="74">
        <f t="shared" si="0"/>
        <v>-66573.84</v>
      </c>
      <c r="J27" s="90"/>
      <c r="K27" s="90"/>
      <c r="L27" s="91"/>
      <c r="M27" s="92"/>
    </row>
    <row r="28" spans="1:13" s="75" customFormat="1">
      <c r="B28" s="404" t="s">
        <v>98</v>
      </c>
      <c r="C28" s="404"/>
      <c r="D28" s="405">
        <v>15000</v>
      </c>
      <c r="E28" s="74"/>
      <c r="F28" s="74"/>
      <c r="G28" s="74"/>
      <c r="H28" s="74">
        <f t="shared" si="0"/>
        <v>-66573.84</v>
      </c>
    </row>
    <row r="29" spans="1:13" s="75" customFormat="1">
      <c r="D29" s="74"/>
      <c r="E29" s="74"/>
      <c r="F29" s="74"/>
      <c r="G29" s="74"/>
      <c r="H29" s="74">
        <f t="shared" si="0"/>
        <v>-66573.84</v>
      </c>
    </row>
    <row r="30" spans="1:13">
      <c r="A30" s="96"/>
      <c r="B30" s="97" t="s">
        <v>1645</v>
      </c>
      <c r="C30" s="97"/>
      <c r="H30" s="74">
        <f t="shared" si="0"/>
        <v>-66573.84</v>
      </c>
      <c r="I30" s="75"/>
      <c r="J30" s="75"/>
    </row>
    <row r="31" spans="1:13">
      <c r="A31" s="96"/>
      <c r="H31" s="74">
        <f t="shared" si="0"/>
        <v>-66573.84</v>
      </c>
    </row>
    <row r="32" spans="1:13" s="75" customFormat="1">
      <c r="A32"/>
      <c r="E32" s="74"/>
      <c r="F32" s="74"/>
      <c r="G32" s="74"/>
      <c r="H32" s="74">
        <f t="shared" si="0"/>
        <v>-66573.84</v>
      </c>
      <c r="I32"/>
      <c r="J32"/>
    </row>
    <row r="33" spans="1:14" s="75" customFormat="1">
      <c r="B33" s="97"/>
      <c r="C33" s="97"/>
      <c r="D33" s="74"/>
      <c r="E33" s="74"/>
      <c r="F33" s="74"/>
      <c r="G33" s="74"/>
      <c r="H33" s="74"/>
      <c r="J33" s="90"/>
      <c r="K33" s="90"/>
      <c r="L33" s="91"/>
      <c r="M33" s="92"/>
    </row>
    <row r="34" spans="1:14" s="75" customFormat="1">
      <c r="A34" s="94"/>
      <c r="D34" s="74"/>
      <c r="E34" s="74"/>
      <c r="F34" s="74"/>
      <c r="G34" s="74"/>
      <c r="H34" s="74"/>
    </row>
    <row r="35" spans="1:14" s="74" customFormat="1">
      <c r="A35" s="85"/>
      <c r="B35" s="75"/>
      <c r="C35" s="75"/>
      <c r="H35" s="74">
        <v>15000</v>
      </c>
      <c r="I35" s="75"/>
      <c r="J35" s="75"/>
      <c r="K35" s="75"/>
      <c r="L35" s="75"/>
      <c r="M35" s="75"/>
      <c r="N35" s="75"/>
    </row>
    <row r="36" spans="1:14" s="74" customFormat="1">
      <c r="B36" s="98"/>
      <c r="G36" s="74" t="s">
        <v>1646</v>
      </c>
      <c r="H36" s="412">
        <v>0.5635</v>
      </c>
      <c r="K36" s="75"/>
      <c r="L36" s="75"/>
      <c r="M36" s="75"/>
      <c r="N36" s="75"/>
    </row>
    <row r="37" spans="1:14">
      <c r="A37" s="99"/>
      <c r="B37" s="100" t="s">
        <v>75</v>
      </c>
      <c r="C37" s="99"/>
      <c r="E37" s="74">
        <f>SUM(E38:E49)</f>
        <v>0</v>
      </c>
      <c r="H37" s="74">
        <f>H36*H35</f>
        <v>8452.5</v>
      </c>
      <c r="I37" s="74"/>
      <c r="J37" s="74"/>
    </row>
    <row r="38" spans="1:14" s="74" customFormat="1" ht="15">
      <c r="A38"/>
      <c r="B38"/>
      <c r="C38"/>
      <c r="E38" s="101" t="s">
        <v>76</v>
      </c>
      <c r="G38" s="74" t="s">
        <v>1647</v>
      </c>
      <c r="H38" s="74">
        <f>SUM(H37+H35)</f>
        <v>23452.5</v>
      </c>
      <c r="I38"/>
      <c r="J38"/>
      <c r="K38" s="75"/>
      <c r="L38" s="75"/>
      <c r="M38" s="75"/>
      <c r="N38" s="75"/>
    </row>
    <row r="39" spans="1:14" s="74" customFormat="1">
      <c r="A39" s="85"/>
      <c r="K39" s="75"/>
      <c r="L39" s="75"/>
      <c r="M39" s="75"/>
      <c r="N39" s="75"/>
    </row>
    <row r="40" spans="1:14" s="74" customFormat="1">
      <c r="A40" s="85"/>
      <c r="K40" s="75"/>
      <c r="L40" s="75"/>
      <c r="M40" s="75"/>
      <c r="N40" s="75"/>
    </row>
    <row r="41" spans="1:14" s="74" customFormat="1">
      <c r="A41" s="85"/>
      <c r="K41" s="75"/>
      <c r="L41" s="75"/>
      <c r="M41" s="75"/>
      <c r="N41" s="75"/>
    </row>
    <row r="42" spans="1:14">
      <c r="A42" s="85"/>
      <c r="I42" s="74"/>
      <c r="J42" s="74"/>
    </row>
    <row r="43" spans="1:14" s="74" customFormat="1">
      <c r="A43"/>
      <c r="I43"/>
      <c r="J43"/>
      <c r="K43" s="75"/>
      <c r="L43" s="75"/>
      <c r="M43" s="75"/>
      <c r="N43" s="75"/>
    </row>
    <row r="44" spans="1:14" s="74" customFormat="1">
      <c r="A44" s="96"/>
      <c r="B44" s="102"/>
      <c r="C44" s="102"/>
      <c r="K44" s="75"/>
      <c r="L44" s="75"/>
      <c r="M44" s="75"/>
      <c r="N44" s="75"/>
    </row>
    <row r="45" spans="1:14" s="74" customFormat="1">
      <c r="A45" s="96"/>
      <c r="B45" s="102"/>
      <c r="C45" s="102"/>
      <c r="K45" s="75"/>
      <c r="L45" s="75"/>
      <c r="M45" s="75"/>
      <c r="N45" s="75"/>
    </row>
    <row r="46" spans="1:14" s="74" customFormat="1">
      <c r="A46" s="96"/>
      <c r="B46" s="103"/>
      <c r="C46" s="102"/>
      <c r="K46" s="75"/>
      <c r="L46" s="75"/>
      <c r="M46" s="75"/>
      <c r="N46" s="75"/>
    </row>
    <row r="47" spans="1:14" s="74" customFormat="1">
      <c r="A47" s="96"/>
      <c r="B47" s="103"/>
      <c r="C47" s="102"/>
      <c r="K47" s="75"/>
      <c r="L47" s="75"/>
      <c r="M47" s="75"/>
      <c r="N47" s="75"/>
    </row>
    <row r="48" spans="1:14" s="74" customFormat="1">
      <c r="A48" s="96"/>
      <c r="B48" s="103"/>
      <c r="K48" s="75"/>
      <c r="L48" s="75"/>
      <c r="M48" s="75"/>
      <c r="N48" s="75"/>
    </row>
    <row r="49" spans="1:14" s="74" customFormat="1">
      <c r="A49" s="96"/>
      <c r="B49" s="103"/>
      <c r="C49" s="102"/>
      <c r="K49" s="75"/>
      <c r="L49" s="75"/>
      <c r="M49" s="75"/>
      <c r="N49" s="75"/>
    </row>
    <row r="50" spans="1:14" s="74" customFormat="1">
      <c r="A50" s="96"/>
      <c r="B50" s="3"/>
      <c r="K50" s="75"/>
      <c r="L50" s="75"/>
      <c r="M50" s="75"/>
      <c r="N50" s="75"/>
    </row>
    <row r="51" spans="1:14" s="74" customFormat="1">
      <c r="A51" s="96"/>
      <c r="B51" s="102"/>
      <c r="C51" s="102"/>
      <c r="K51" s="75"/>
      <c r="L51" s="75"/>
      <c r="M51" s="75"/>
      <c r="N51" s="75"/>
    </row>
    <row r="52" spans="1:14" s="74" customFormat="1">
      <c r="A52" s="99"/>
      <c r="B52" s="100" t="s">
        <v>77</v>
      </c>
      <c r="C52" s="99"/>
      <c r="E52" s="74">
        <f>SUM(E53:E98)</f>
        <v>-29103.34</v>
      </c>
      <c r="K52" s="75"/>
      <c r="L52" s="75"/>
      <c r="M52" s="75"/>
      <c r="N52" s="75"/>
    </row>
    <row r="53" spans="1:14" s="74" customFormat="1">
      <c r="A53" s="96"/>
      <c r="B53" s="102"/>
      <c r="C53" s="102"/>
      <c r="K53" s="75"/>
      <c r="L53" s="75"/>
      <c r="M53" s="75"/>
      <c r="N53" s="75"/>
    </row>
    <row r="54" spans="1:14" s="87" customFormat="1">
      <c r="A54" s="96"/>
      <c r="B54" s="102"/>
      <c r="C54" s="102"/>
      <c r="K54" s="75"/>
      <c r="L54" s="75"/>
      <c r="M54" s="75"/>
      <c r="N54" s="75"/>
    </row>
    <row r="55" spans="1:14" s="87" customFormat="1">
      <c r="A55" s="96"/>
      <c r="B55" s="102"/>
      <c r="C55" s="102"/>
      <c r="K55" s="75"/>
      <c r="L55" s="75"/>
      <c r="M55" s="75"/>
      <c r="N55" s="75"/>
    </row>
    <row r="56" spans="1:14" s="87" customFormat="1">
      <c r="A56" s="96">
        <v>46018</v>
      </c>
      <c r="B56" s="102" t="s">
        <v>1619</v>
      </c>
      <c r="C56" s="102"/>
      <c r="E56" s="87">
        <v>-135</v>
      </c>
      <c r="K56" s="75"/>
      <c r="L56" s="75"/>
      <c r="M56" s="75"/>
      <c r="N56" s="75"/>
    </row>
    <row r="57" spans="1:14" s="87" customFormat="1">
      <c r="A57" s="96">
        <v>46016</v>
      </c>
      <c r="B57" s="102" t="s">
        <v>1618</v>
      </c>
      <c r="C57" s="102"/>
      <c r="E57" s="87">
        <v>-240</v>
      </c>
      <c r="K57" s="75"/>
      <c r="L57" s="75"/>
      <c r="M57" s="75"/>
      <c r="N57" s="75"/>
    </row>
    <row r="58" spans="1:14" s="74" customFormat="1">
      <c r="A58" s="96">
        <v>46015</v>
      </c>
      <c r="B58" s="102" t="s">
        <v>1617</v>
      </c>
      <c r="C58" s="102"/>
      <c r="E58" s="74">
        <v>-550</v>
      </c>
      <c r="K58" s="75"/>
      <c r="L58" s="75"/>
      <c r="M58" s="75"/>
      <c r="N58" s="75"/>
    </row>
    <row r="59" spans="1:14" s="74" customFormat="1">
      <c r="A59" s="96">
        <v>46020</v>
      </c>
      <c r="B59" s="3" t="s">
        <v>1599</v>
      </c>
      <c r="C59" s="102"/>
      <c r="E59" s="74">
        <v>-12762</v>
      </c>
      <c r="F59" s="74">
        <v>0</v>
      </c>
      <c r="K59" s="75"/>
      <c r="L59" s="75"/>
      <c r="M59" s="75"/>
      <c r="N59" s="75"/>
    </row>
    <row r="60" spans="1:14" s="74" customFormat="1">
      <c r="A60" s="96">
        <v>46021</v>
      </c>
      <c r="B60" s="3" t="s">
        <v>1598</v>
      </c>
      <c r="C60" s="102"/>
      <c r="E60" s="74">
        <v>-120</v>
      </c>
      <c r="K60" s="75"/>
      <c r="L60" s="75"/>
      <c r="M60" s="75"/>
      <c r="N60" s="75"/>
    </row>
    <row r="61" spans="1:14" s="74" customFormat="1">
      <c r="A61" s="96">
        <v>46022</v>
      </c>
      <c r="B61" s="89" t="s">
        <v>1601</v>
      </c>
      <c r="C61" s="102"/>
      <c r="E61" s="74">
        <v>-3741</v>
      </c>
      <c r="F61" s="74">
        <v>0</v>
      </c>
      <c r="K61" s="75"/>
      <c r="L61" s="75"/>
      <c r="M61" s="75"/>
      <c r="N61" s="75"/>
    </row>
    <row r="62" spans="1:14" s="74" customFormat="1">
      <c r="A62" s="96">
        <v>46022</v>
      </c>
      <c r="B62" s="89" t="s">
        <v>1600</v>
      </c>
      <c r="C62" s="102"/>
      <c r="E62" s="74">
        <v>-3741</v>
      </c>
      <c r="F62" s="74">
        <v>0</v>
      </c>
      <c r="K62" s="75"/>
      <c r="L62" s="75"/>
      <c r="M62" s="75"/>
      <c r="N62" s="75"/>
    </row>
    <row r="63" spans="1:14" s="74" customFormat="1">
      <c r="A63" s="96">
        <v>46022</v>
      </c>
      <c r="B63" s="3" t="s">
        <v>1602</v>
      </c>
      <c r="C63" s="102"/>
      <c r="E63" s="74">
        <v>-560</v>
      </c>
      <c r="K63" s="75"/>
      <c r="L63" s="75"/>
      <c r="M63" s="75"/>
      <c r="N63" s="75"/>
    </row>
    <row r="64" spans="1:14" s="87" customFormat="1">
      <c r="A64" s="96">
        <v>45658</v>
      </c>
      <c r="B64" s="89" t="s">
        <v>119</v>
      </c>
      <c r="C64" s="102"/>
      <c r="E64" s="87">
        <v>-177.87</v>
      </c>
      <c r="K64" s="75"/>
      <c r="L64" s="75"/>
      <c r="M64" s="75"/>
      <c r="N64" s="75"/>
    </row>
    <row r="65" spans="1:14" s="74" customFormat="1">
      <c r="A65" s="96">
        <v>45658</v>
      </c>
      <c r="B65" s="3" t="s">
        <v>1620</v>
      </c>
      <c r="C65" s="102"/>
      <c r="D65" s="74">
        <v>69.13</v>
      </c>
      <c r="K65" s="75"/>
      <c r="L65" s="75"/>
      <c r="M65" s="75"/>
      <c r="N65" s="75"/>
    </row>
    <row r="66" spans="1:14" s="74" customFormat="1">
      <c r="A66" s="96">
        <v>45659</v>
      </c>
      <c r="B66" s="89" t="s">
        <v>119</v>
      </c>
      <c r="C66" s="102"/>
      <c r="E66" s="74">
        <v>-470</v>
      </c>
      <c r="K66" s="75"/>
      <c r="L66" s="75"/>
      <c r="M66" s="75"/>
      <c r="N66" s="75"/>
    </row>
    <row r="67" spans="1:14" s="74" customFormat="1">
      <c r="A67" s="96">
        <v>45660</v>
      </c>
      <c r="B67" s="3" t="s">
        <v>1603</v>
      </c>
      <c r="C67" s="102"/>
      <c r="E67" s="74">
        <v>-70</v>
      </c>
      <c r="K67" s="75"/>
      <c r="L67" s="75"/>
      <c r="M67" s="75"/>
      <c r="N67" s="75"/>
    </row>
    <row r="68" spans="1:14" s="87" customFormat="1">
      <c r="A68" s="96">
        <v>45660</v>
      </c>
      <c r="B68" s="89" t="s">
        <v>121</v>
      </c>
      <c r="C68" s="102"/>
      <c r="D68" s="87">
        <v>7885.34</v>
      </c>
      <c r="K68" s="75"/>
      <c r="L68" s="75"/>
      <c r="M68" s="75"/>
      <c r="N68" s="75"/>
    </row>
    <row r="69" spans="1:14" s="74" customFormat="1">
      <c r="A69" s="96">
        <v>45664</v>
      </c>
      <c r="B69" s="3" t="s">
        <v>1604</v>
      </c>
      <c r="C69" s="102"/>
      <c r="E69" s="74">
        <v>-230</v>
      </c>
      <c r="K69" s="75"/>
      <c r="L69" s="75"/>
      <c r="M69" s="75"/>
      <c r="N69" s="75"/>
    </row>
    <row r="70" spans="1:14" s="87" customFormat="1">
      <c r="A70" s="96">
        <v>45666</v>
      </c>
      <c r="B70" s="89" t="s">
        <v>1603</v>
      </c>
      <c r="C70" s="102"/>
      <c r="E70" s="87">
        <v>-70</v>
      </c>
      <c r="K70" s="75"/>
      <c r="L70" s="75"/>
      <c r="M70" s="75"/>
      <c r="N70" s="75"/>
    </row>
    <row r="71" spans="1:14" s="87" customFormat="1">
      <c r="A71" s="96">
        <v>45667</v>
      </c>
      <c r="B71" s="89" t="s">
        <v>1605</v>
      </c>
      <c r="C71" s="102"/>
      <c r="E71" s="87">
        <v>-1000</v>
      </c>
      <c r="F71" s="87">
        <v>0</v>
      </c>
      <c r="K71" s="75"/>
      <c r="L71" s="75"/>
      <c r="M71" s="75"/>
      <c r="N71" s="75"/>
    </row>
    <row r="72" spans="1:14" s="87" customFormat="1">
      <c r="A72" s="96">
        <v>45667</v>
      </c>
      <c r="B72" s="89" t="s">
        <v>1606</v>
      </c>
      <c r="C72" s="102"/>
      <c r="E72" s="87">
        <v>-75</v>
      </c>
      <c r="K72" s="75"/>
      <c r="L72" s="75"/>
      <c r="M72" s="75"/>
      <c r="N72" s="75"/>
    </row>
    <row r="73" spans="1:14" s="87" customFormat="1">
      <c r="A73" s="96">
        <v>45667</v>
      </c>
      <c r="B73" s="89" t="s">
        <v>1607</v>
      </c>
      <c r="C73" s="102"/>
      <c r="E73" s="87">
        <v>-400</v>
      </c>
      <c r="K73" s="75"/>
      <c r="L73" s="75"/>
      <c r="M73" s="75"/>
      <c r="N73" s="75"/>
    </row>
    <row r="74" spans="1:14" s="87" customFormat="1">
      <c r="A74" s="96">
        <v>45669</v>
      </c>
      <c r="B74" s="89" t="s">
        <v>1608</v>
      </c>
      <c r="C74" s="102"/>
      <c r="E74" s="87">
        <v>-2529.9699999999998</v>
      </c>
      <c r="K74" s="75"/>
      <c r="L74" s="75"/>
      <c r="M74" s="75"/>
      <c r="N74" s="75"/>
    </row>
    <row r="75" spans="1:14" s="87" customFormat="1">
      <c r="A75" s="96">
        <v>45669</v>
      </c>
      <c r="B75" s="89" t="s">
        <v>1609</v>
      </c>
      <c r="C75" s="102"/>
      <c r="E75" s="87">
        <v>-970</v>
      </c>
      <c r="K75" s="75"/>
      <c r="L75" s="75"/>
      <c r="M75" s="75"/>
      <c r="N75" s="75"/>
    </row>
    <row r="76" spans="1:14" s="74" customFormat="1">
      <c r="A76" s="96">
        <v>45669</v>
      </c>
      <c r="B76" s="89" t="s">
        <v>1610</v>
      </c>
      <c r="C76" s="102"/>
      <c r="E76" s="74">
        <v>-970</v>
      </c>
      <c r="K76" s="75"/>
      <c r="L76" s="75"/>
      <c r="M76" s="75"/>
      <c r="N76" s="75"/>
    </row>
    <row r="77" spans="1:14" s="74" customFormat="1">
      <c r="A77" s="96">
        <v>45670</v>
      </c>
      <c r="B77" s="3" t="s">
        <v>1606</v>
      </c>
      <c r="C77" s="102"/>
      <c r="E77" s="74">
        <v>-60</v>
      </c>
      <c r="K77" s="75"/>
      <c r="L77" s="75"/>
      <c r="M77" s="75"/>
      <c r="N77" s="75"/>
    </row>
    <row r="78" spans="1:14" s="87" customFormat="1">
      <c r="A78" s="96">
        <v>45672</v>
      </c>
      <c r="B78" s="89" t="s">
        <v>1612</v>
      </c>
      <c r="C78" s="102"/>
      <c r="E78" s="87">
        <v>-794</v>
      </c>
      <c r="F78" s="87">
        <v>0</v>
      </c>
      <c r="K78" s="75"/>
      <c r="L78" s="75"/>
      <c r="M78" s="75"/>
      <c r="N78" s="75"/>
    </row>
    <row r="79" spans="1:14" s="87" customFormat="1">
      <c r="A79" s="96">
        <v>45672</v>
      </c>
      <c r="B79" s="89" t="s">
        <v>1611</v>
      </c>
      <c r="C79" s="102"/>
      <c r="E79" s="87">
        <v>1762</v>
      </c>
      <c r="F79" s="87">
        <v>0</v>
      </c>
      <c r="K79" s="75"/>
      <c r="L79" s="75"/>
      <c r="M79" s="75"/>
      <c r="N79" s="75"/>
    </row>
    <row r="80" spans="1:14" s="87" customFormat="1">
      <c r="A80" s="96">
        <v>45672</v>
      </c>
      <c r="B80" s="89" t="s">
        <v>1598</v>
      </c>
      <c r="C80" s="102"/>
      <c r="E80" s="87">
        <v>-120</v>
      </c>
      <c r="K80" s="75"/>
      <c r="L80" s="75"/>
      <c r="M80" s="75"/>
      <c r="N80" s="75"/>
    </row>
    <row r="81" spans="1:14" s="87" customFormat="1">
      <c r="A81" s="96">
        <v>45673</v>
      </c>
      <c r="B81" s="89" t="s">
        <v>1603</v>
      </c>
      <c r="C81" s="102"/>
      <c r="E81" s="87">
        <v>-70</v>
      </c>
      <c r="K81" s="75"/>
      <c r="L81" s="75"/>
      <c r="M81" s="75"/>
      <c r="N81" s="75"/>
    </row>
    <row r="82" spans="1:14" s="87" customFormat="1">
      <c r="A82" s="96">
        <v>45673</v>
      </c>
      <c r="B82" s="89" t="s">
        <v>402</v>
      </c>
      <c r="C82" s="102"/>
      <c r="E82" s="87">
        <v>-385</v>
      </c>
      <c r="K82" s="75"/>
      <c r="L82" s="75"/>
      <c r="M82" s="75"/>
      <c r="N82" s="75"/>
    </row>
    <row r="83" spans="1:14" s="87" customFormat="1">
      <c r="A83" s="96">
        <v>45674</v>
      </c>
      <c r="B83" s="89" t="s">
        <v>126</v>
      </c>
      <c r="C83" s="102"/>
      <c r="E83" s="87">
        <v>-100</v>
      </c>
      <c r="K83" s="75"/>
      <c r="L83" s="75"/>
      <c r="M83" s="75"/>
      <c r="N83" s="75"/>
    </row>
    <row r="84" spans="1:14" s="87" customFormat="1">
      <c r="A84" s="96">
        <v>45677</v>
      </c>
      <c r="B84" s="89" t="s">
        <v>1604</v>
      </c>
      <c r="C84" s="102"/>
      <c r="E84" s="87">
        <v>-230</v>
      </c>
      <c r="K84" s="75"/>
      <c r="L84" s="75"/>
      <c r="M84" s="75"/>
      <c r="N84" s="75"/>
    </row>
    <row r="85" spans="1:14" s="87" customFormat="1">
      <c r="A85" s="96">
        <v>45677</v>
      </c>
      <c r="B85" s="89" t="s">
        <v>119</v>
      </c>
      <c r="C85" s="102"/>
      <c r="E85" s="87">
        <v>-174.5</v>
      </c>
      <c r="K85" s="75"/>
      <c r="L85" s="75"/>
      <c r="M85" s="75"/>
      <c r="N85" s="75"/>
    </row>
    <row r="86" spans="1:14" s="87" customFormat="1">
      <c r="A86" s="96">
        <v>45678</v>
      </c>
      <c r="B86" s="89" t="s">
        <v>1613</v>
      </c>
      <c r="C86" s="102"/>
      <c r="E86" s="87">
        <v>-120</v>
      </c>
      <c r="K86" s="75"/>
      <c r="L86" s="75"/>
      <c r="M86" s="75"/>
      <c r="N86" s="75"/>
    </row>
    <row r="87" spans="1:14" s="87" customFormat="1" ht="15">
      <c r="E87" s="101" t="s">
        <v>76</v>
      </c>
      <c r="K87" s="75"/>
      <c r="L87" s="75"/>
      <c r="M87" s="75"/>
      <c r="N87" s="75"/>
    </row>
    <row r="88" spans="1:14" s="87" customFormat="1">
      <c r="K88" s="75"/>
      <c r="L88" s="75"/>
      <c r="M88" s="75"/>
      <c r="N88" s="75"/>
    </row>
    <row r="89" spans="1:14" s="87" customFormat="1">
      <c r="K89" s="75"/>
      <c r="L89" s="75"/>
      <c r="M89" s="75"/>
      <c r="N89" s="75"/>
    </row>
    <row r="90" spans="1:14" s="87" customFormat="1">
      <c r="K90" s="75"/>
      <c r="L90" s="75"/>
      <c r="M90" s="75"/>
      <c r="N90" s="75"/>
    </row>
    <row r="91" spans="1:14" s="87" customFormat="1">
      <c r="K91" s="75"/>
      <c r="L91" s="75"/>
      <c r="M91" s="75"/>
      <c r="N91" s="75"/>
    </row>
    <row r="92" spans="1:14" s="87" customFormat="1">
      <c r="A92" s="96"/>
      <c r="B92" s="89"/>
      <c r="C92" s="102"/>
      <c r="K92" s="75"/>
      <c r="L92" s="75"/>
      <c r="M92" s="75"/>
      <c r="N92" s="75"/>
    </row>
    <row r="93" spans="1:14" s="74" customFormat="1">
      <c r="A93" s="96"/>
      <c r="B93" s="3"/>
      <c r="C93" s="102"/>
      <c r="K93" s="75"/>
      <c r="L93" s="75"/>
      <c r="M93" s="75"/>
      <c r="N93" s="75"/>
    </row>
    <row r="94" spans="1:14" s="74" customFormat="1">
      <c r="A94" s="96"/>
      <c r="B94" s="3"/>
      <c r="C94" s="102"/>
      <c r="K94" s="75"/>
      <c r="L94" s="75"/>
      <c r="M94" s="75"/>
      <c r="N94" s="75"/>
    </row>
    <row r="95" spans="1:14" s="74" customFormat="1">
      <c r="A95" s="96"/>
      <c r="B95" s="3"/>
      <c r="C95" s="102"/>
      <c r="K95" s="75"/>
      <c r="L95" s="75"/>
      <c r="M95" s="75"/>
      <c r="N95" s="75"/>
    </row>
    <row r="96" spans="1:14" s="74" customFormat="1">
      <c r="A96" s="96"/>
      <c r="B96" s="3"/>
      <c r="C96" s="102"/>
      <c r="K96" s="75"/>
      <c r="L96" s="75"/>
      <c r="M96" s="75"/>
      <c r="N96" s="75"/>
    </row>
    <row r="97" spans="1:14" s="74" customFormat="1">
      <c r="A97" s="96"/>
      <c r="B97" s="3"/>
      <c r="C97" s="102"/>
      <c r="K97" s="75"/>
      <c r="L97" s="75"/>
      <c r="M97" s="75"/>
      <c r="N97" s="75"/>
    </row>
    <row r="98" spans="1:14">
      <c r="A98" s="96"/>
      <c r="B98" s="3"/>
      <c r="C98" s="102"/>
      <c r="I98" s="74"/>
      <c r="J98" s="74"/>
    </row>
    <row r="112" spans="1:14">
      <c r="A112" s="109" t="s">
        <v>1634</v>
      </c>
      <c r="B112" s="100" t="s">
        <v>128</v>
      </c>
      <c r="C112" s="99">
        <v>2025</v>
      </c>
      <c r="D112" s="87"/>
      <c r="E112" s="87"/>
      <c r="F112" s="87"/>
      <c r="G112" s="87">
        <f>SUM(G116:G142)</f>
        <v>857724.06030999997</v>
      </c>
      <c r="H112" s="87"/>
      <c r="I112" s="87"/>
    </row>
    <row r="113" spans="1:14">
      <c r="A113" s="109"/>
      <c r="B113" s="100"/>
      <c r="C113" s="99"/>
      <c r="D113" s="87"/>
      <c r="E113" s="87"/>
      <c r="F113" s="87"/>
      <c r="G113" s="87"/>
      <c r="H113" s="87"/>
      <c r="I113" s="87"/>
    </row>
    <row r="114" spans="1:14">
      <c r="A114" s="109"/>
      <c r="B114" s="100"/>
      <c r="C114" s="99"/>
      <c r="D114" s="87"/>
      <c r="E114" s="87" t="s">
        <v>129</v>
      </c>
      <c r="F114" s="87"/>
      <c r="G114" s="87"/>
      <c r="H114" s="87"/>
      <c r="I114" s="87"/>
    </row>
    <row r="115" spans="1:14">
      <c r="A115" s="96"/>
      <c r="B115" s="87" t="s">
        <v>69</v>
      </c>
      <c r="C115" s="87"/>
      <c r="D115" s="87"/>
      <c r="E115" s="87"/>
      <c r="F115" s="87"/>
      <c r="G115" s="87">
        <v>0</v>
      </c>
      <c r="H115" s="87"/>
      <c r="I115" s="87"/>
    </row>
    <row r="116" spans="1:14">
      <c r="A116" s="96"/>
      <c r="B116" s="87" t="s">
        <v>70</v>
      </c>
      <c r="C116" s="87"/>
      <c r="D116" s="87"/>
      <c r="E116" s="87"/>
      <c r="F116" s="87"/>
      <c r="G116" s="87">
        <v>0</v>
      </c>
      <c r="H116" s="87"/>
      <c r="I116" s="87"/>
    </row>
    <row r="117" spans="1:14">
      <c r="A117" s="96">
        <v>45716</v>
      </c>
      <c r="B117" s="87" t="s">
        <v>1727</v>
      </c>
      <c r="C117" s="87"/>
      <c r="D117" s="87"/>
      <c r="E117" s="87"/>
      <c r="F117" s="87"/>
      <c r="G117" s="87">
        <v>195330</v>
      </c>
      <c r="H117" s="87"/>
      <c r="I117" s="87"/>
    </row>
    <row r="118" spans="1:14">
      <c r="A118" s="96">
        <v>45716</v>
      </c>
      <c r="B118" s="87" t="s">
        <v>131</v>
      </c>
      <c r="C118" s="12"/>
      <c r="D118" s="12"/>
      <c r="E118" s="87"/>
      <c r="F118" s="87"/>
      <c r="G118" s="14">
        <v>35797.120000000003</v>
      </c>
      <c r="H118" s="87"/>
      <c r="I118" s="87"/>
    </row>
    <row r="119" spans="1:14">
      <c r="A119" s="96"/>
      <c r="B119" s="87" t="s">
        <v>132</v>
      </c>
      <c r="C119" s="12"/>
      <c r="D119" s="12"/>
      <c r="E119" s="87"/>
      <c r="F119" s="87"/>
      <c r="G119" s="14">
        <v>500</v>
      </c>
      <c r="H119" s="87"/>
      <c r="I119" s="87"/>
    </row>
    <row r="120" spans="1:14">
      <c r="A120" s="96"/>
      <c r="B120" s="87"/>
      <c r="C120" s="12"/>
      <c r="D120" s="12"/>
      <c r="E120" s="87"/>
      <c r="F120" s="87"/>
      <c r="G120" s="14"/>
      <c r="H120" s="87"/>
      <c r="I120" s="87"/>
    </row>
    <row r="121" spans="1:14" s="11" customFormat="1">
      <c r="A121" s="96">
        <v>45667</v>
      </c>
      <c r="B121" s="79" t="s">
        <v>133</v>
      </c>
      <c r="C121" s="110">
        <v>50</v>
      </c>
      <c r="D121" s="111">
        <v>872.26366499999995</v>
      </c>
      <c r="E121" s="112">
        <f t="shared" ref="E121" si="1">D121*C121</f>
        <v>43613.183249999995</v>
      </c>
      <c r="F121" s="392">
        <v>924.55062199999998</v>
      </c>
      <c r="G121" s="14">
        <f t="shared" ref="G121" si="2">F121*C121</f>
        <v>46227.5311</v>
      </c>
      <c r="H121" s="87"/>
      <c r="I121" s="87">
        <f t="shared" ref="I121" si="3">G121-E121</f>
        <v>2614.3478500000056</v>
      </c>
      <c r="K121" s="75"/>
      <c r="L121" s="75"/>
      <c r="M121" s="75"/>
      <c r="N121" s="75"/>
    </row>
    <row r="122" spans="1:14">
      <c r="A122" s="96">
        <v>45672</v>
      </c>
      <c r="B122" s="79" t="s">
        <v>133</v>
      </c>
      <c r="C122" s="110">
        <v>55</v>
      </c>
      <c r="D122" s="111">
        <v>877.65409299999999</v>
      </c>
      <c r="E122" s="112">
        <f t="shared" ref="E122:E125" si="4">D122*C122</f>
        <v>48270.975115000001</v>
      </c>
      <c r="F122" s="392">
        <f>F121</f>
        <v>924.55062199999998</v>
      </c>
      <c r="G122" s="14">
        <f t="shared" ref="G122:G125" si="5">F122*C122</f>
        <v>50850.284209999998</v>
      </c>
      <c r="H122" s="87"/>
      <c r="I122" s="87">
        <f t="shared" ref="I122:I125" si="6">G122-E122</f>
        <v>2579.3090949999969</v>
      </c>
    </row>
    <row r="123" spans="1:14">
      <c r="A123" s="96">
        <v>45680</v>
      </c>
      <c r="B123" s="79" t="s">
        <v>1593</v>
      </c>
      <c r="C123" s="110">
        <v>120</v>
      </c>
      <c r="D123" s="111">
        <v>305</v>
      </c>
      <c r="E123" s="112">
        <f t="shared" si="4"/>
        <v>36600</v>
      </c>
      <c r="F123" s="87">
        <v>308</v>
      </c>
      <c r="G123" s="14">
        <f t="shared" si="5"/>
        <v>36960</v>
      </c>
      <c r="H123" s="87"/>
      <c r="I123" s="87">
        <f t="shared" si="6"/>
        <v>360</v>
      </c>
    </row>
    <row r="124" spans="1:14">
      <c r="A124" s="96">
        <v>45620</v>
      </c>
      <c r="B124" s="79" t="s">
        <v>1595</v>
      </c>
      <c r="C124" s="110">
        <v>4000</v>
      </c>
      <c r="D124" s="110">
        <v>32.549999999999997</v>
      </c>
      <c r="E124" s="112">
        <f t="shared" si="4"/>
        <v>130199.99999999999</v>
      </c>
      <c r="F124" s="87">
        <v>34.47</v>
      </c>
      <c r="G124" s="14">
        <f t="shared" si="5"/>
        <v>137880</v>
      </c>
      <c r="H124" s="87"/>
      <c r="I124" s="87">
        <f t="shared" si="6"/>
        <v>7680.0000000000146</v>
      </c>
    </row>
    <row r="125" spans="1:14" ht="13.5" thickBot="1">
      <c r="A125" s="96">
        <v>45659</v>
      </c>
      <c r="B125" s="79" t="s">
        <v>1594</v>
      </c>
      <c r="C125" s="110">
        <v>4000</v>
      </c>
      <c r="D125" s="111">
        <v>30.86</v>
      </c>
      <c r="E125" s="112">
        <f t="shared" si="4"/>
        <v>123440</v>
      </c>
      <c r="F125" s="87">
        <f>F124</f>
        <v>34.47</v>
      </c>
      <c r="G125" s="14">
        <f t="shared" si="5"/>
        <v>137880</v>
      </c>
      <c r="H125" s="407">
        <f>SUM(G121:G125)</f>
        <v>409797.81530999998</v>
      </c>
      <c r="I125" s="87">
        <f t="shared" si="6"/>
        <v>14440</v>
      </c>
    </row>
    <row r="126" spans="1:14" ht="15.75" thickBot="1">
      <c r="A126" s="96"/>
      <c r="B126" s="87"/>
      <c r="C126" s="12"/>
      <c r="D126" s="12"/>
      <c r="E126" s="87">
        <f>SUM(E121:E125)</f>
        <v>382124.15836499998</v>
      </c>
      <c r="F126" s="101" t="s">
        <v>76</v>
      </c>
      <c r="G126" s="14"/>
      <c r="H126" s="113">
        <f>(SUM(G121:G125))-(SUM(E121:E125))</f>
        <v>27673.656944999995</v>
      </c>
      <c r="I126" s="113">
        <f>SUM(I121:I125)</f>
        <v>27673.656945000017</v>
      </c>
    </row>
    <row r="127" spans="1:14">
      <c r="A127" s="96"/>
      <c r="B127" s="87"/>
      <c r="C127" s="12"/>
      <c r="D127" s="12"/>
      <c r="E127" s="87"/>
      <c r="F127" s="87"/>
      <c r="G127" s="87"/>
      <c r="H127" s="87"/>
      <c r="I127" s="87"/>
    </row>
    <row r="128" spans="1:14">
      <c r="A128" s="96">
        <v>45509</v>
      </c>
      <c r="B128" s="79" t="s">
        <v>139</v>
      </c>
      <c r="C128" s="110">
        <v>1</v>
      </c>
      <c r="D128" s="80">
        <v>2500</v>
      </c>
      <c r="E128" s="112">
        <f>D128*C128</f>
        <v>2500</v>
      </c>
      <c r="F128" s="87">
        <v>3283</v>
      </c>
      <c r="G128" s="14">
        <f>C128*F128</f>
        <v>3283</v>
      </c>
      <c r="H128" s="87"/>
      <c r="I128" s="87">
        <f t="shared" ref="I128:I130" si="7">G128-E128</f>
        <v>783</v>
      </c>
    </row>
    <row r="129" spans="1:14">
      <c r="A129" s="96">
        <v>45509</v>
      </c>
      <c r="B129" s="79" t="s">
        <v>140</v>
      </c>
      <c r="C129" s="110">
        <v>16</v>
      </c>
      <c r="D129" s="80">
        <v>4100</v>
      </c>
      <c r="E129" s="112">
        <f>D129*C129</f>
        <v>65600</v>
      </c>
      <c r="F129" s="87">
        <f>F128*1.73</f>
        <v>5679.59</v>
      </c>
      <c r="G129" s="14">
        <f>C129*F129</f>
        <v>90873.44</v>
      </c>
      <c r="H129" s="87"/>
      <c r="I129" s="87">
        <f t="shared" si="7"/>
        <v>25273.440000000002</v>
      </c>
    </row>
    <row r="130" spans="1:14" ht="13.5" thickBot="1">
      <c r="A130" s="96">
        <v>45509</v>
      </c>
      <c r="B130" s="79" t="s">
        <v>141</v>
      </c>
      <c r="C130" s="110">
        <v>1</v>
      </c>
      <c r="D130" s="80">
        <v>16200</v>
      </c>
      <c r="E130" s="112">
        <f>D130*C130</f>
        <v>16200</v>
      </c>
      <c r="F130" s="87">
        <f>F129*4</f>
        <v>22718.36</v>
      </c>
      <c r="G130" s="14">
        <f>C130*F130</f>
        <v>22718.36</v>
      </c>
      <c r="H130" s="407">
        <f>SUM(G128:G130)</f>
        <v>116874.8</v>
      </c>
      <c r="I130" s="87">
        <f t="shared" si="7"/>
        <v>6518.3600000000006</v>
      </c>
    </row>
    <row r="131" spans="1:14" ht="13.5" thickBot="1">
      <c r="A131" s="96"/>
      <c r="B131" s="87"/>
      <c r="C131" s="12"/>
      <c r="D131" s="12"/>
      <c r="E131" s="87">
        <f>SUM(E128:E130)</f>
        <v>84300</v>
      </c>
      <c r="F131" s="87"/>
      <c r="G131" s="87"/>
      <c r="H131" s="113">
        <f>(SUM(G128:G130))-(SUM(E128:E130))</f>
        <v>32574.800000000003</v>
      </c>
      <c r="I131" s="87"/>
    </row>
    <row r="132" spans="1:14" s="11" customFormat="1">
      <c r="A132" s="96"/>
      <c r="B132" s="87"/>
      <c r="C132" s="12"/>
      <c r="D132" s="12"/>
      <c r="E132" s="87"/>
      <c r="F132" s="87"/>
      <c r="G132" s="87"/>
      <c r="H132" s="87"/>
      <c r="I132" s="87"/>
      <c r="K132" s="75"/>
      <c r="L132" s="75"/>
      <c r="M132" s="75"/>
      <c r="N132" s="75"/>
    </row>
    <row r="133" spans="1:14">
      <c r="A133" s="96">
        <v>45345</v>
      </c>
      <c r="B133" s="79" t="s">
        <v>135</v>
      </c>
      <c r="C133" s="114">
        <v>125000</v>
      </c>
      <c r="D133" s="80">
        <v>1.0399430000000001</v>
      </c>
      <c r="E133" s="112">
        <f>D133*C133</f>
        <v>129992.87500000001</v>
      </c>
      <c r="F133" s="115">
        <v>0.76836099999999996</v>
      </c>
      <c r="G133" s="14">
        <f>F133*C133</f>
        <v>96045.125</v>
      </c>
      <c r="H133" s="87"/>
      <c r="I133" s="87">
        <f t="shared" ref="I133:I136" si="8">G133-E133</f>
        <v>-33947.750000000015</v>
      </c>
    </row>
    <row r="134" spans="1:14">
      <c r="A134" s="96">
        <v>45400</v>
      </c>
      <c r="B134" s="79" t="s">
        <v>136</v>
      </c>
      <c r="C134" s="110">
        <v>10</v>
      </c>
      <c r="D134" s="80">
        <v>135</v>
      </c>
      <c r="E134" s="112">
        <f>D134*C134</f>
        <v>1350</v>
      </c>
      <c r="F134" s="87">
        <v>112.6</v>
      </c>
      <c r="G134" s="14">
        <f>F134*C134</f>
        <v>1126</v>
      </c>
      <c r="H134" s="87"/>
      <c r="I134" s="87">
        <f t="shared" si="8"/>
        <v>-224</v>
      </c>
    </row>
    <row r="135" spans="1:14">
      <c r="A135" s="96">
        <v>45418</v>
      </c>
      <c r="B135" s="79" t="s">
        <v>137</v>
      </c>
      <c r="C135" s="110">
        <v>38</v>
      </c>
      <c r="D135" s="80">
        <v>30.5</v>
      </c>
      <c r="E135" s="112">
        <f>D135*C135</f>
        <v>1159</v>
      </c>
      <c r="F135" s="87">
        <v>16.899999999999999</v>
      </c>
      <c r="G135" s="14">
        <f>F135*C135</f>
        <v>642.19999999999993</v>
      </c>
      <c r="H135" s="87"/>
      <c r="I135" s="87">
        <f t="shared" si="8"/>
        <v>-516.80000000000007</v>
      </c>
    </row>
    <row r="136" spans="1:14" ht="13.5" thickBot="1">
      <c r="A136" s="96">
        <v>45418</v>
      </c>
      <c r="B136" s="79" t="s">
        <v>138</v>
      </c>
      <c r="C136" s="110">
        <v>26</v>
      </c>
      <c r="D136" s="80">
        <v>37.115000000000002</v>
      </c>
      <c r="E136" s="112">
        <f>D136*C136</f>
        <v>964.99</v>
      </c>
      <c r="F136" s="87">
        <v>23.5</v>
      </c>
      <c r="G136" s="14">
        <f>F136*C136</f>
        <v>611</v>
      </c>
      <c r="H136" s="407">
        <f>SUM(G133:G136)</f>
        <v>98424.324999999997</v>
      </c>
      <c r="I136" s="87">
        <f t="shared" si="8"/>
        <v>-353.99</v>
      </c>
    </row>
    <row r="137" spans="1:14" ht="15.75" thickBot="1">
      <c r="A137" s="96"/>
      <c r="B137" s="87"/>
      <c r="C137" s="12"/>
      <c r="D137" s="12"/>
      <c r="E137" s="87">
        <f>SUM(E133:E136)</f>
        <v>133466.86499999999</v>
      </c>
      <c r="F137" s="101" t="s">
        <v>76</v>
      </c>
      <c r="G137" s="87"/>
      <c r="H137" s="113">
        <f>(SUM(G133:G136))-(SUM(E133:E136))</f>
        <v>-35042.539999999994</v>
      </c>
      <c r="I137" s="87"/>
    </row>
    <row r="138" spans="1:14">
      <c r="A138" s="96"/>
      <c r="B138" s="87"/>
      <c r="C138" s="87"/>
      <c r="D138" s="87"/>
      <c r="E138" s="14"/>
      <c r="F138" s="87"/>
      <c r="G138" s="87"/>
      <c r="H138" s="87"/>
      <c r="I138" s="87"/>
    </row>
    <row r="139" spans="1:14">
      <c r="A139" s="96"/>
      <c r="B139" s="87" t="s">
        <v>142</v>
      </c>
      <c r="C139" s="116">
        <v>33.250599999999999</v>
      </c>
      <c r="D139" s="12"/>
      <c r="E139" s="87"/>
      <c r="F139" s="87"/>
      <c r="G139" s="14"/>
      <c r="H139" s="87"/>
      <c r="I139" s="87"/>
    </row>
    <row r="140" spans="1:14" ht="15">
      <c r="A140" s="96"/>
      <c r="B140" s="87" t="s">
        <v>143</v>
      </c>
      <c r="C140" s="116">
        <v>36.854999999999997</v>
      </c>
      <c r="D140" s="12"/>
      <c r="E140" s="87"/>
      <c r="F140" s="101" t="s">
        <v>76</v>
      </c>
      <c r="G140" s="14"/>
      <c r="H140" s="87"/>
      <c r="I140" s="87"/>
    </row>
    <row r="141" spans="1:14">
      <c r="A141" s="96"/>
      <c r="B141" s="87" t="s">
        <v>144</v>
      </c>
      <c r="C141" s="12"/>
      <c r="D141" s="12"/>
      <c r="E141" s="87"/>
      <c r="F141" s="87"/>
      <c r="G141" s="14">
        <v>0</v>
      </c>
      <c r="H141" s="87"/>
      <c r="I141" s="87"/>
    </row>
    <row r="142" spans="1:14" ht="13.5" thickBot="1">
      <c r="A142" s="96"/>
      <c r="B142" s="87" t="s">
        <v>145</v>
      </c>
      <c r="C142" s="12"/>
      <c r="D142" s="12"/>
      <c r="E142" s="87"/>
      <c r="F142" s="87"/>
      <c r="G142" s="14">
        <v>1000</v>
      </c>
      <c r="H142" s="87"/>
      <c r="I142" s="87"/>
    </row>
    <row r="143" spans="1:14" ht="16.5" thickBot="1">
      <c r="A143" s="96"/>
      <c r="B143" s="87"/>
      <c r="C143" s="87"/>
      <c r="D143" s="87"/>
      <c r="E143" s="117"/>
      <c r="F143" s="118"/>
      <c r="G143" s="119" t="s">
        <v>146</v>
      </c>
      <c r="H143" s="429">
        <f>H131+H137+H126</f>
        <v>25205.916945000004</v>
      </c>
      <c r="I143" s="87"/>
    </row>
    <row r="144" spans="1:14">
      <c r="A144" s="96"/>
      <c r="B144" s="87"/>
      <c r="C144" s="120"/>
      <c r="D144" s="89"/>
      <c r="E144" s="87"/>
      <c r="F144" s="87"/>
      <c r="G144" s="120"/>
      <c r="H144" s="87"/>
      <c r="I144" s="87"/>
    </row>
    <row r="145" spans="1:14" ht="15">
      <c r="A145" s="96"/>
      <c r="B145" s="87"/>
      <c r="C145" s="120"/>
      <c r="D145" s="15" t="s">
        <v>147</v>
      </c>
      <c r="E145" s="87"/>
      <c r="F145" s="101" t="s">
        <v>76</v>
      </c>
      <c r="G145" s="9">
        <f>SUM(G116:G142)</f>
        <v>857724.06030999997</v>
      </c>
      <c r="H145" s="87"/>
      <c r="I145" s="87"/>
    </row>
    <row r="146" spans="1:14">
      <c r="A146" s="96"/>
      <c r="B146" s="87"/>
      <c r="C146" s="121" t="str">
        <f>A112</f>
        <v>MART 2025 e</v>
      </c>
      <c r="D146" s="122" t="s">
        <v>148</v>
      </c>
      <c r="E146" s="87"/>
      <c r="F146" s="87"/>
      <c r="G146" s="123"/>
      <c r="H146" s="87"/>
      <c r="I146" s="87"/>
    </row>
    <row r="147" spans="1:14" s="11" customFormat="1">
      <c r="A147" s="96"/>
      <c r="B147" s="87"/>
      <c r="C147" s="426"/>
      <c r="D147" s="427"/>
      <c r="E147" s="393"/>
      <c r="F147" s="393"/>
      <c r="G147" s="397"/>
      <c r="H147" s="393"/>
      <c r="I147" s="87"/>
      <c r="K147" s="75"/>
      <c r="L147" s="75"/>
      <c r="M147" s="75"/>
      <c r="N147" s="75"/>
    </row>
    <row r="148" spans="1:14" s="11" customFormat="1">
      <c r="A148" s="96">
        <v>45667</v>
      </c>
      <c r="B148" s="79" t="s">
        <v>1597</v>
      </c>
      <c r="C148" s="114">
        <v>240</v>
      </c>
      <c r="D148" s="80">
        <v>872.26366499999995</v>
      </c>
      <c r="E148" s="112">
        <f>D148*C148</f>
        <v>209343.27959999998</v>
      </c>
      <c r="F148" s="391">
        <f>F122</f>
        <v>924.55062199999998</v>
      </c>
      <c r="G148" s="14">
        <f>F148*C148</f>
        <v>221892.14927999998</v>
      </c>
      <c r="H148" s="87"/>
      <c r="I148" s="87">
        <f>G148-E148</f>
        <v>12548.869680000003</v>
      </c>
      <c r="K148" s="75"/>
      <c r="L148" s="75"/>
      <c r="M148" s="75"/>
      <c r="N148" s="75"/>
    </row>
    <row r="149" spans="1:14" s="11" customFormat="1">
      <c r="A149" s="96"/>
      <c r="B149" s="87" t="s">
        <v>1675</v>
      </c>
      <c r="C149" s="426"/>
      <c r="D149" s="427"/>
      <c r="E149" s="393"/>
      <c r="F149" s="393"/>
      <c r="G149" s="397"/>
      <c r="H149" s="87"/>
      <c r="I149" s="87"/>
      <c r="K149" s="75"/>
      <c r="L149" s="75"/>
      <c r="M149" s="75"/>
      <c r="N149" s="75"/>
    </row>
    <row r="150" spans="1:14">
      <c r="A150" s="87"/>
      <c r="B150" s="87"/>
      <c r="C150" s="87"/>
      <c r="D150" s="87"/>
      <c r="E150" s="87"/>
      <c r="F150" s="87"/>
      <c r="G150" s="87"/>
      <c r="H150" s="87"/>
      <c r="I150" s="87"/>
    </row>
    <row r="151" spans="1:14">
      <c r="A151" s="96">
        <v>45691</v>
      </c>
      <c r="B151" s="79" t="s">
        <v>1635</v>
      </c>
      <c r="C151" s="110"/>
      <c r="D151" s="111">
        <v>752.55561799999998</v>
      </c>
      <c r="E151" s="112">
        <f>D151*C151</f>
        <v>0</v>
      </c>
      <c r="F151" s="391">
        <v>899.26057400000002</v>
      </c>
      <c r="G151" s="14">
        <f>F151*C151</f>
        <v>0</v>
      </c>
      <c r="H151" s="87"/>
      <c r="I151" s="87">
        <f>G151-E151</f>
        <v>0</v>
      </c>
    </row>
    <row r="152" spans="1:14">
      <c r="A152" s="384">
        <v>45680</v>
      </c>
      <c r="B152" s="385" t="s">
        <v>1638</v>
      </c>
      <c r="C152" s="386">
        <v>-25</v>
      </c>
      <c r="D152" s="387">
        <v>752.55561799999998</v>
      </c>
      <c r="E152" s="388">
        <f>D152*C152</f>
        <v>-18813.890449999999</v>
      </c>
      <c r="F152" s="389">
        <v>899.26057400000002</v>
      </c>
      <c r="G152" s="390">
        <f>F152*C152</f>
        <v>-22481.514350000001</v>
      </c>
      <c r="H152" s="389"/>
      <c r="I152" s="389">
        <f>E152-G152</f>
        <v>3667.6239000000023</v>
      </c>
    </row>
    <row r="153" spans="1:14">
      <c r="A153" s="384">
        <v>45680</v>
      </c>
      <c r="B153" s="385" t="s">
        <v>1596</v>
      </c>
      <c r="C153" s="386"/>
      <c r="D153" s="387"/>
      <c r="E153" s="388">
        <v>299.37</v>
      </c>
      <c r="F153" s="389"/>
      <c r="G153" s="390"/>
      <c r="H153" s="389"/>
      <c r="I153" s="389">
        <f>G153-E153</f>
        <v>-299.37</v>
      </c>
    </row>
    <row r="154" spans="1:14" s="11" customFormat="1">
      <c r="A154" s="96">
        <v>45691</v>
      </c>
      <c r="B154" s="79" t="s">
        <v>1636</v>
      </c>
      <c r="C154" s="110"/>
      <c r="D154" s="111">
        <v>872.26366499999995</v>
      </c>
      <c r="E154" s="112">
        <f>D154*C154</f>
        <v>0</v>
      </c>
      <c r="F154" s="392">
        <f>F160</f>
        <v>907.06739800000003</v>
      </c>
      <c r="G154" s="14">
        <f>F154*C154</f>
        <v>0</v>
      </c>
      <c r="H154" s="87"/>
      <c r="I154" s="87">
        <f>G154-E154</f>
        <v>0</v>
      </c>
      <c r="K154" s="75"/>
      <c r="L154" s="75"/>
      <c r="M154" s="75"/>
      <c r="N154" s="75"/>
    </row>
    <row r="155" spans="1:14">
      <c r="A155" s="384">
        <v>45680</v>
      </c>
      <c r="B155" s="385" t="s">
        <v>133</v>
      </c>
      <c r="C155" s="386">
        <v>-9</v>
      </c>
      <c r="D155" s="111">
        <v>872.26366499999995</v>
      </c>
      <c r="E155" s="388">
        <f>D155*C155</f>
        <v>-7850.372985</v>
      </c>
      <c r="F155" s="389">
        <v>899.26057400000002</v>
      </c>
      <c r="G155" s="390">
        <f>F155*C155</f>
        <v>-8093.3451660000001</v>
      </c>
      <c r="H155" s="389"/>
      <c r="I155" s="389">
        <f>E155-G155</f>
        <v>242.97218100000009</v>
      </c>
    </row>
    <row r="156" spans="1:14">
      <c r="A156" s="384">
        <v>45680</v>
      </c>
      <c r="B156" s="385" t="s">
        <v>1596</v>
      </c>
      <c r="C156" s="386"/>
      <c r="D156" s="387"/>
      <c r="E156" s="388"/>
      <c r="F156" s="389"/>
      <c r="G156" s="390"/>
      <c r="H156" s="389"/>
      <c r="I156" s="389"/>
    </row>
    <row r="157" spans="1:14" s="11" customFormat="1">
      <c r="A157" s="96">
        <v>45692</v>
      </c>
      <c r="B157" s="79" t="s">
        <v>1636</v>
      </c>
      <c r="C157" s="110"/>
      <c r="D157" s="111">
        <v>872.26366499999995</v>
      </c>
      <c r="E157" s="112">
        <f>D157*C157</f>
        <v>0</v>
      </c>
      <c r="F157" s="392">
        <v>900.29758900000002</v>
      </c>
      <c r="G157" s="14">
        <f>F157*C157</f>
        <v>0</v>
      </c>
      <c r="H157" s="87"/>
      <c r="I157" s="87">
        <f>G157-E157</f>
        <v>0</v>
      </c>
      <c r="K157" s="75"/>
      <c r="L157" s="75"/>
      <c r="M157" s="75"/>
      <c r="N157" s="75"/>
    </row>
    <row r="158" spans="1:14" s="11" customFormat="1">
      <c r="A158" s="384">
        <v>45692</v>
      </c>
      <c r="B158" s="385" t="s">
        <v>1637</v>
      </c>
      <c r="C158" s="386">
        <v>-25</v>
      </c>
      <c r="D158" s="387">
        <v>872.26366499999995</v>
      </c>
      <c r="E158" s="388">
        <f t="shared" ref="E158" si="9">D158*C158</f>
        <v>-21806.591624999997</v>
      </c>
      <c r="F158" s="409">
        <v>900.29758900000002</v>
      </c>
      <c r="G158" s="390">
        <f t="shared" ref="G158" si="10">F158*C158</f>
        <v>-22507.439725</v>
      </c>
      <c r="H158" s="389"/>
      <c r="I158" s="389">
        <f>E158-G158</f>
        <v>700.84810000000289</v>
      </c>
      <c r="K158" s="75"/>
      <c r="L158" s="75"/>
      <c r="M158" s="75"/>
      <c r="N158" s="75"/>
    </row>
    <row r="159" spans="1:14" s="11" customFormat="1">
      <c r="A159" s="384">
        <v>45680</v>
      </c>
      <c r="B159" s="385" t="s">
        <v>1596</v>
      </c>
      <c r="C159" s="386"/>
      <c r="D159" s="387"/>
      <c r="E159" s="388"/>
      <c r="F159" s="389"/>
      <c r="G159" s="390"/>
      <c r="H159" s="389"/>
      <c r="I159" s="389">
        <v>-70.09</v>
      </c>
      <c r="K159" s="75"/>
      <c r="L159" s="75"/>
      <c r="M159" s="75"/>
      <c r="N159" s="75"/>
    </row>
    <row r="160" spans="1:14" s="11" customFormat="1">
      <c r="A160" s="96">
        <v>45699</v>
      </c>
      <c r="B160" s="79" t="s">
        <v>1650</v>
      </c>
      <c r="C160" s="110"/>
      <c r="D160" s="111">
        <v>872.26366499999995</v>
      </c>
      <c r="E160" s="112">
        <f>D160*C160</f>
        <v>0</v>
      </c>
      <c r="F160" s="392">
        <v>907.06739800000003</v>
      </c>
      <c r="G160" s="14">
        <f>F160*C160</f>
        <v>0</v>
      </c>
      <c r="H160" s="87"/>
      <c r="I160" s="87">
        <f>G160-E160</f>
        <v>0</v>
      </c>
      <c r="K160" s="75"/>
      <c r="L160" s="75"/>
      <c r="M160" s="75"/>
      <c r="N160" s="75"/>
    </row>
    <row r="161" spans="1:14" s="11" customFormat="1">
      <c r="A161" s="384">
        <v>45692</v>
      </c>
      <c r="B161" s="385" t="s">
        <v>1649</v>
      </c>
      <c r="C161" s="386">
        <v>-21</v>
      </c>
      <c r="D161" s="387">
        <v>872.26366499999995</v>
      </c>
      <c r="E161" s="388">
        <f t="shared" ref="E161" si="11">D161*C161</f>
        <v>-18317.536964999999</v>
      </c>
      <c r="F161" s="409">
        <v>907.06739800000003</v>
      </c>
      <c r="G161" s="390">
        <f t="shared" ref="G161" si="12">F161*C161</f>
        <v>-19048.415358000002</v>
      </c>
      <c r="H161" s="389"/>
      <c r="I161" s="389">
        <f>E161-G161</f>
        <v>730.87839300000269</v>
      </c>
      <c r="K161" s="75"/>
      <c r="L161" s="75"/>
      <c r="M161" s="75"/>
      <c r="N161" s="75"/>
    </row>
    <row r="162" spans="1:14" s="11" customFormat="1">
      <c r="A162" s="384">
        <v>45699</v>
      </c>
      <c r="B162" s="385" t="s">
        <v>1596</v>
      </c>
      <c r="C162" s="386"/>
      <c r="D162" s="387"/>
      <c r="E162" s="388"/>
      <c r="F162" s="389"/>
      <c r="G162" s="390"/>
      <c r="H162" s="389"/>
      <c r="I162" s="389">
        <v>-73.09</v>
      </c>
      <c r="K162" s="75"/>
      <c r="L162" s="75"/>
      <c r="M162" s="75"/>
      <c r="N162" s="75"/>
    </row>
    <row r="163" spans="1:14" s="11" customFormat="1">
      <c r="A163" s="384"/>
      <c r="B163" s="385"/>
      <c r="C163" s="386"/>
      <c r="D163" s="387"/>
      <c r="E163" s="388"/>
      <c r="F163" s="389"/>
      <c r="G163" s="390"/>
      <c r="H163" s="389"/>
      <c r="I163" s="389"/>
      <c r="K163" s="75"/>
      <c r="L163" s="75"/>
      <c r="M163" s="75"/>
      <c r="N163" s="75"/>
    </row>
    <row r="164" spans="1:14" s="11" customFormat="1">
      <c r="A164" s="384"/>
      <c r="B164" s="385"/>
      <c r="C164" s="386"/>
      <c r="D164" s="387"/>
      <c r="E164" s="388"/>
      <c r="F164" s="389"/>
      <c r="G164" s="390"/>
      <c r="H164" s="389"/>
      <c r="I164" s="389"/>
      <c r="K164" s="75"/>
      <c r="L164" s="75"/>
      <c r="M164" s="75"/>
      <c r="N164" s="75"/>
    </row>
    <row r="166" spans="1:14">
      <c r="A166" s="416"/>
      <c r="B166" s="416"/>
      <c r="C166" s="416"/>
      <c r="D166" s="405"/>
      <c r="E166" s="405"/>
      <c r="F166" s="405"/>
      <c r="G166" s="405"/>
      <c r="H166" s="87" t="s">
        <v>1920</v>
      </c>
      <c r="I166" s="467">
        <f>SUM(I151:I165)</f>
        <v>4899.7725740000078</v>
      </c>
    </row>
    <row r="167" spans="1:14">
      <c r="G167" s="87" t="s">
        <v>878</v>
      </c>
      <c r="H167" s="87" t="str">
        <f>H166</f>
        <v>yatırımdan</v>
      </c>
      <c r="I167" s="87">
        <f>I166+'01_25'!I151</f>
        <v>6758.3663490000072</v>
      </c>
    </row>
    <row r="173" spans="1:14">
      <c r="F173" s="392">
        <v>900.29758900000002</v>
      </c>
    </row>
  </sheetData>
  <conditionalFormatting sqref="F128:F130 F159 F156 F152:F153">
    <cfRule type="cellIs" dxfId="22" priority="12" operator="lessThan">
      <formula>D128</formula>
    </cfRule>
  </conditionalFormatting>
  <conditionalFormatting sqref="F134:F136">
    <cfRule type="cellIs" dxfId="21" priority="13" operator="lessThan">
      <formula>D134</formula>
    </cfRule>
  </conditionalFormatting>
  <conditionalFormatting sqref="F125">
    <cfRule type="cellIs" dxfId="20" priority="14" operator="lessThan">
      <formula>D125</formula>
    </cfRule>
  </conditionalFormatting>
  <conditionalFormatting sqref="F124">
    <cfRule type="cellIs" dxfId="19" priority="15" operator="lessThan">
      <formula>D124</formula>
    </cfRule>
  </conditionalFormatting>
  <conditionalFormatting sqref="F160 F122">
    <cfRule type="cellIs" dxfId="18" priority="16" operator="lessThan">
      <formula>D122</formula>
    </cfRule>
  </conditionalFormatting>
  <conditionalFormatting sqref="F123">
    <cfRule type="cellIs" dxfId="17" priority="11" operator="lessThan">
      <formula>D123</formula>
    </cfRule>
  </conditionalFormatting>
  <conditionalFormatting sqref="F163:F164">
    <cfRule type="cellIs" dxfId="16" priority="9" operator="lessThan">
      <formula>D163</formula>
    </cfRule>
  </conditionalFormatting>
  <conditionalFormatting sqref="F154">
    <cfRule type="cellIs" dxfId="15" priority="8" operator="lessThan">
      <formula>D154</formula>
    </cfRule>
  </conditionalFormatting>
  <conditionalFormatting sqref="F155">
    <cfRule type="cellIs" dxfId="14" priority="7" operator="lessThan">
      <formula>D155</formula>
    </cfRule>
  </conditionalFormatting>
  <conditionalFormatting sqref="F157">
    <cfRule type="cellIs" dxfId="13" priority="6" operator="lessThan">
      <formula>D157</formula>
    </cfRule>
  </conditionalFormatting>
  <conditionalFormatting sqref="F173">
    <cfRule type="cellIs" dxfId="12" priority="5" operator="lessThan">
      <formula>D173</formula>
    </cfRule>
  </conditionalFormatting>
  <conditionalFormatting sqref="F158">
    <cfRule type="cellIs" dxfId="11" priority="4" operator="lessThan">
      <formula>D158</formula>
    </cfRule>
  </conditionalFormatting>
  <conditionalFormatting sqref="F121">
    <cfRule type="cellIs" dxfId="10" priority="3" operator="lessThan">
      <formula>D121</formula>
    </cfRule>
  </conditionalFormatting>
  <conditionalFormatting sqref="F162">
    <cfRule type="cellIs" dxfId="9" priority="2" operator="lessThan">
      <formula>D162</formula>
    </cfRule>
  </conditionalFormatting>
  <conditionalFormatting sqref="F161">
    <cfRule type="cellIs" dxfId="8" priority="1" operator="lessThan">
      <formula>D161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79998168889431442"/>
  </sheetPr>
  <dimension ref="A1:N188"/>
  <sheetViews>
    <sheetView topLeftCell="A122" zoomScale="160" zoomScaleNormal="160" workbookViewId="0">
      <selection activeCell="G150" sqref="G150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9" max="9" width="11.7109375" bestFit="1" customWidth="1"/>
    <col min="10" max="10" width="8.42578125" bestFit="1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99</v>
      </c>
      <c r="C2" s="76" t="s">
        <v>59</v>
      </c>
      <c r="D2" s="74">
        <f>SUM(D4:D44)</f>
        <v>398664</v>
      </c>
      <c r="E2" s="87">
        <f t="shared" ref="E2:G2" si="0">SUM(E4:E44)</f>
        <v>-55562.400000000001</v>
      </c>
      <c r="F2" s="87">
        <f t="shared" si="0"/>
        <v>320054.88</v>
      </c>
      <c r="G2" s="87">
        <f t="shared" si="0"/>
        <v>-59018.87</v>
      </c>
      <c r="H2" s="74">
        <f>F2+G2</f>
        <v>261036.01</v>
      </c>
    </row>
    <row r="3" spans="1:8">
      <c r="B3" s="15"/>
    </row>
    <row r="4" spans="1:8">
      <c r="B4" s="38"/>
      <c r="H4" s="84">
        <f>H3+F4+G4</f>
        <v>0</v>
      </c>
    </row>
    <row r="5" spans="1:8">
      <c r="B5" s="38"/>
      <c r="H5" s="84">
        <f>H4+F5+G5</f>
        <v>0</v>
      </c>
    </row>
    <row r="6" spans="1:8">
      <c r="A6" s="77">
        <v>45660</v>
      </c>
      <c r="B6" s="78" t="s">
        <v>96</v>
      </c>
      <c r="C6" s="79"/>
      <c r="D6" s="80"/>
      <c r="E6" s="80"/>
      <c r="H6" s="84">
        <f>H5+F6+G6</f>
        <v>0</v>
      </c>
    </row>
    <row r="7" spans="1:8">
      <c r="A7" s="77">
        <v>45660</v>
      </c>
      <c r="B7" s="78" t="s">
        <v>100</v>
      </c>
      <c r="C7" s="82"/>
      <c r="D7" s="83">
        <v>353664</v>
      </c>
      <c r="E7" s="83"/>
      <c r="F7" s="376">
        <v>290000</v>
      </c>
      <c r="H7" s="84">
        <f>H6+F7+G7</f>
        <v>290000</v>
      </c>
    </row>
    <row r="8" spans="1:8">
      <c r="A8" s="77"/>
      <c r="B8" s="78" t="s">
        <v>101</v>
      </c>
      <c r="C8" s="82"/>
      <c r="D8" s="83"/>
      <c r="E8" s="83"/>
      <c r="F8" s="84"/>
      <c r="H8" s="84">
        <f t="shared" ref="H8:H27" si="1">H7+F8+G8</f>
        <v>290000</v>
      </c>
    </row>
    <row r="9" spans="1:8">
      <c r="A9" s="81">
        <v>45660</v>
      </c>
      <c r="B9" s="78" t="s">
        <v>60</v>
      </c>
      <c r="C9" s="82"/>
      <c r="D9" s="83"/>
      <c r="E9" s="83">
        <f>E67</f>
        <v>0</v>
      </c>
      <c r="F9" s="84"/>
      <c r="G9" s="84">
        <f>E9</f>
        <v>0</v>
      </c>
      <c r="H9" s="84">
        <f t="shared" si="1"/>
        <v>290000</v>
      </c>
    </row>
    <row r="10" spans="1:8">
      <c r="A10" s="77">
        <v>45660</v>
      </c>
      <c r="B10" s="78" t="s">
        <v>61</v>
      </c>
      <c r="C10" s="82"/>
      <c r="D10" s="83"/>
      <c r="E10" s="83">
        <f>E82</f>
        <v>-7885.3399999999992</v>
      </c>
      <c r="F10" s="84"/>
      <c r="G10" s="84">
        <f>E10</f>
        <v>-7885.3399999999992</v>
      </c>
      <c r="H10" s="84">
        <f t="shared" si="1"/>
        <v>282114.65999999997</v>
      </c>
    </row>
    <row r="11" spans="1:8">
      <c r="G11" s="84"/>
      <c r="H11" s="84">
        <f t="shared" si="1"/>
        <v>282114.65999999997</v>
      </c>
    </row>
    <row r="12" spans="1:8">
      <c r="A12" s="378"/>
      <c r="B12" s="379" t="s">
        <v>62</v>
      </c>
      <c r="C12" s="379"/>
      <c r="D12" s="376"/>
      <c r="E12" s="376">
        <v>-2117.06</v>
      </c>
      <c r="F12" s="84"/>
      <c r="G12" s="84">
        <f>E12</f>
        <v>-2117.06</v>
      </c>
      <c r="H12" s="84">
        <f t="shared" si="1"/>
        <v>279997.59999999998</v>
      </c>
    </row>
    <row r="13" spans="1:8">
      <c r="A13" s="380"/>
      <c r="B13" s="379" t="s">
        <v>1582</v>
      </c>
      <c r="C13" s="379"/>
      <c r="D13" s="376"/>
      <c r="E13" s="376">
        <v>-17500</v>
      </c>
      <c r="F13" s="84"/>
      <c r="G13" s="84">
        <f>E13</f>
        <v>-17500</v>
      </c>
      <c r="H13" s="84">
        <f t="shared" si="1"/>
        <v>262497.59999999998</v>
      </c>
    </row>
    <row r="14" spans="1:8">
      <c r="A14" s="380"/>
      <c r="B14" s="381" t="s">
        <v>64</v>
      </c>
      <c r="C14" s="380"/>
      <c r="D14" s="376"/>
      <c r="E14" s="376">
        <v>0</v>
      </c>
      <c r="F14" s="84"/>
      <c r="G14" s="84">
        <v>0</v>
      </c>
      <c r="H14" s="84">
        <f t="shared" si="1"/>
        <v>262497.59999999998</v>
      </c>
    </row>
    <row r="15" spans="1:8">
      <c r="A15" s="378">
        <v>45671</v>
      </c>
      <c r="B15" s="374" t="s">
        <v>1575</v>
      </c>
      <c r="C15" s="382"/>
      <c r="D15" s="383">
        <v>15000</v>
      </c>
      <c r="E15" s="376"/>
      <c r="F15" s="376">
        <v>15000</v>
      </c>
      <c r="G15" s="84"/>
      <c r="H15" s="84">
        <f t="shared" si="1"/>
        <v>277497.59999999998</v>
      </c>
    </row>
    <row r="16" spans="1:8">
      <c r="A16" s="85"/>
      <c r="B16" s="3"/>
      <c r="C16" s="3"/>
      <c r="H16" s="84">
        <f t="shared" si="1"/>
        <v>277497.59999999998</v>
      </c>
    </row>
    <row r="17" spans="1:13" s="75" customFormat="1">
      <c r="A17" s="378">
        <v>45677</v>
      </c>
      <c r="B17" s="398" t="s">
        <v>65</v>
      </c>
      <c r="C17" s="398"/>
      <c r="D17" s="376"/>
      <c r="E17" s="376">
        <v>-1000</v>
      </c>
      <c r="F17" s="84"/>
      <c r="G17" s="84">
        <v>-2390</v>
      </c>
      <c r="H17" s="84">
        <f t="shared" si="1"/>
        <v>275107.59999999998</v>
      </c>
    </row>
    <row r="18" spans="1:13" s="75" customFormat="1">
      <c r="A18" s="378">
        <v>45677</v>
      </c>
      <c r="B18" s="398" t="s">
        <v>66</v>
      </c>
      <c r="C18" s="398"/>
      <c r="D18" s="376"/>
      <c r="E18" s="376">
        <v>-200</v>
      </c>
      <c r="F18" s="84"/>
      <c r="G18" s="84">
        <v>-25</v>
      </c>
      <c r="H18" s="84">
        <f t="shared" si="1"/>
        <v>275082.59999999998</v>
      </c>
    </row>
    <row r="19" spans="1:13" s="75" customFormat="1">
      <c r="A19" s="378">
        <v>45677</v>
      </c>
      <c r="B19" s="379" t="s">
        <v>67</v>
      </c>
      <c r="C19" s="379"/>
      <c r="D19" s="376"/>
      <c r="E19" s="376">
        <v>-200</v>
      </c>
      <c r="F19" s="84"/>
      <c r="G19" s="84">
        <v>-288.97000000000003</v>
      </c>
      <c r="H19" s="84">
        <f t="shared" si="1"/>
        <v>274793.63</v>
      </c>
    </row>
    <row r="20" spans="1:13" s="75" customFormat="1">
      <c r="A20" s="85"/>
      <c r="E20" s="87"/>
      <c r="F20" s="74"/>
      <c r="G20" s="74"/>
      <c r="H20" s="84">
        <f t="shared" si="1"/>
        <v>274793.63</v>
      </c>
      <c r="J20" s="90"/>
      <c r="K20" s="90"/>
      <c r="L20" s="91"/>
      <c r="M20" s="92"/>
    </row>
    <row r="21" spans="1:13" s="75" customFormat="1">
      <c r="A21" s="399">
        <v>45684</v>
      </c>
      <c r="B21" s="380" t="s">
        <v>1592</v>
      </c>
      <c r="C21" s="380"/>
      <c r="D21" s="376"/>
      <c r="E21" s="376"/>
      <c r="F21" s="84"/>
      <c r="G21" s="84">
        <v>-4000</v>
      </c>
      <c r="H21" s="84">
        <f t="shared" si="1"/>
        <v>270793.63</v>
      </c>
      <c r="J21" s="90"/>
      <c r="K21" s="90"/>
      <c r="L21" s="91"/>
      <c r="M21" s="92"/>
    </row>
    <row r="22" spans="1:13" s="75" customFormat="1">
      <c r="A22" s="399">
        <v>45684</v>
      </c>
      <c r="B22" s="380" t="s">
        <v>69</v>
      </c>
      <c r="C22" s="380"/>
      <c r="D22" s="376"/>
      <c r="E22" s="376">
        <v>-7500</v>
      </c>
      <c r="F22" s="84"/>
      <c r="G22" s="84">
        <v>-7501</v>
      </c>
      <c r="H22" s="84">
        <f t="shared" si="1"/>
        <v>263292.63</v>
      </c>
      <c r="J22" s="90"/>
      <c r="K22" s="90"/>
      <c r="L22" s="91"/>
      <c r="M22" s="92"/>
    </row>
    <row r="23" spans="1:13" s="75" customFormat="1">
      <c r="A23" s="399">
        <v>45684</v>
      </c>
      <c r="B23" s="380" t="s">
        <v>70</v>
      </c>
      <c r="C23" s="380"/>
      <c r="D23" s="376"/>
      <c r="E23" s="376">
        <v>-7500</v>
      </c>
      <c r="F23" s="84"/>
      <c r="G23" s="84">
        <v>-7501</v>
      </c>
      <c r="H23" s="84">
        <f t="shared" si="1"/>
        <v>255791.63</v>
      </c>
      <c r="J23" s="90"/>
      <c r="K23" s="90"/>
      <c r="L23" s="91"/>
      <c r="M23" s="92"/>
    </row>
    <row r="24" spans="1:13" s="75" customFormat="1">
      <c r="A24" s="399">
        <v>45684</v>
      </c>
      <c r="B24" s="380" t="s">
        <v>71</v>
      </c>
      <c r="C24" s="380"/>
      <c r="D24" s="376"/>
      <c r="E24" s="376">
        <v>-7500</v>
      </c>
      <c r="F24" s="84"/>
      <c r="G24" s="84">
        <v>-7500</v>
      </c>
      <c r="H24" s="84">
        <f t="shared" si="1"/>
        <v>248291.63</v>
      </c>
      <c r="J24" s="90"/>
      <c r="K24" s="90"/>
      <c r="L24" s="91"/>
      <c r="M24" s="92"/>
    </row>
    <row r="25" spans="1:13" s="75" customFormat="1">
      <c r="A25" s="399">
        <v>45684</v>
      </c>
      <c r="B25" s="380" t="s">
        <v>1621</v>
      </c>
      <c r="C25" s="380"/>
      <c r="D25" s="376"/>
      <c r="E25" s="376"/>
      <c r="F25" s="84"/>
      <c r="G25" s="84">
        <v>-1000</v>
      </c>
      <c r="H25" s="84">
        <f t="shared" si="1"/>
        <v>247291.63</v>
      </c>
      <c r="J25" s="90"/>
      <c r="K25" s="90"/>
      <c r="L25" s="91"/>
      <c r="M25" s="92"/>
    </row>
    <row r="26" spans="1:13" s="75" customFormat="1">
      <c r="A26" s="400">
        <v>45655</v>
      </c>
      <c r="B26" s="380" t="s">
        <v>90</v>
      </c>
      <c r="C26" s="380" t="s">
        <v>1589</v>
      </c>
      <c r="D26" s="376"/>
      <c r="E26" s="376">
        <v>-1380</v>
      </c>
      <c r="F26" s="84"/>
      <c r="G26" s="84"/>
      <c r="H26" s="84">
        <f t="shared" si="1"/>
        <v>247291.63</v>
      </c>
      <c r="J26" s="90"/>
      <c r="K26" s="90"/>
      <c r="L26" s="91"/>
      <c r="M26" s="92"/>
    </row>
    <row r="27" spans="1:13" s="75" customFormat="1">
      <c r="A27" s="401">
        <v>45686</v>
      </c>
      <c r="B27" s="380" t="s">
        <v>90</v>
      </c>
      <c r="C27" s="380" t="s">
        <v>1590</v>
      </c>
      <c r="D27" s="376"/>
      <c r="E27" s="376">
        <v>-1380</v>
      </c>
      <c r="F27" s="84"/>
      <c r="G27" s="84"/>
      <c r="H27" s="84">
        <f t="shared" si="1"/>
        <v>247291.63</v>
      </c>
      <c r="J27" s="90"/>
      <c r="K27" s="90"/>
      <c r="L27" s="91"/>
      <c r="M27" s="92"/>
    </row>
    <row r="28" spans="1:13" s="75" customFormat="1">
      <c r="A28" s="399">
        <v>45684</v>
      </c>
      <c r="B28" s="380" t="s">
        <v>1625</v>
      </c>
      <c r="C28" s="380"/>
      <c r="D28" s="376"/>
      <c r="E28" s="376"/>
      <c r="F28" s="84"/>
      <c r="G28" s="84"/>
      <c r="H28" s="87">
        <f t="shared" ref="H28:H37" si="2">H27+F28+G28</f>
        <v>247291.63</v>
      </c>
      <c r="J28" s="90"/>
      <c r="K28" s="90"/>
      <c r="L28" s="91"/>
      <c r="M28" s="92"/>
    </row>
    <row r="29" spans="1:13" s="75" customFormat="1">
      <c r="A29" s="94"/>
      <c r="B29" s="380" t="s">
        <v>1591</v>
      </c>
      <c r="C29" s="403" t="s">
        <v>617</v>
      </c>
      <c r="D29" s="373"/>
      <c r="E29" s="373"/>
      <c r="F29" s="87"/>
      <c r="G29" s="87"/>
      <c r="H29" s="87">
        <f t="shared" si="2"/>
        <v>247291.63</v>
      </c>
      <c r="J29" s="90"/>
      <c r="K29" s="90"/>
      <c r="L29" s="91"/>
      <c r="M29" s="92"/>
    </row>
    <row r="30" spans="1:13" s="75" customFormat="1">
      <c r="A30" s="94"/>
      <c r="B30" s="89"/>
      <c r="C30" s="89"/>
      <c r="D30" s="87"/>
      <c r="E30" s="87"/>
      <c r="F30" s="87"/>
      <c r="G30" s="87"/>
      <c r="H30" s="87">
        <f t="shared" si="2"/>
        <v>247291.63</v>
      </c>
      <c r="J30" s="90"/>
      <c r="K30" s="90"/>
      <c r="L30" s="91"/>
      <c r="M30" s="92"/>
    </row>
    <row r="31" spans="1:13" s="75" customFormat="1">
      <c r="A31" s="413">
        <v>45688</v>
      </c>
      <c r="B31" s="379" t="s">
        <v>72</v>
      </c>
      <c r="C31" s="379"/>
      <c r="D31" s="376"/>
      <c r="E31" s="376">
        <v>-600</v>
      </c>
      <c r="F31" s="411"/>
      <c r="G31" s="411">
        <v>-425</v>
      </c>
      <c r="H31" s="84">
        <f t="shared" si="2"/>
        <v>246866.63</v>
      </c>
      <c r="J31" s="90"/>
      <c r="K31" s="90"/>
      <c r="L31" s="91"/>
      <c r="M31" s="92"/>
    </row>
    <row r="32" spans="1:13" s="75" customFormat="1">
      <c r="A32" s="413">
        <v>45688</v>
      </c>
      <c r="B32" s="379" t="s">
        <v>73</v>
      </c>
      <c r="C32" s="379"/>
      <c r="D32" s="376"/>
      <c r="E32" s="376">
        <v>-800</v>
      </c>
      <c r="F32" s="411"/>
      <c r="G32" s="411">
        <v>-680</v>
      </c>
      <c r="H32" s="84">
        <f t="shared" si="2"/>
        <v>246186.63</v>
      </c>
      <c r="J32" s="90"/>
      <c r="K32" s="90"/>
      <c r="L32" s="91"/>
      <c r="M32" s="92"/>
    </row>
    <row r="33" spans="1:13" s="75" customFormat="1">
      <c r="A33" s="413">
        <v>45688</v>
      </c>
      <c r="B33" s="376" t="s">
        <v>1627</v>
      </c>
      <c r="C33" s="376"/>
      <c r="D33" s="376"/>
      <c r="E33" s="376"/>
      <c r="F33" s="411"/>
      <c r="G33" s="411">
        <v>-205.5</v>
      </c>
      <c r="H33" s="84">
        <f t="shared" si="2"/>
        <v>245981.13</v>
      </c>
      <c r="J33" s="90"/>
      <c r="K33" s="90"/>
      <c r="L33" s="91"/>
      <c r="M33" s="92"/>
    </row>
    <row r="34" spans="1:13" s="75" customFormat="1">
      <c r="B34" s="404" t="s">
        <v>105</v>
      </c>
      <c r="C34" s="404"/>
      <c r="D34" s="405">
        <v>15000</v>
      </c>
      <c r="E34" s="74"/>
      <c r="F34" s="74"/>
      <c r="G34" s="74"/>
      <c r="H34" s="87">
        <f t="shared" si="2"/>
        <v>245981.13</v>
      </c>
    </row>
    <row r="35" spans="1:13" s="75" customFormat="1">
      <c r="A35" s="402"/>
      <c r="B35" s="380" t="s">
        <v>68</v>
      </c>
      <c r="C35" s="380"/>
      <c r="D35" s="376">
        <v>15000</v>
      </c>
      <c r="E35" s="376"/>
      <c r="F35" s="376">
        <v>15054.88</v>
      </c>
      <c r="G35" s="74"/>
      <c r="H35" s="87">
        <f t="shared" si="2"/>
        <v>261036.01</v>
      </c>
    </row>
    <row r="36" spans="1:13" s="75" customFormat="1">
      <c r="A36" s="384"/>
      <c r="B36" s="414" t="s">
        <v>1644</v>
      </c>
      <c r="C36" s="415"/>
      <c r="D36" s="74"/>
      <c r="E36" s="74"/>
      <c r="F36" s="74"/>
      <c r="G36" s="74"/>
      <c r="H36" s="87">
        <f t="shared" si="2"/>
        <v>261036.01</v>
      </c>
    </row>
    <row r="37" spans="1:13">
      <c r="A37" s="96"/>
      <c r="H37" s="87">
        <f t="shared" si="2"/>
        <v>261036.01</v>
      </c>
    </row>
    <row r="38" spans="1:13">
      <c r="H38" s="87"/>
    </row>
    <row r="39" spans="1:13">
      <c r="H39" s="87"/>
    </row>
    <row r="40" spans="1:13">
      <c r="A40" s="94"/>
      <c r="F40" s="105"/>
      <c r="H40" s="87"/>
    </row>
    <row r="41" spans="1:13">
      <c r="H41" s="87"/>
    </row>
    <row r="42" spans="1:13">
      <c r="A42" s="94"/>
      <c r="H42" s="87"/>
    </row>
    <row r="43" spans="1:13">
      <c r="A43" s="94"/>
      <c r="H43" s="87"/>
    </row>
    <row r="44" spans="1:13">
      <c r="A44" s="94"/>
    </row>
    <row r="45" spans="1:13">
      <c r="A45" s="94"/>
    </row>
    <row r="46" spans="1:13">
      <c r="B46" s="97"/>
      <c r="C46" s="97"/>
    </row>
    <row r="47" spans="1:13">
      <c r="B47" s="95" t="s">
        <v>106</v>
      </c>
      <c r="C47" s="97"/>
    </row>
    <row r="48" spans="1:13">
      <c r="B48" s="95" t="s">
        <v>107</v>
      </c>
      <c r="C48" s="97"/>
    </row>
    <row r="49" spans="1:13">
      <c r="B49" s="97" t="s">
        <v>108</v>
      </c>
      <c r="C49" s="97"/>
    </row>
    <row r="50" spans="1:13">
      <c r="B50" s="97" t="s">
        <v>109</v>
      </c>
      <c r="C50" s="97"/>
    </row>
    <row r="51" spans="1:13">
      <c r="B51" s="97" t="s">
        <v>110</v>
      </c>
      <c r="C51" s="97"/>
    </row>
    <row r="52" spans="1:13">
      <c r="B52" s="97"/>
      <c r="C52" s="97"/>
    </row>
    <row r="53" spans="1:13" s="75" customFormat="1">
      <c r="F53" s="75">
        <f>E59</f>
        <v>93450</v>
      </c>
      <c r="H53" s="74"/>
      <c r="J53" s="90"/>
      <c r="K53" s="90"/>
      <c r="L53" s="91"/>
      <c r="M53" s="92"/>
    </row>
    <row r="54" spans="1:13" s="75" customFormat="1">
      <c r="B54" s="106" t="s">
        <v>111</v>
      </c>
      <c r="C54" s="75">
        <v>8</v>
      </c>
      <c r="D54" s="90">
        <v>250</v>
      </c>
      <c r="E54" s="75">
        <f>D54*C54</f>
        <v>2000</v>
      </c>
      <c r="F54" s="75">
        <f>F53-E54</f>
        <v>91450</v>
      </c>
      <c r="G54" s="75" t="s">
        <v>112</v>
      </c>
      <c r="H54" s="74"/>
      <c r="J54" s="90"/>
      <c r="K54" s="90"/>
      <c r="L54" s="91"/>
      <c r="M54" s="92"/>
    </row>
    <row r="55" spans="1:13" s="75" customFormat="1">
      <c r="B55" s="106" t="s">
        <v>113</v>
      </c>
      <c r="C55" s="90">
        <v>2</v>
      </c>
      <c r="D55" s="90">
        <v>250</v>
      </c>
      <c r="E55" s="75">
        <f>D55*C55</f>
        <v>500</v>
      </c>
      <c r="F55" s="75">
        <f>F54-E55</f>
        <v>90950</v>
      </c>
      <c r="G55" s="75" t="s">
        <v>112</v>
      </c>
      <c r="H55" s="74"/>
      <c r="J55" s="90"/>
      <c r="K55" s="90"/>
      <c r="L55" s="91"/>
      <c r="M55" s="92"/>
    </row>
    <row r="56" spans="1:13" s="75" customFormat="1">
      <c r="B56" s="106" t="s">
        <v>114</v>
      </c>
      <c r="C56" s="75">
        <v>11</v>
      </c>
      <c r="D56" s="75">
        <v>250</v>
      </c>
      <c r="E56" s="75">
        <f>D56*C56</f>
        <v>2750</v>
      </c>
      <c r="F56" s="75">
        <f>F55-E56</f>
        <v>88200</v>
      </c>
      <c r="G56" s="75" t="s">
        <v>112</v>
      </c>
      <c r="H56" s="74"/>
      <c r="J56" s="90"/>
      <c r="K56" s="90"/>
      <c r="L56" s="91"/>
      <c r="M56" s="92"/>
    </row>
    <row r="57" spans="1:13" s="75" customFormat="1">
      <c r="B57" s="106" t="s">
        <v>115</v>
      </c>
      <c r="C57" s="74">
        <v>1</v>
      </c>
      <c r="D57" s="74">
        <v>8595</v>
      </c>
      <c r="E57" s="74">
        <f>D57*C57</f>
        <v>8595</v>
      </c>
      <c r="F57" s="75">
        <f>F56-E57</f>
        <v>79605</v>
      </c>
      <c r="G57" s="3" t="s">
        <v>116</v>
      </c>
      <c r="H57" s="74"/>
      <c r="J57" s="90"/>
      <c r="K57" s="90"/>
      <c r="L57" s="91"/>
      <c r="M57" s="92"/>
    </row>
    <row r="58" spans="1:13" s="75" customFormat="1">
      <c r="B58" s="106" t="s">
        <v>115</v>
      </c>
      <c r="C58" s="74">
        <v>9</v>
      </c>
      <c r="D58" s="74">
        <v>8845</v>
      </c>
      <c r="E58" s="74">
        <f>D58*C58</f>
        <v>79605</v>
      </c>
      <c r="F58" s="75">
        <f>F57-E58</f>
        <v>0</v>
      </c>
      <c r="G58" s="3" t="s">
        <v>116</v>
      </c>
      <c r="H58" s="74"/>
      <c r="J58" s="90"/>
      <c r="K58" s="90"/>
      <c r="L58" s="91"/>
      <c r="M58" s="92"/>
    </row>
    <row r="59" spans="1:13" s="75" customFormat="1">
      <c r="B59" s="90"/>
      <c r="C59" s="90"/>
      <c r="D59" s="107" t="s">
        <v>59</v>
      </c>
      <c r="E59" s="108">
        <f>SUM(E54:E58)</f>
        <v>93450</v>
      </c>
      <c r="H59" s="74"/>
      <c r="J59" s="90"/>
      <c r="K59" s="90"/>
      <c r="L59" s="91"/>
      <c r="M59" s="92"/>
    </row>
    <row r="60" spans="1:13" s="75" customFormat="1">
      <c r="B60" s="90"/>
      <c r="C60" s="90"/>
      <c r="D60" s="91"/>
      <c r="E60" s="92"/>
      <c r="H60" s="87"/>
      <c r="J60" s="90"/>
      <c r="K60" s="90"/>
      <c r="L60" s="91"/>
      <c r="M60" s="92"/>
    </row>
    <row r="61" spans="1:13" s="75" customFormat="1">
      <c r="B61" s="97" t="s">
        <v>1135</v>
      </c>
      <c r="C61" s="90"/>
      <c r="D61" s="91"/>
      <c r="E61" s="93">
        <v>45016</v>
      </c>
      <c r="G61" s="93">
        <v>45672</v>
      </c>
      <c r="J61" s="90"/>
      <c r="K61" s="90"/>
      <c r="L61" s="91"/>
      <c r="M61" s="92"/>
    </row>
    <row r="62" spans="1:13" s="75" customFormat="1">
      <c r="B62" s="8" t="s">
        <v>1137</v>
      </c>
      <c r="C62" s="377">
        <v>3085.73</v>
      </c>
      <c r="D62" s="377" t="s">
        <v>798</v>
      </c>
      <c r="E62" s="75">
        <v>18.78</v>
      </c>
      <c r="F62" s="75">
        <f>E62*C62</f>
        <v>57950.009400000003</v>
      </c>
      <c r="G62" s="377">
        <v>35.5</v>
      </c>
      <c r="H62" s="377">
        <f>G62*C62</f>
        <v>109543.41499999999</v>
      </c>
      <c r="J62" s="90"/>
      <c r="K62" s="90"/>
      <c r="L62" s="91"/>
      <c r="M62" s="92"/>
    </row>
    <row r="63" spans="1:13" s="75" customFormat="1">
      <c r="B63" s="8" t="s">
        <v>1138</v>
      </c>
      <c r="C63" s="377">
        <v>49.12</v>
      </c>
      <c r="D63" s="377" t="s">
        <v>225</v>
      </c>
      <c r="E63" s="75">
        <v>1179.83</v>
      </c>
      <c r="F63" s="75">
        <f>E63*C63</f>
        <v>57953.249599999996</v>
      </c>
      <c r="G63" s="377">
        <v>3075</v>
      </c>
      <c r="H63" s="377">
        <f>G63*C63</f>
        <v>151044</v>
      </c>
      <c r="J63" s="90"/>
      <c r="K63" s="90"/>
      <c r="L63" s="91"/>
      <c r="M63" s="92"/>
    </row>
    <row r="64" spans="1:13" s="75" customFormat="1">
      <c r="A64" s="94"/>
      <c r="B64" s="97" t="s">
        <v>1139</v>
      </c>
      <c r="C64" s="377"/>
      <c r="D64" s="377"/>
      <c r="E64" s="377"/>
      <c r="F64" s="377"/>
      <c r="G64" s="377"/>
      <c r="H64" s="74"/>
    </row>
    <row r="65" spans="1:14" s="75" customFormat="1">
      <c r="A65" s="85"/>
      <c r="B65" s="97" t="s">
        <v>1140</v>
      </c>
      <c r="C65" s="377"/>
      <c r="D65" s="377"/>
      <c r="E65" s="377"/>
      <c r="F65" s="377"/>
      <c r="G65" s="377"/>
      <c r="H65" s="74"/>
    </row>
    <row r="66" spans="1:14" s="74" customFormat="1">
      <c r="B66" s="98"/>
      <c r="K66" s="75"/>
      <c r="L66" s="75"/>
      <c r="M66" s="75"/>
      <c r="N66" s="75"/>
    </row>
    <row r="67" spans="1:14" s="74" customFormat="1">
      <c r="A67" s="99"/>
      <c r="B67" s="100" t="s">
        <v>75</v>
      </c>
      <c r="C67" s="99"/>
      <c r="E67" s="74">
        <f>SUM(E68:E79)</f>
        <v>0</v>
      </c>
      <c r="K67" s="75"/>
      <c r="L67" s="75"/>
      <c r="M67" s="75"/>
      <c r="N67" s="75"/>
    </row>
    <row r="68" spans="1:14" ht="15">
      <c r="B68" t="s">
        <v>117</v>
      </c>
      <c r="E68" s="101" t="s">
        <v>76</v>
      </c>
    </row>
    <row r="69" spans="1:14" s="74" customFormat="1">
      <c r="A69" s="85"/>
      <c r="K69" s="75"/>
      <c r="L69" s="75"/>
      <c r="M69" s="75"/>
      <c r="N69" s="75"/>
    </row>
    <row r="70" spans="1:14" s="74" customFormat="1">
      <c r="A70" s="85">
        <v>45715</v>
      </c>
      <c r="B70" s="74" t="s">
        <v>1633</v>
      </c>
      <c r="C70" s="74">
        <v>5938.68</v>
      </c>
      <c r="D70" s="74" t="s">
        <v>1629</v>
      </c>
      <c r="K70" s="75"/>
      <c r="L70" s="75"/>
      <c r="M70" s="75"/>
      <c r="N70" s="75"/>
    </row>
    <row r="71" spans="1:14" s="74" customFormat="1">
      <c r="A71" s="85"/>
      <c r="K71" s="75"/>
      <c r="L71" s="75"/>
      <c r="M71" s="75"/>
      <c r="N71" s="75"/>
    </row>
    <row r="72" spans="1:14" s="74" customFormat="1">
      <c r="A72" s="85"/>
      <c r="B72" s="74" t="s">
        <v>1631</v>
      </c>
      <c r="K72" s="75"/>
      <c r="L72" s="75"/>
      <c r="M72" s="75"/>
      <c r="N72" s="75"/>
    </row>
    <row r="73" spans="1:14">
      <c r="B73" s="74">
        <v>989.78</v>
      </c>
      <c r="C73" s="74">
        <v>6</v>
      </c>
      <c r="D73" s="74">
        <f>C73*B73</f>
        <v>5938.68</v>
      </c>
    </row>
    <row r="74" spans="1:14" s="74" customFormat="1">
      <c r="A74" s="96"/>
      <c r="B74" s="74">
        <f>D74/C73/2</f>
        <v>469.89833333333337</v>
      </c>
      <c r="D74" s="74">
        <f>D73-299.9</f>
        <v>5638.7800000000007</v>
      </c>
      <c r="K74" s="75"/>
      <c r="L74" s="75"/>
      <c r="M74" s="75"/>
      <c r="N74" s="75"/>
    </row>
    <row r="75" spans="1:14" s="74" customFormat="1">
      <c r="A75" s="96"/>
      <c r="B75" s="74" t="s">
        <v>1630</v>
      </c>
      <c r="K75" s="75"/>
      <c r="L75" s="75"/>
      <c r="M75" s="75"/>
      <c r="N75" s="75"/>
    </row>
    <row r="76" spans="1:14" s="74" customFormat="1">
      <c r="A76" s="96"/>
      <c r="B76" s="74" t="s">
        <v>1632</v>
      </c>
      <c r="D76" s="406">
        <f>D73-D74</f>
        <v>299.89999999999964</v>
      </c>
      <c r="K76" s="75"/>
      <c r="L76" s="75"/>
      <c r="M76" s="75"/>
      <c r="N76" s="75"/>
    </row>
    <row r="77" spans="1:14" s="74" customFormat="1">
      <c r="A77" s="96"/>
      <c r="K77" s="75"/>
      <c r="L77" s="75"/>
      <c r="M77" s="75"/>
      <c r="N77" s="75"/>
    </row>
    <row r="78" spans="1:14" s="74" customFormat="1">
      <c r="A78" s="96"/>
      <c r="K78" s="75"/>
      <c r="L78" s="75"/>
      <c r="M78" s="75"/>
      <c r="N78" s="75"/>
    </row>
    <row r="79" spans="1:14" s="74" customFormat="1">
      <c r="A79" s="96"/>
      <c r="B79" s="103"/>
      <c r="C79" s="102"/>
      <c r="K79" s="75"/>
      <c r="L79" s="75"/>
      <c r="M79" s="75"/>
      <c r="N79" s="75"/>
    </row>
    <row r="80" spans="1:14" s="74" customFormat="1">
      <c r="A80" s="96"/>
      <c r="B80" s="3"/>
      <c r="K80" s="75"/>
      <c r="L80" s="75"/>
      <c r="M80" s="75"/>
      <c r="N80" s="75"/>
    </row>
    <row r="81" spans="1:14" s="74" customFormat="1">
      <c r="A81" s="96"/>
      <c r="B81" s="102"/>
      <c r="C81" s="102"/>
      <c r="K81" s="75"/>
      <c r="L81" s="75"/>
      <c r="M81" s="75"/>
      <c r="N81" s="75"/>
    </row>
    <row r="82" spans="1:14" s="74" customFormat="1">
      <c r="A82" s="99"/>
      <c r="B82" s="100" t="s">
        <v>77</v>
      </c>
      <c r="C82" s="99"/>
      <c r="E82" s="74">
        <f>SUM(E83:E101)</f>
        <v>-7885.3399999999992</v>
      </c>
      <c r="K82" s="75"/>
      <c r="L82" s="75"/>
      <c r="M82" s="75"/>
      <c r="N82" s="75"/>
    </row>
    <row r="83" spans="1:14" s="74" customFormat="1">
      <c r="A83" s="96"/>
      <c r="B83" s="102"/>
      <c r="C83" s="102"/>
      <c r="K83" s="75"/>
      <c r="L83" s="75"/>
      <c r="M83" s="75"/>
      <c r="N83" s="75"/>
    </row>
    <row r="84" spans="1:14" s="74" customFormat="1">
      <c r="A84" s="96">
        <v>45630</v>
      </c>
      <c r="B84" s="102" t="s">
        <v>118</v>
      </c>
      <c r="C84" s="102"/>
      <c r="E84" s="74">
        <v>-4408.95</v>
      </c>
      <c r="K84" s="75"/>
      <c r="L84" s="75"/>
      <c r="M84" s="75"/>
      <c r="N84" s="75"/>
    </row>
    <row r="85" spans="1:14" s="74" customFormat="1">
      <c r="A85" s="96"/>
      <c r="B85" s="3" t="s">
        <v>119</v>
      </c>
      <c r="C85" s="102"/>
      <c r="E85" s="74">
        <v>-215.45</v>
      </c>
      <c r="K85" s="75"/>
      <c r="L85" s="75"/>
      <c r="M85" s="75"/>
      <c r="N85" s="75"/>
    </row>
    <row r="86" spans="1:14" s="74" customFormat="1">
      <c r="A86" s="96">
        <v>45621</v>
      </c>
      <c r="B86" s="3" t="s">
        <v>120</v>
      </c>
      <c r="C86" s="102"/>
      <c r="E86" s="74">
        <v>-200</v>
      </c>
      <c r="K86" s="75"/>
      <c r="L86" s="75"/>
      <c r="M86" s="75"/>
      <c r="N86" s="75"/>
    </row>
    <row r="87" spans="1:14" s="74" customFormat="1">
      <c r="A87" s="96">
        <v>45630</v>
      </c>
      <c r="B87" s="3" t="s">
        <v>121</v>
      </c>
      <c r="C87" s="102">
        <v>9239.0300000000007</v>
      </c>
      <c r="E87" s="74">
        <v>-250</v>
      </c>
      <c r="K87" s="75"/>
      <c r="L87" s="75"/>
      <c r="M87" s="75"/>
      <c r="N87" s="75"/>
    </row>
    <row r="88" spans="1:14" s="74" customFormat="1">
      <c r="A88" s="96"/>
      <c r="B88" s="3" t="s">
        <v>119</v>
      </c>
      <c r="C88" s="102"/>
      <c r="E88" s="74">
        <v>-230.94</v>
      </c>
      <c r="K88" s="75"/>
      <c r="L88" s="75"/>
      <c r="M88" s="75"/>
      <c r="N88" s="75"/>
    </row>
    <row r="89" spans="1:14" s="74" customFormat="1">
      <c r="A89" s="96"/>
      <c r="B89" s="3" t="s">
        <v>122</v>
      </c>
      <c r="C89" s="102"/>
      <c r="E89" s="74">
        <v>-600</v>
      </c>
      <c r="K89" s="75"/>
      <c r="L89" s="75"/>
      <c r="M89" s="75"/>
      <c r="N89" s="75"/>
    </row>
    <row r="90" spans="1:14" s="74" customFormat="1">
      <c r="A90" s="96">
        <v>45633</v>
      </c>
      <c r="B90" s="3" t="s">
        <v>123</v>
      </c>
      <c r="C90" s="102"/>
      <c r="E90" s="74">
        <v>-200</v>
      </c>
      <c r="K90" s="75"/>
      <c r="L90" s="75"/>
      <c r="M90" s="75"/>
      <c r="N90" s="75"/>
    </row>
    <row r="91" spans="1:14" s="74" customFormat="1">
      <c r="A91" s="96"/>
      <c r="B91" s="3" t="s">
        <v>124</v>
      </c>
      <c r="C91" s="102"/>
      <c r="E91" s="74">
        <v>-500</v>
      </c>
      <c r="K91" s="75"/>
      <c r="L91" s="75"/>
      <c r="M91" s="75"/>
      <c r="N91" s="75"/>
    </row>
    <row r="92" spans="1:14" s="74" customFormat="1">
      <c r="A92" s="96"/>
      <c r="B92" s="3" t="s">
        <v>125</v>
      </c>
      <c r="C92" s="102"/>
      <c r="E92" s="74">
        <v>-630</v>
      </c>
      <c r="K92" s="75"/>
      <c r="L92" s="75"/>
      <c r="M92" s="75"/>
      <c r="N92" s="75"/>
    </row>
    <row r="93" spans="1:14" s="74" customFormat="1">
      <c r="A93" s="96"/>
      <c r="B93" s="3" t="s">
        <v>126</v>
      </c>
      <c r="C93" s="102"/>
      <c r="E93" s="74">
        <v>-50</v>
      </c>
      <c r="K93" s="75"/>
      <c r="L93" s="75"/>
      <c r="M93" s="75"/>
      <c r="N93" s="75"/>
    </row>
    <row r="94" spans="1:14" s="74" customFormat="1">
      <c r="A94" s="96"/>
      <c r="B94" s="3" t="s">
        <v>124</v>
      </c>
      <c r="C94" s="102"/>
      <c r="E94" s="74">
        <v>-500</v>
      </c>
      <c r="K94" s="75"/>
      <c r="L94" s="75"/>
      <c r="M94" s="75"/>
      <c r="N94" s="75"/>
    </row>
    <row r="95" spans="1:14" s="74" customFormat="1">
      <c r="A95" s="96">
        <v>45649</v>
      </c>
      <c r="B95" s="3" t="s">
        <v>78</v>
      </c>
      <c r="C95" s="102"/>
      <c r="E95" s="74">
        <v>-100</v>
      </c>
      <c r="K95" s="75"/>
      <c r="L95" s="75"/>
      <c r="M95" s="75"/>
      <c r="N95" s="75"/>
    </row>
    <row r="96" spans="1:14" s="74" customFormat="1" ht="15">
      <c r="A96" s="96"/>
      <c r="B96" s="3"/>
      <c r="C96" s="102"/>
      <c r="E96" s="101" t="s">
        <v>76</v>
      </c>
      <c r="K96" s="75"/>
      <c r="L96" s="75"/>
      <c r="M96" s="75"/>
      <c r="N96" s="75"/>
    </row>
    <row r="97" spans="1:14" s="74" customFormat="1">
      <c r="A97" s="96"/>
      <c r="B97" s="3"/>
      <c r="C97" s="102"/>
      <c r="K97" s="75"/>
      <c r="L97" s="75"/>
      <c r="M97" s="75"/>
      <c r="N97" s="75"/>
    </row>
    <row r="98" spans="1:14" s="74" customFormat="1">
      <c r="A98" s="96"/>
      <c r="B98" s="3"/>
      <c r="C98" s="102"/>
      <c r="K98" s="75"/>
      <c r="L98" s="75"/>
      <c r="M98" s="75"/>
      <c r="N98" s="75"/>
    </row>
    <row r="99" spans="1:14" s="74" customFormat="1">
      <c r="A99" s="96"/>
      <c r="B99" s="3"/>
      <c r="C99" s="102"/>
      <c r="K99" s="75"/>
      <c r="L99" s="75"/>
      <c r="M99" s="75"/>
      <c r="N99" s="75"/>
    </row>
    <row r="100" spans="1:14" s="74" customFormat="1">
      <c r="A100" s="96"/>
      <c r="B100" s="3"/>
      <c r="C100" s="102"/>
      <c r="K100" s="75"/>
      <c r="L100" s="75"/>
      <c r="M100" s="75"/>
      <c r="N100" s="75"/>
    </row>
    <row r="101" spans="1:14" s="74" customFormat="1">
      <c r="A101" s="96"/>
      <c r="B101" s="3"/>
      <c r="C101" s="102"/>
      <c r="K101" s="75"/>
      <c r="L101" s="75"/>
      <c r="M101" s="75"/>
      <c r="N101" s="75"/>
    </row>
    <row r="102" spans="1:14" s="74" customFormat="1">
      <c r="A102" s="96"/>
      <c r="B102" s="3"/>
      <c r="K102" s="75"/>
      <c r="L102" s="75"/>
      <c r="M102" s="75"/>
      <c r="N102" s="75"/>
    </row>
    <row r="103" spans="1:14" s="74" customFormat="1">
      <c r="A103" s="96"/>
      <c r="B103" s="3"/>
      <c r="C103" s="102"/>
      <c r="K103" s="75"/>
      <c r="L103" s="75"/>
      <c r="M103" s="75"/>
      <c r="N103" s="75"/>
    </row>
    <row r="104" spans="1:14" s="74" customFormat="1">
      <c r="A104" s="96"/>
      <c r="B104" s="3"/>
      <c r="C104" s="102"/>
      <c r="K104" s="75"/>
      <c r="L104" s="75"/>
      <c r="M104" s="75"/>
      <c r="N104" s="75"/>
    </row>
    <row r="105" spans="1:14" s="74" customFormat="1">
      <c r="A105" s="96"/>
      <c r="B105" s="3"/>
      <c r="C105" s="102"/>
      <c r="K105" s="75"/>
      <c r="L105" s="75"/>
      <c r="M105" s="75"/>
      <c r="N105" s="75"/>
    </row>
    <row r="107" spans="1:14" s="74" customFormat="1">
      <c r="A107" s="109" t="s">
        <v>127</v>
      </c>
      <c r="B107" s="100" t="s">
        <v>128</v>
      </c>
      <c r="C107" s="99">
        <v>2025</v>
      </c>
      <c r="G107" s="74">
        <f>SUM(G111:G139)</f>
        <v>906718.19331999996</v>
      </c>
      <c r="K107" s="75"/>
      <c r="L107" s="75"/>
      <c r="M107" s="75"/>
      <c r="N107" s="75"/>
    </row>
    <row r="108" spans="1:14" s="74" customFormat="1">
      <c r="A108" s="109"/>
      <c r="B108" s="100"/>
      <c r="C108" s="99"/>
      <c r="K108" s="75"/>
      <c r="L108" s="75"/>
      <c r="M108" s="75"/>
      <c r="N108" s="75"/>
    </row>
    <row r="109" spans="1:14" s="74" customFormat="1">
      <c r="A109" s="109"/>
      <c r="B109" s="100"/>
      <c r="C109" s="99"/>
      <c r="E109" s="74" t="s">
        <v>129</v>
      </c>
      <c r="K109" s="75"/>
      <c r="L109" s="75"/>
      <c r="M109" s="75"/>
      <c r="N109" s="75"/>
    </row>
    <row r="110" spans="1:14" s="74" customFormat="1">
      <c r="A110" s="96"/>
      <c r="B110" s="74" t="s">
        <v>69</v>
      </c>
      <c r="G110" s="74">
        <v>0</v>
      </c>
      <c r="K110" s="75"/>
      <c r="L110" s="75"/>
      <c r="M110" s="75"/>
      <c r="N110" s="75"/>
    </row>
    <row r="111" spans="1:14" s="74" customFormat="1">
      <c r="A111" s="96"/>
      <c r="B111" s="74" t="s">
        <v>70</v>
      </c>
      <c r="G111" s="74">
        <v>0</v>
      </c>
      <c r="K111" s="75"/>
      <c r="L111" s="75"/>
      <c r="M111" s="75"/>
      <c r="N111" s="75"/>
    </row>
    <row r="112" spans="1:14" s="74" customFormat="1">
      <c r="A112" s="96">
        <v>45691</v>
      </c>
      <c r="B112" s="74" t="s">
        <v>1727</v>
      </c>
      <c r="G112" s="74">
        <v>221330</v>
      </c>
      <c r="K112" s="75"/>
      <c r="L112" s="75"/>
      <c r="M112" s="75"/>
      <c r="N112" s="75"/>
    </row>
    <row r="113" spans="1:14" s="74" customFormat="1">
      <c r="A113" s="96">
        <v>45691</v>
      </c>
      <c r="B113" s="74" t="s">
        <v>131</v>
      </c>
      <c r="C113" s="2"/>
      <c r="D113" s="2"/>
      <c r="G113" s="14">
        <v>5000</v>
      </c>
      <c r="K113" s="75"/>
      <c r="L113" s="75"/>
      <c r="M113" s="75"/>
      <c r="N113" s="75"/>
    </row>
    <row r="114" spans="1:14" s="74" customFormat="1">
      <c r="A114" s="96"/>
      <c r="B114" s="74" t="s">
        <v>132</v>
      </c>
      <c r="C114" s="2"/>
      <c r="D114" s="2"/>
      <c r="G114" s="14"/>
      <c r="K114" s="75"/>
      <c r="L114" s="75"/>
      <c r="M114" s="75"/>
      <c r="N114" s="75"/>
    </row>
    <row r="115" spans="1:14" s="74" customFormat="1">
      <c r="A115" s="96"/>
      <c r="C115" s="2"/>
      <c r="D115" s="2"/>
      <c r="G115" s="14"/>
      <c r="K115" s="75"/>
      <c r="L115" s="75"/>
      <c r="M115" s="75"/>
      <c r="N115" s="75"/>
    </row>
    <row r="116" spans="1:14" s="74" customFormat="1">
      <c r="A116" s="96"/>
      <c r="C116" s="2"/>
      <c r="D116" s="2"/>
      <c r="G116" s="14"/>
      <c r="K116" s="75"/>
      <c r="L116" s="75"/>
      <c r="M116" s="75"/>
      <c r="N116" s="75"/>
    </row>
    <row r="117" spans="1:14" s="74" customFormat="1">
      <c r="A117" s="96">
        <v>45553</v>
      </c>
      <c r="B117" s="79" t="s">
        <v>133</v>
      </c>
      <c r="C117" s="110">
        <v>25</v>
      </c>
      <c r="D117" s="111">
        <v>752.55561799999998</v>
      </c>
      <c r="E117" s="112">
        <f t="shared" ref="E117:E122" si="3">D117*C117</f>
        <v>18813.890449999999</v>
      </c>
      <c r="F117" s="391">
        <v>899.26057400000002</v>
      </c>
      <c r="G117" s="14">
        <f t="shared" ref="G117:G122" si="4">F117*C117</f>
        <v>22481.514350000001</v>
      </c>
      <c r="I117" s="74">
        <f>G117-E117</f>
        <v>3667.6239000000023</v>
      </c>
      <c r="K117" s="75"/>
      <c r="L117" s="75"/>
      <c r="M117" s="75"/>
      <c r="N117" s="75"/>
    </row>
    <row r="118" spans="1:14" s="74" customFormat="1">
      <c r="A118" s="96">
        <v>45667</v>
      </c>
      <c r="B118" s="79" t="s">
        <v>133</v>
      </c>
      <c r="C118" s="110">
        <v>100</v>
      </c>
      <c r="D118" s="111">
        <v>872.26366499999995</v>
      </c>
      <c r="E118" s="112">
        <f t="shared" si="3"/>
        <v>87226.366499999989</v>
      </c>
      <c r="F118" s="392">
        <f>F117</f>
        <v>899.26057400000002</v>
      </c>
      <c r="G118" s="14">
        <f t="shared" si="4"/>
        <v>89926.057400000005</v>
      </c>
      <c r="I118" s="87">
        <f t="shared" ref="I118:I122" si="5">G118-E118</f>
        <v>2699.690900000016</v>
      </c>
      <c r="K118" s="75"/>
      <c r="L118" s="75"/>
      <c r="M118" s="75"/>
      <c r="N118" s="75"/>
    </row>
    <row r="119" spans="1:14" s="87" customFormat="1">
      <c r="A119" s="96">
        <v>45672</v>
      </c>
      <c r="B119" s="79" t="s">
        <v>133</v>
      </c>
      <c r="C119" s="110">
        <v>55</v>
      </c>
      <c r="D119" s="111">
        <v>877.65409299999999</v>
      </c>
      <c r="E119" s="112">
        <f t="shared" si="3"/>
        <v>48270.975115000001</v>
      </c>
      <c r="F119" s="392">
        <f>F118</f>
        <v>899.26057400000002</v>
      </c>
      <c r="G119" s="14">
        <f t="shared" si="4"/>
        <v>49459.331570000002</v>
      </c>
      <c r="I119" s="87">
        <f t="shared" si="5"/>
        <v>1188.356455000001</v>
      </c>
      <c r="K119" s="75"/>
      <c r="L119" s="75"/>
      <c r="M119" s="75"/>
      <c r="N119" s="75"/>
    </row>
    <row r="120" spans="1:14" s="87" customFormat="1">
      <c r="A120" s="96">
        <v>45680</v>
      </c>
      <c r="B120" s="79" t="s">
        <v>1593</v>
      </c>
      <c r="C120" s="110">
        <v>120</v>
      </c>
      <c r="D120" s="111">
        <v>305</v>
      </c>
      <c r="E120" s="112">
        <f t="shared" si="3"/>
        <v>36600</v>
      </c>
      <c r="F120" s="87">
        <v>313.75</v>
      </c>
      <c r="G120" s="14">
        <f t="shared" si="4"/>
        <v>37650</v>
      </c>
      <c r="I120" s="87">
        <f t="shared" si="5"/>
        <v>1050</v>
      </c>
      <c r="K120" s="75"/>
      <c r="L120" s="75"/>
      <c r="M120" s="75"/>
      <c r="N120" s="75"/>
    </row>
    <row r="121" spans="1:14" s="74" customFormat="1">
      <c r="A121" s="96">
        <v>45620</v>
      </c>
      <c r="B121" s="79" t="s">
        <v>1595</v>
      </c>
      <c r="C121" s="110">
        <v>4000</v>
      </c>
      <c r="D121" s="110">
        <v>32.549999999999997</v>
      </c>
      <c r="E121" s="112">
        <f t="shared" si="3"/>
        <v>130199.99999999999</v>
      </c>
      <c r="F121" s="74">
        <v>33.549999999999997</v>
      </c>
      <c r="G121" s="14">
        <f t="shared" si="4"/>
        <v>134200</v>
      </c>
      <c r="I121" s="87">
        <f t="shared" si="5"/>
        <v>4000.0000000000146</v>
      </c>
      <c r="K121" s="75"/>
      <c r="L121" s="75"/>
      <c r="M121" s="75"/>
      <c r="N121" s="75"/>
    </row>
    <row r="122" spans="1:14" s="74" customFormat="1" ht="13.5" thickBot="1">
      <c r="A122" s="96">
        <v>45659</v>
      </c>
      <c r="B122" s="79" t="s">
        <v>1594</v>
      </c>
      <c r="C122" s="110">
        <v>4000</v>
      </c>
      <c r="D122" s="111">
        <v>30.86</v>
      </c>
      <c r="E122" s="112">
        <f t="shared" si="3"/>
        <v>123440</v>
      </c>
      <c r="F122" s="74">
        <f>F121</f>
        <v>33.549999999999997</v>
      </c>
      <c r="G122" s="14">
        <f t="shared" si="4"/>
        <v>134200</v>
      </c>
      <c r="H122" s="407">
        <f>SUM(G117:G122)</f>
        <v>467916.90332000004</v>
      </c>
      <c r="I122" s="87">
        <f t="shared" si="5"/>
        <v>10760</v>
      </c>
      <c r="K122" s="75"/>
      <c r="L122" s="75"/>
      <c r="M122" s="75"/>
      <c r="N122" s="75"/>
    </row>
    <row r="123" spans="1:14" s="74" customFormat="1" ht="15.75" thickBot="1">
      <c r="A123" s="96"/>
      <c r="C123" s="2"/>
      <c r="D123" s="2"/>
      <c r="E123" s="74">
        <f>SUM(E117:E122)</f>
        <v>444551.23206499999</v>
      </c>
      <c r="F123" s="101" t="s">
        <v>76</v>
      </c>
      <c r="G123" s="14"/>
      <c r="H123" s="113">
        <f>(SUM(G117:G122))-(SUM(E117:E122))</f>
        <v>23365.671255000052</v>
      </c>
      <c r="I123" s="113">
        <f>SUM(I117:I122)</f>
        <v>23365.671255000034</v>
      </c>
      <c r="K123" s="75"/>
      <c r="L123" s="75"/>
      <c r="M123" s="75"/>
      <c r="N123" s="75"/>
    </row>
    <row r="124" spans="1:14" s="74" customFormat="1">
      <c r="A124" s="96"/>
      <c r="C124" s="2"/>
      <c r="D124" s="2"/>
      <c r="K124" s="75"/>
      <c r="L124" s="75"/>
      <c r="M124" s="75"/>
      <c r="N124" s="75"/>
    </row>
    <row r="125" spans="1:14" s="74" customFormat="1">
      <c r="A125" s="96">
        <v>45509</v>
      </c>
      <c r="B125" s="79" t="s">
        <v>139</v>
      </c>
      <c r="C125" s="110">
        <v>1</v>
      </c>
      <c r="D125" s="80">
        <v>2500</v>
      </c>
      <c r="E125" s="112">
        <f>D125*C125</f>
        <v>2500</v>
      </c>
      <c r="F125" s="74">
        <v>3250</v>
      </c>
      <c r="G125" s="14">
        <f>C125*F125</f>
        <v>3250</v>
      </c>
      <c r="I125" s="87">
        <f t="shared" ref="I125:I127" si="6">G125-E125</f>
        <v>750</v>
      </c>
      <c r="K125" s="75"/>
      <c r="L125" s="75"/>
      <c r="M125" s="75"/>
      <c r="N125" s="75"/>
    </row>
    <row r="126" spans="1:14" s="74" customFormat="1">
      <c r="A126" s="96">
        <v>45509</v>
      </c>
      <c r="B126" s="79" t="s">
        <v>140</v>
      </c>
      <c r="C126" s="110">
        <v>16</v>
      </c>
      <c r="D126" s="80">
        <v>4100</v>
      </c>
      <c r="E126" s="112">
        <f>D126*C126</f>
        <v>65600</v>
      </c>
      <c r="F126" s="74">
        <v>5300</v>
      </c>
      <c r="G126" s="14">
        <f>C126*F126</f>
        <v>84800</v>
      </c>
      <c r="I126" s="87">
        <f t="shared" si="6"/>
        <v>19200</v>
      </c>
      <c r="K126" s="75"/>
      <c r="L126" s="75"/>
      <c r="M126" s="75"/>
      <c r="N126" s="75"/>
    </row>
    <row r="127" spans="1:14" s="74" customFormat="1">
      <c r="A127" s="96">
        <v>45509</v>
      </c>
      <c r="B127" s="79" t="s">
        <v>141</v>
      </c>
      <c r="C127" s="110">
        <v>1</v>
      </c>
      <c r="D127" s="80">
        <v>16200</v>
      </c>
      <c r="E127" s="112">
        <f>D127*C127</f>
        <v>16200</v>
      </c>
      <c r="F127" s="74">
        <f>F126*4</f>
        <v>21200</v>
      </c>
      <c r="G127" s="14">
        <f>C127*F127</f>
        <v>21200</v>
      </c>
      <c r="H127" s="407">
        <f>SUM(G125:G127)</f>
        <v>109250</v>
      </c>
      <c r="I127" s="87">
        <f t="shared" si="6"/>
        <v>5000</v>
      </c>
      <c r="K127" s="75"/>
      <c r="L127" s="75"/>
      <c r="M127" s="75"/>
      <c r="N127" s="75"/>
    </row>
    <row r="128" spans="1:14" s="74" customFormat="1" ht="15.75" thickBot="1">
      <c r="A128" s="96"/>
      <c r="C128" s="2"/>
      <c r="D128" s="2"/>
      <c r="E128" s="74">
        <f>SUM(E125:E127)</f>
        <v>84300</v>
      </c>
      <c r="F128" s="101" t="s">
        <v>76</v>
      </c>
      <c r="H128" s="113">
        <f>(SUM(G125:G127))-(SUM(E125:E127))</f>
        <v>24950</v>
      </c>
      <c r="K128" s="75"/>
      <c r="L128" s="75"/>
      <c r="M128" s="75"/>
      <c r="N128" s="75"/>
    </row>
    <row r="129" spans="1:14" s="87" customFormat="1" ht="15">
      <c r="A129" s="96"/>
      <c r="C129" s="12"/>
      <c r="D129" s="12"/>
      <c r="F129" s="171"/>
      <c r="H129" s="428"/>
      <c r="K129" s="75"/>
      <c r="L129" s="75"/>
      <c r="M129" s="75"/>
      <c r="N129" s="75"/>
    </row>
    <row r="130" spans="1:14" s="74" customFormat="1">
      <c r="A130" s="96">
        <v>45345</v>
      </c>
      <c r="B130" s="79" t="s">
        <v>135</v>
      </c>
      <c r="C130" s="114">
        <v>125000</v>
      </c>
      <c r="D130" s="80">
        <v>1.0399430000000001</v>
      </c>
      <c r="E130" s="112">
        <f>D130*C130</f>
        <v>129992.87500000001</v>
      </c>
      <c r="F130" s="115">
        <v>0.79772600000000005</v>
      </c>
      <c r="G130" s="14">
        <f>F130*C130</f>
        <v>99715.75</v>
      </c>
      <c r="I130" s="87">
        <f t="shared" ref="I130" si="7">G130-E130</f>
        <v>-30277.125000000015</v>
      </c>
      <c r="K130" s="75"/>
      <c r="L130" s="75"/>
      <c r="M130" s="75"/>
      <c r="N130" s="75"/>
    </row>
    <row r="131" spans="1:14" s="74" customFormat="1">
      <c r="A131" s="96">
        <v>45400</v>
      </c>
      <c r="B131" s="79" t="s">
        <v>136</v>
      </c>
      <c r="C131" s="110">
        <v>10</v>
      </c>
      <c r="D131" s="80">
        <v>135</v>
      </c>
      <c r="E131" s="112">
        <f>D131*C131</f>
        <v>1350</v>
      </c>
      <c r="F131" s="74">
        <v>118.2</v>
      </c>
      <c r="G131" s="14">
        <f>F131*C131</f>
        <v>1182</v>
      </c>
      <c r="I131" s="87">
        <f t="shared" ref="I131:I133" si="8">G131-E131</f>
        <v>-168</v>
      </c>
      <c r="K131" s="75"/>
      <c r="L131" s="75"/>
      <c r="M131" s="75"/>
      <c r="N131" s="75"/>
    </row>
    <row r="132" spans="1:14" s="74" customFormat="1">
      <c r="A132" s="96">
        <v>45418</v>
      </c>
      <c r="B132" s="79" t="s">
        <v>137</v>
      </c>
      <c r="C132" s="110">
        <v>38</v>
      </c>
      <c r="D132" s="80">
        <v>30.5</v>
      </c>
      <c r="E132" s="112">
        <f>D132*C132</f>
        <v>1159</v>
      </c>
      <c r="F132" s="74">
        <v>17.670000000000002</v>
      </c>
      <c r="G132" s="14">
        <f>F132*C132</f>
        <v>671.46</v>
      </c>
      <c r="I132" s="87">
        <f t="shared" si="8"/>
        <v>-487.53999999999996</v>
      </c>
      <c r="K132" s="75"/>
      <c r="L132" s="75"/>
      <c r="M132" s="75"/>
      <c r="N132" s="75"/>
    </row>
    <row r="133" spans="1:14" s="74" customFormat="1">
      <c r="A133" s="96">
        <v>45418</v>
      </c>
      <c r="B133" s="79" t="s">
        <v>138</v>
      </c>
      <c r="C133" s="110">
        <v>26</v>
      </c>
      <c r="D133" s="80">
        <v>37.115000000000002</v>
      </c>
      <c r="E133" s="112">
        <f>D133*C133</f>
        <v>964.99</v>
      </c>
      <c r="F133" s="74">
        <v>25.08</v>
      </c>
      <c r="G133" s="14">
        <f>F133*C133</f>
        <v>652.07999999999993</v>
      </c>
      <c r="H133" s="407">
        <f>SUM(G130:G133)</f>
        <v>102221.29000000001</v>
      </c>
      <c r="I133" s="87">
        <f t="shared" si="8"/>
        <v>-312.91000000000008</v>
      </c>
      <c r="K133" s="75"/>
      <c r="L133" s="75"/>
      <c r="M133" s="75"/>
      <c r="N133" s="75"/>
    </row>
    <row r="134" spans="1:14" s="74" customFormat="1" ht="15.75" thickBot="1">
      <c r="A134" s="96"/>
      <c r="C134" s="2"/>
      <c r="D134" s="2"/>
      <c r="E134" s="74">
        <f>SUM(E130:E133)</f>
        <v>133466.86499999999</v>
      </c>
      <c r="F134" s="101" t="s">
        <v>76</v>
      </c>
      <c r="H134" s="113">
        <f>(SUM(G130:G133))-(SUM(E130:E133))</f>
        <v>-31245.574999999983</v>
      </c>
      <c r="K134" s="75"/>
      <c r="L134" s="75"/>
      <c r="M134" s="75"/>
      <c r="N134" s="75"/>
    </row>
    <row r="136" spans="1:14" s="74" customFormat="1">
      <c r="A136" s="96"/>
      <c r="B136" s="74" t="s">
        <v>142</v>
      </c>
      <c r="C136" s="116">
        <v>33.250599999999999</v>
      </c>
      <c r="D136" s="2"/>
      <c r="G136" s="14"/>
      <c r="K136" s="75"/>
      <c r="L136" s="75"/>
      <c r="M136" s="75"/>
      <c r="N136" s="75"/>
    </row>
    <row r="137" spans="1:14" s="74" customFormat="1">
      <c r="A137" s="96"/>
      <c r="B137" s="74" t="s">
        <v>143</v>
      </c>
      <c r="C137" s="116">
        <v>36.854999999999997</v>
      </c>
      <c r="D137" s="2"/>
      <c r="G137" s="14"/>
      <c r="K137" s="75"/>
      <c r="L137" s="75"/>
      <c r="M137" s="75"/>
      <c r="N137" s="75"/>
    </row>
    <row r="138" spans="1:14" s="74" customFormat="1">
      <c r="A138" s="96"/>
      <c r="B138" s="74" t="s">
        <v>144</v>
      </c>
      <c r="C138" s="2"/>
      <c r="D138" s="2"/>
      <c r="G138" s="14">
        <v>0</v>
      </c>
      <c r="K138" s="75"/>
      <c r="L138" s="75"/>
      <c r="M138" s="75"/>
      <c r="N138" s="75"/>
    </row>
    <row r="139" spans="1:14" s="74" customFormat="1" ht="13.5" thickBot="1">
      <c r="A139" s="96"/>
      <c r="B139" s="74" t="s">
        <v>145</v>
      </c>
      <c r="C139" s="2"/>
      <c r="D139" s="2"/>
      <c r="G139" s="14">
        <v>1000</v>
      </c>
      <c r="K139" s="75"/>
      <c r="L139" s="75"/>
      <c r="M139" s="75"/>
      <c r="N139" s="75"/>
    </row>
    <row r="140" spans="1:14" s="74" customFormat="1" ht="16.5" thickBot="1">
      <c r="A140" s="96"/>
      <c r="E140" s="117"/>
      <c r="F140" s="118"/>
      <c r="G140" s="119" t="s">
        <v>146</v>
      </c>
      <c r="H140" s="430">
        <f>H128+H134+H123</f>
        <v>17070.09625500007</v>
      </c>
      <c r="K140" s="75"/>
      <c r="L140" s="75"/>
      <c r="M140" s="75"/>
      <c r="N140" s="75"/>
    </row>
    <row r="141" spans="1:14" s="74" customFormat="1">
      <c r="A141" s="96"/>
      <c r="C141" s="120"/>
      <c r="D141" s="3"/>
      <c r="G141" s="120"/>
      <c r="K141" s="75"/>
      <c r="L141" s="75"/>
      <c r="M141" s="75"/>
      <c r="N141" s="75"/>
    </row>
    <row r="142" spans="1:14" s="74" customFormat="1" ht="15">
      <c r="A142" s="96"/>
      <c r="C142" s="120"/>
      <c r="D142" s="15" t="s">
        <v>147</v>
      </c>
      <c r="F142" s="101" t="s">
        <v>76</v>
      </c>
      <c r="G142" s="9">
        <f>SUM(G111:G139)</f>
        <v>906718.19331999996</v>
      </c>
      <c r="K142" s="75"/>
      <c r="L142" s="75"/>
      <c r="M142" s="75"/>
      <c r="N142" s="75"/>
    </row>
    <row r="143" spans="1:14" s="74" customFormat="1">
      <c r="A143" s="96"/>
      <c r="C143" s="121" t="str">
        <f>A107</f>
        <v>ŞUBAT 2025 e</v>
      </c>
      <c r="D143" s="122" t="s">
        <v>148</v>
      </c>
      <c r="G143" s="123"/>
      <c r="K143" s="75"/>
      <c r="L143" s="75"/>
      <c r="M143" s="75"/>
      <c r="N143" s="75"/>
    </row>
    <row r="144" spans="1:14" s="74" customFormat="1">
      <c r="K144" s="75"/>
      <c r="L144" s="75"/>
      <c r="M144" s="75"/>
      <c r="N144" s="75"/>
    </row>
    <row r="145" spans="1:14" s="87" customFormat="1">
      <c r="A145" s="96"/>
      <c r="C145" s="396"/>
      <c r="D145" s="393"/>
      <c r="E145" s="397"/>
      <c r="F145" s="425"/>
      <c r="G145" s="14"/>
      <c r="K145" s="75"/>
      <c r="L145" s="75"/>
      <c r="M145" s="75"/>
      <c r="N145" s="75"/>
    </row>
    <row r="146" spans="1:14" s="87" customFormat="1">
      <c r="A146" s="96"/>
      <c r="C146" s="396"/>
      <c r="D146" s="393"/>
      <c r="E146" s="397"/>
      <c r="F146" s="425"/>
      <c r="G146" s="14"/>
      <c r="K146" s="75"/>
      <c r="L146" s="75"/>
      <c r="M146" s="75"/>
      <c r="N146" s="75"/>
    </row>
    <row r="147" spans="1:14" s="87" customFormat="1">
      <c r="A147" s="384">
        <v>45680</v>
      </c>
      <c r="B147" s="385" t="s">
        <v>133</v>
      </c>
      <c r="C147" s="386">
        <v>-15</v>
      </c>
      <c r="D147" s="387">
        <v>752.55561799999998</v>
      </c>
      <c r="E147" s="388">
        <f>D147*C147</f>
        <v>-11288.334269999999</v>
      </c>
      <c r="F147" s="389">
        <v>886.51320299999998</v>
      </c>
      <c r="G147" s="390">
        <f>F147*C147</f>
        <v>-13297.698044999999</v>
      </c>
      <c r="H147" s="389"/>
      <c r="I147" s="389">
        <f>E147-G147</f>
        <v>2009.3637749999998</v>
      </c>
      <c r="K147" s="75"/>
      <c r="L147" s="75"/>
      <c r="M147" s="75"/>
      <c r="N147" s="75"/>
    </row>
    <row r="148" spans="1:14" s="87" customFormat="1">
      <c r="A148" s="384">
        <v>45680</v>
      </c>
      <c r="B148" s="385" t="s">
        <v>1596</v>
      </c>
      <c r="C148" s="386"/>
      <c r="D148" s="387"/>
      <c r="E148" s="388">
        <v>150.77000000000001</v>
      </c>
      <c r="F148" s="389"/>
      <c r="G148" s="390"/>
      <c r="H148" s="389"/>
      <c r="I148" s="389">
        <f>G148-E148</f>
        <v>-150.77000000000001</v>
      </c>
      <c r="K148" s="75"/>
      <c r="L148" s="75"/>
      <c r="M148" s="75"/>
      <c r="N148" s="75"/>
    </row>
    <row r="149" spans="1:14" s="87" customFormat="1">
      <c r="K149" s="75"/>
      <c r="L149" s="75"/>
      <c r="M149" s="75"/>
      <c r="N149" s="75"/>
    </row>
    <row r="150" spans="1:14" s="87" customFormat="1">
      <c r="A150" s="416"/>
      <c r="B150" s="416"/>
      <c r="C150" s="416"/>
      <c r="D150" s="405"/>
      <c r="E150" s="405"/>
      <c r="F150" s="405"/>
      <c r="G150" s="405"/>
      <c r="H150" s="87" t="s">
        <v>1920</v>
      </c>
      <c r="I150" s="467">
        <f>SUM(I147:I149)</f>
        <v>1858.5937749999998</v>
      </c>
      <c r="K150" s="75"/>
      <c r="L150" s="75"/>
      <c r="M150" s="75"/>
      <c r="N150" s="75"/>
    </row>
    <row r="151" spans="1:14" s="87" customFormat="1">
      <c r="G151" s="87" t="s">
        <v>878</v>
      </c>
      <c r="H151" s="87" t="str">
        <f>H150</f>
        <v>yatırımdan</v>
      </c>
      <c r="I151" s="87">
        <f>I150</f>
        <v>1858.5937749999998</v>
      </c>
      <c r="K151" s="75"/>
      <c r="L151" s="75"/>
      <c r="M151" s="75"/>
      <c r="N151" s="75"/>
    </row>
    <row r="152" spans="1:14" s="87" customFormat="1">
      <c r="A152" s="393"/>
      <c r="B152" s="393"/>
      <c r="C152" s="393"/>
      <c r="D152" s="393"/>
      <c r="E152" s="393"/>
      <c r="F152" s="393"/>
      <c r="G152" s="393"/>
      <c r="K152" s="75"/>
      <c r="L152" s="75"/>
      <c r="M152" s="75"/>
      <c r="N152" s="75"/>
    </row>
    <row r="153" spans="1:14" s="87" customFormat="1">
      <c r="A153" s="393"/>
      <c r="B153" s="393"/>
      <c r="C153" s="393"/>
      <c r="D153" s="393"/>
      <c r="E153" s="393"/>
      <c r="F153" s="393"/>
      <c r="G153" s="393"/>
      <c r="K153" s="75"/>
      <c r="L153" s="75"/>
      <c r="M153" s="75"/>
      <c r="N153" s="75"/>
    </row>
    <row r="154" spans="1:14" s="74" customFormat="1">
      <c r="A154" s="96">
        <v>45667</v>
      </c>
      <c r="B154" s="79" t="s">
        <v>1597</v>
      </c>
      <c r="C154" s="114">
        <v>240</v>
      </c>
      <c r="D154" s="80">
        <v>872.26366499999995</v>
      </c>
      <c r="E154" s="112">
        <f>D154*C154</f>
        <v>209343.27959999998</v>
      </c>
      <c r="F154" s="391">
        <f>F119</f>
        <v>899.26057400000002</v>
      </c>
      <c r="G154" s="14">
        <f>F154*C154</f>
        <v>215822.53776000001</v>
      </c>
      <c r="H154" s="87"/>
      <c r="I154" s="87">
        <f>G154-E154</f>
        <v>6479.2581600000267</v>
      </c>
      <c r="K154" s="75"/>
      <c r="L154" s="75"/>
      <c r="M154" s="75"/>
      <c r="N154" s="75"/>
    </row>
    <row r="155" spans="1:14" s="74" customFormat="1">
      <c r="A155" s="96"/>
      <c r="B155" s="87" t="s">
        <v>1675</v>
      </c>
      <c r="C155" s="396"/>
      <c r="D155" s="393"/>
      <c r="E155" s="397"/>
      <c r="F155" s="425"/>
      <c r="G155" s="14"/>
      <c r="H155" s="87"/>
      <c r="I155" s="87"/>
      <c r="K155" s="75"/>
      <c r="L155" s="75"/>
      <c r="M155" s="75"/>
      <c r="N155" s="75"/>
    </row>
    <row r="156" spans="1:14" s="74" customFormat="1">
      <c r="A156" s="394"/>
      <c r="B156" s="395"/>
      <c r="C156" s="396"/>
      <c r="D156" s="393"/>
      <c r="E156" s="397"/>
      <c r="F156" s="393"/>
      <c r="G156" s="397"/>
      <c r="K156" s="75"/>
      <c r="L156" s="75"/>
      <c r="M156" s="75"/>
      <c r="N156" s="75"/>
    </row>
    <row r="157" spans="1:14" s="74" customFormat="1">
      <c r="A157" s="96"/>
      <c r="K157" s="75"/>
      <c r="L157" s="75"/>
      <c r="M157" s="75"/>
      <c r="N157" s="75"/>
    </row>
    <row r="158" spans="1:14">
      <c r="B158" t="s">
        <v>149</v>
      </c>
      <c r="E158" s="74">
        <v>13006</v>
      </c>
    </row>
    <row r="159" spans="1:14">
      <c r="B159" t="s">
        <v>150</v>
      </c>
      <c r="D159" s="73">
        <v>0.1575</v>
      </c>
      <c r="E159" s="74">
        <f>E158*D159</f>
        <v>2048.4450000000002</v>
      </c>
    </row>
    <row r="160" spans="1:14">
      <c r="B160" t="s">
        <v>151</v>
      </c>
      <c r="E160" s="74">
        <f>SUM(E158:E159)</f>
        <v>15054.445</v>
      </c>
    </row>
    <row r="163" spans="1:12">
      <c r="A163" s="11"/>
      <c r="B163" s="94"/>
      <c r="C163" s="11"/>
      <c r="D163" s="11"/>
      <c r="E163" s="11"/>
      <c r="F163" s="11"/>
      <c r="G163" s="11"/>
      <c r="H163" s="11"/>
      <c r="K163" s="11"/>
      <c r="L163" s="11"/>
    </row>
    <row r="164" spans="1:12">
      <c r="A164" s="11"/>
      <c r="B164" s="94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5">
      <c r="A165" s="94"/>
      <c r="B165" s="11"/>
      <c r="D165" s="371"/>
      <c r="E165" s="11"/>
      <c r="F165" s="11"/>
      <c r="G165" s="11"/>
      <c r="H165" s="11"/>
      <c r="I165" s="11"/>
      <c r="J165" s="372"/>
    </row>
    <row r="166" spans="1:12" ht="15">
      <c r="A166" s="94"/>
      <c r="B166" s="11"/>
      <c r="D166" s="371"/>
      <c r="E166" s="11"/>
      <c r="F166" s="11"/>
      <c r="G166" s="11"/>
      <c r="H166" s="11"/>
      <c r="I166" s="11"/>
      <c r="J166" s="372"/>
    </row>
    <row r="167" spans="1:12" ht="15">
      <c r="A167" s="94"/>
      <c r="B167" s="11"/>
      <c r="C167" s="11"/>
      <c r="D167" s="371"/>
      <c r="E167" s="11"/>
      <c r="F167" s="11"/>
      <c r="G167" s="11"/>
      <c r="H167" s="11"/>
      <c r="I167" s="11"/>
      <c r="J167" s="11"/>
    </row>
    <row r="168" spans="1:12">
      <c r="A168" s="94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2" ht="15">
      <c r="A169" s="94"/>
      <c r="B169" s="11"/>
      <c r="C169" s="11"/>
      <c r="D169" s="371"/>
      <c r="E169" s="11"/>
      <c r="F169" s="11"/>
      <c r="G169" s="11"/>
      <c r="H169" s="11"/>
      <c r="I169" s="11"/>
      <c r="J169" s="11"/>
    </row>
    <row r="170" spans="1:12" ht="15">
      <c r="A170" s="94"/>
      <c r="B170" s="11"/>
      <c r="C170" s="11"/>
      <c r="D170" s="371"/>
      <c r="E170" s="11"/>
      <c r="F170" s="11"/>
      <c r="G170" s="11"/>
      <c r="H170" s="11"/>
      <c r="I170" s="11"/>
      <c r="J170" s="11"/>
    </row>
    <row r="171" spans="1:12">
      <c r="C171" s="74"/>
      <c r="H171"/>
      <c r="J171" s="75"/>
    </row>
    <row r="172" spans="1:12">
      <c r="C172" s="11"/>
      <c r="H172"/>
      <c r="J172" s="75"/>
    </row>
    <row r="173" spans="1:12">
      <c r="C173" s="11"/>
      <c r="H173"/>
      <c r="J173" s="75"/>
    </row>
    <row r="174" spans="1:12">
      <c r="C174" s="11"/>
      <c r="H174"/>
      <c r="J174" s="75"/>
    </row>
    <row r="175" spans="1:12">
      <c r="C175" s="74"/>
      <c r="H175"/>
      <c r="J175" s="75"/>
    </row>
    <row r="176" spans="1:12">
      <c r="C176" s="74"/>
      <c r="H176"/>
      <c r="J176" s="75"/>
    </row>
    <row r="177" spans="3:10">
      <c r="C177" s="74"/>
      <c r="H177"/>
      <c r="J177" s="75"/>
    </row>
    <row r="178" spans="3:10">
      <c r="C178" s="74"/>
      <c r="H178"/>
      <c r="J178" s="75"/>
    </row>
    <row r="179" spans="3:10">
      <c r="C179" s="74"/>
      <c r="H179"/>
      <c r="J179" s="75"/>
    </row>
    <row r="180" spans="3:10">
      <c r="C180" s="74"/>
      <c r="H180"/>
      <c r="J180" s="75"/>
    </row>
    <row r="181" spans="3:10">
      <c r="C181" s="74"/>
      <c r="H181"/>
      <c r="J181" s="75"/>
    </row>
    <row r="182" spans="3:10">
      <c r="C182" s="74"/>
      <c r="H182"/>
      <c r="J182" s="75"/>
    </row>
    <row r="183" spans="3:10">
      <c r="C183" s="74"/>
      <c r="H183"/>
      <c r="J183" s="75"/>
    </row>
    <row r="184" spans="3:10">
      <c r="C184" s="74"/>
      <c r="H184"/>
      <c r="J184" s="75"/>
    </row>
    <row r="185" spans="3:10">
      <c r="C185" s="74"/>
      <c r="H185"/>
      <c r="J185" s="75"/>
    </row>
    <row r="186" spans="3:10">
      <c r="C186" s="74"/>
      <c r="H186"/>
      <c r="J186" s="75"/>
    </row>
    <row r="187" spans="3:10">
      <c r="C187" s="74"/>
      <c r="H187"/>
      <c r="J187" s="75"/>
    </row>
    <row r="188" spans="3:10">
      <c r="C188" s="74"/>
      <c r="H188"/>
      <c r="J188" s="75"/>
    </row>
  </sheetData>
  <conditionalFormatting sqref="F125:F127">
    <cfRule type="cellIs" dxfId="7" priority="8" operator="lessThan">
      <formula>D125</formula>
    </cfRule>
  </conditionalFormatting>
  <conditionalFormatting sqref="F131:F133">
    <cfRule type="cellIs" dxfId="6" priority="9" operator="lessThan">
      <formula>D131</formula>
    </cfRule>
  </conditionalFormatting>
  <conditionalFormatting sqref="F122">
    <cfRule type="cellIs" dxfId="5" priority="10" operator="lessThan">
      <formula>D122</formula>
    </cfRule>
  </conditionalFormatting>
  <conditionalFormatting sqref="F121">
    <cfRule type="cellIs" dxfId="4" priority="11" operator="lessThan">
      <formula>D121</formula>
    </cfRule>
  </conditionalFormatting>
  <conditionalFormatting sqref="F118:F119">
    <cfRule type="cellIs" dxfId="3" priority="12" operator="lessThan">
      <formula>D118</formula>
    </cfRule>
  </conditionalFormatting>
  <conditionalFormatting sqref="I165:I166">
    <cfRule type="expression" dxfId="2" priority="4">
      <formula>H165&gt;0</formula>
    </cfRule>
  </conditionalFormatting>
  <conditionalFormatting sqref="F120">
    <cfRule type="cellIs" dxfId="1" priority="2" operator="lessThan">
      <formula>D120</formula>
    </cfRule>
  </conditionalFormatting>
  <conditionalFormatting sqref="F147:F148">
    <cfRule type="cellIs" dxfId="0" priority="1" operator="lessThan">
      <formula>D147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0"/>
  <sheetViews>
    <sheetView zoomScale="160" zoomScaleNormal="160" workbookViewId="0">
      <selection activeCell="E107" activeCellId="1" sqref="E96 E107"/>
    </sheetView>
  </sheetViews>
  <sheetFormatPr defaultColWidth="8.5703125" defaultRowHeight="12.75"/>
  <cols>
    <col min="1" max="1" width="12.28515625" style="1" customWidth="1"/>
    <col min="2" max="2" width="31.28515625" customWidth="1"/>
    <col min="3" max="3" width="10.5703125" customWidth="1"/>
    <col min="4" max="6" width="12.28515625" style="2" customWidth="1"/>
    <col min="7" max="7" width="1.42578125" customWidth="1"/>
    <col min="8" max="8" width="35.42578125" customWidth="1"/>
    <col min="10" max="10" width="10.5703125" customWidth="1"/>
  </cols>
  <sheetData>
    <row r="1" spans="1:6">
      <c r="C1" s="3"/>
      <c r="D1" s="4"/>
      <c r="E1" s="4"/>
    </row>
    <row r="2" spans="1:6" ht="27" customHeight="1">
      <c r="B2" s="5">
        <v>2024</v>
      </c>
      <c r="C2" s="6" t="s">
        <v>0</v>
      </c>
      <c r="D2" s="4" t="s">
        <v>1</v>
      </c>
      <c r="E2" s="7" t="s">
        <v>2</v>
      </c>
      <c r="F2" s="4" t="s">
        <v>3</v>
      </c>
    </row>
    <row r="5" spans="1:6">
      <c r="A5" s="1">
        <v>45291</v>
      </c>
      <c r="B5" s="8" t="s">
        <v>4</v>
      </c>
      <c r="F5" s="9">
        <v>1072</v>
      </c>
    </row>
    <row r="6" spans="1:6">
      <c r="A6" s="1">
        <v>45306</v>
      </c>
      <c r="B6" s="8" t="s">
        <v>152</v>
      </c>
      <c r="E6" s="2">
        <v>3450</v>
      </c>
      <c r="F6" s="2">
        <f t="shared" ref="F6:F33" si="0">F5+D6-E6</f>
        <v>-2378</v>
      </c>
    </row>
    <row r="7" spans="1:6">
      <c r="A7" s="1">
        <v>45309</v>
      </c>
      <c r="B7" s="8" t="s">
        <v>153</v>
      </c>
      <c r="D7" s="2">
        <v>899</v>
      </c>
      <c r="F7" s="2">
        <f t="shared" si="0"/>
        <v>-1479</v>
      </c>
    </row>
    <row r="8" spans="1:6">
      <c r="A8" s="1">
        <v>45309</v>
      </c>
      <c r="B8" s="8" t="s">
        <v>154</v>
      </c>
      <c r="D8" s="2">
        <v>1093.6500000000001</v>
      </c>
      <c r="F8" s="2">
        <f t="shared" si="0"/>
        <v>-385.34999999999991</v>
      </c>
    </row>
    <row r="9" spans="1:6">
      <c r="A9" s="1">
        <v>45310</v>
      </c>
      <c r="B9" s="8" t="s">
        <v>155</v>
      </c>
      <c r="D9" s="2">
        <v>1000</v>
      </c>
      <c r="F9" s="2">
        <f t="shared" si="0"/>
        <v>614.65000000000009</v>
      </c>
    </row>
    <row r="10" spans="1:6">
      <c r="A10" s="1">
        <v>45319</v>
      </c>
      <c r="B10" s="8" t="s">
        <v>156</v>
      </c>
      <c r="C10">
        <v>713.25</v>
      </c>
      <c r="F10" s="2">
        <f t="shared" si="0"/>
        <v>614.65000000000009</v>
      </c>
    </row>
    <row r="11" spans="1:6">
      <c r="B11" s="8" t="s">
        <v>157</v>
      </c>
      <c r="D11" s="2">
        <v>1200</v>
      </c>
      <c r="F11" s="2">
        <f t="shared" si="0"/>
        <v>1814.65</v>
      </c>
    </row>
    <row r="12" spans="1:6">
      <c r="A12" s="1">
        <v>45366</v>
      </c>
      <c r="B12" s="8" t="s">
        <v>158</v>
      </c>
      <c r="D12" s="2">
        <v>4100</v>
      </c>
      <c r="F12" s="2">
        <f t="shared" si="0"/>
        <v>5914.65</v>
      </c>
    </row>
    <row r="13" spans="1:6">
      <c r="A13" s="1">
        <v>45366</v>
      </c>
      <c r="B13" s="8" t="s">
        <v>159</v>
      </c>
      <c r="E13" s="2">
        <v>6300</v>
      </c>
      <c r="F13" s="2">
        <f t="shared" si="0"/>
        <v>-385.35000000000036</v>
      </c>
    </row>
    <row r="14" spans="1:6">
      <c r="A14" s="1">
        <v>45366</v>
      </c>
      <c r="B14" s="8" t="s">
        <v>160</v>
      </c>
      <c r="D14" s="2">
        <v>3450</v>
      </c>
      <c r="F14" s="2">
        <f t="shared" si="0"/>
        <v>3064.6499999999996</v>
      </c>
    </row>
    <row r="15" spans="1:6">
      <c r="A15" s="1">
        <v>45366</v>
      </c>
      <c r="B15" s="8" t="s">
        <v>161</v>
      </c>
      <c r="E15" s="2">
        <v>3461</v>
      </c>
      <c r="F15" s="2">
        <f t="shared" si="0"/>
        <v>-396.35000000000036</v>
      </c>
    </row>
    <row r="16" spans="1:6">
      <c r="A16" s="1">
        <v>45371</v>
      </c>
      <c r="B16" s="8" t="s">
        <v>162</v>
      </c>
      <c r="C16">
        <v>3350</v>
      </c>
      <c r="F16" s="2">
        <f t="shared" si="0"/>
        <v>-396.35000000000036</v>
      </c>
    </row>
    <row r="17" spans="1:6">
      <c r="A17" s="1">
        <v>45412</v>
      </c>
      <c r="B17" s="8" t="s">
        <v>163</v>
      </c>
      <c r="E17" s="2">
        <v>500</v>
      </c>
      <c r="F17" s="2">
        <f t="shared" si="0"/>
        <v>-896.35000000000036</v>
      </c>
    </row>
    <row r="18" spans="1:6">
      <c r="A18" s="1">
        <v>45398</v>
      </c>
      <c r="B18" s="8" t="s">
        <v>160</v>
      </c>
      <c r="D18" s="2">
        <v>3467</v>
      </c>
      <c r="E18" s="2">
        <v>3461</v>
      </c>
      <c r="F18" s="2">
        <f t="shared" si="0"/>
        <v>-890.35000000000036</v>
      </c>
    </row>
    <row r="19" spans="1:6">
      <c r="B19" s="8" t="s">
        <v>164</v>
      </c>
      <c r="E19" s="2">
        <v>7680</v>
      </c>
      <c r="F19" s="2">
        <f t="shared" si="0"/>
        <v>-8570.35</v>
      </c>
    </row>
    <row r="20" spans="1:6">
      <c r="A20" s="1">
        <v>45427</v>
      </c>
      <c r="B20" s="8" t="s">
        <v>165</v>
      </c>
      <c r="F20" s="2">
        <f t="shared" si="0"/>
        <v>-8570.35</v>
      </c>
    </row>
    <row r="21" spans="1:6">
      <c r="A21" s="1">
        <v>45442</v>
      </c>
      <c r="B21" s="8" t="s">
        <v>166</v>
      </c>
      <c r="E21" s="2">
        <v>500</v>
      </c>
      <c r="F21" s="2">
        <f t="shared" si="0"/>
        <v>-9070.35</v>
      </c>
    </row>
    <row r="22" spans="1:6">
      <c r="A22" s="1">
        <v>45442</v>
      </c>
      <c r="B22" s="3" t="s">
        <v>167</v>
      </c>
      <c r="C22" s="3"/>
      <c r="D22" s="14"/>
      <c r="E22" s="14">
        <v>120000</v>
      </c>
      <c r="F22" s="14">
        <f t="shared" si="0"/>
        <v>-129070.35</v>
      </c>
    </row>
    <row r="23" spans="1:6">
      <c r="A23" s="1">
        <v>45442</v>
      </c>
      <c r="B23" s="3" t="s">
        <v>168</v>
      </c>
      <c r="C23" s="3"/>
      <c r="D23" s="14">
        <v>21000</v>
      </c>
      <c r="E23" s="14"/>
      <c r="F23" s="14">
        <f t="shared" si="0"/>
        <v>-108070.35</v>
      </c>
    </row>
    <row r="24" spans="1:6">
      <c r="A24" s="1">
        <v>45458</v>
      </c>
      <c r="B24" s="8" t="s">
        <v>169</v>
      </c>
      <c r="D24" s="2">
        <v>3450</v>
      </c>
      <c r="F24" s="2">
        <f t="shared" si="0"/>
        <v>-104620.35</v>
      </c>
    </row>
    <row r="25" spans="1:6">
      <c r="A25" s="1">
        <v>45458</v>
      </c>
      <c r="B25" s="8" t="s">
        <v>170</v>
      </c>
      <c r="E25" s="2">
        <v>3467</v>
      </c>
      <c r="F25" s="2">
        <f t="shared" si="0"/>
        <v>-108087.35</v>
      </c>
    </row>
    <row r="26" spans="1:6">
      <c r="A26" s="1">
        <v>45453</v>
      </c>
      <c r="B26" s="8" t="s">
        <v>171</v>
      </c>
      <c r="C26">
        <v>1500</v>
      </c>
      <c r="F26" s="2">
        <f t="shared" si="0"/>
        <v>-108087.35</v>
      </c>
    </row>
    <row r="27" spans="1:6">
      <c r="B27" s="8" t="s">
        <v>172</v>
      </c>
      <c r="C27">
        <v>1300</v>
      </c>
      <c r="F27" s="2">
        <f t="shared" si="0"/>
        <v>-108087.35</v>
      </c>
    </row>
    <row r="28" spans="1:6">
      <c r="A28" s="1">
        <v>45470</v>
      </c>
      <c r="B28" s="8" t="s">
        <v>173</v>
      </c>
      <c r="D28" s="2">
        <v>20150</v>
      </c>
      <c r="F28" s="2">
        <f t="shared" si="0"/>
        <v>-87937.35</v>
      </c>
    </row>
    <row r="29" spans="1:6">
      <c r="A29" s="1">
        <v>45473</v>
      </c>
      <c r="B29" s="8" t="s">
        <v>174</v>
      </c>
      <c r="E29" s="2">
        <v>500</v>
      </c>
      <c r="F29" s="2">
        <f t="shared" si="0"/>
        <v>-88437.35</v>
      </c>
    </row>
    <row r="30" spans="1:6">
      <c r="A30" s="1">
        <v>45487</v>
      </c>
      <c r="B30" s="8" t="s">
        <v>175</v>
      </c>
      <c r="D30" s="2">
        <v>3500</v>
      </c>
      <c r="F30" s="2">
        <f t="shared" si="0"/>
        <v>-84937.35</v>
      </c>
    </row>
    <row r="31" spans="1:6">
      <c r="A31" s="1">
        <v>45487</v>
      </c>
      <c r="B31" s="8" t="s">
        <v>176</v>
      </c>
      <c r="E31" s="2">
        <v>3465.81</v>
      </c>
      <c r="F31" s="2">
        <f t="shared" si="0"/>
        <v>-88403.16</v>
      </c>
    </row>
    <row r="32" spans="1:6" ht="13.5" thickBot="1">
      <c r="A32" s="1">
        <v>45503</v>
      </c>
      <c r="B32" s="8" t="s">
        <v>177</v>
      </c>
      <c r="D32" s="66"/>
      <c r="E32" s="66">
        <v>3000</v>
      </c>
      <c r="F32" s="66">
        <f t="shared" si="0"/>
        <v>-91403.16</v>
      </c>
    </row>
    <row r="33" spans="1:6" ht="15">
      <c r="A33" s="600"/>
      <c r="B33" s="601" t="s">
        <v>178</v>
      </c>
      <c r="C33" s="601"/>
      <c r="D33" s="602"/>
      <c r="E33" s="602"/>
      <c r="F33" s="603">
        <f t="shared" si="0"/>
        <v>-91403.16</v>
      </c>
    </row>
    <row r="34" spans="1:6" ht="13.5" thickBot="1">
      <c r="A34" s="604"/>
      <c r="B34" s="585"/>
      <c r="C34" s="585"/>
      <c r="D34" s="605"/>
      <c r="E34" s="605"/>
      <c r="F34" s="606"/>
    </row>
    <row r="35" spans="1:6">
      <c r="A35" s="604"/>
      <c r="B35" s="124" t="s">
        <v>179</v>
      </c>
      <c r="C35" s="125"/>
      <c r="D35" s="126">
        <v>1466500</v>
      </c>
      <c r="E35" s="127"/>
      <c r="F35" s="128">
        <f>D35-E35</f>
        <v>1466500</v>
      </c>
    </row>
    <row r="36" spans="1:6">
      <c r="A36" s="604"/>
      <c r="B36" s="129" t="s">
        <v>180</v>
      </c>
      <c r="C36" s="497"/>
      <c r="D36" s="498">
        <v>11631</v>
      </c>
      <c r="E36" s="607"/>
      <c r="F36" s="130">
        <f t="shared" ref="F36:F51" si="1">F35+D36-E36</f>
        <v>1478131</v>
      </c>
    </row>
    <row r="37" spans="1:6">
      <c r="A37" s="604"/>
      <c r="B37" s="129" t="s">
        <v>181</v>
      </c>
      <c r="C37" s="497"/>
      <c r="D37" s="498">
        <v>15500</v>
      </c>
      <c r="E37" s="607"/>
      <c r="F37" s="130">
        <f t="shared" si="1"/>
        <v>1493631</v>
      </c>
    </row>
    <row r="38" spans="1:6" ht="13.5" thickBot="1">
      <c r="A38" s="604"/>
      <c r="B38" s="131" t="s">
        <v>182</v>
      </c>
      <c r="C38" s="132"/>
      <c r="D38" s="133"/>
      <c r="E38" s="134"/>
      <c r="F38" s="135">
        <f t="shared" si="1"/>
        <v>1493631</v>
      </c>
    </row>
    <row r="39" spans="1:6" ht="13.5" thickBot="1">
      <c r="A39" s="604"/>
      <c r="B39" s="497"/>
      <c r="C39" s="497"/>
      <c r="D39" s="498"/>
      <c r="E39" s="607"/>
      <c r="F39" s="136">
        <f t="shared" si="1"/>
        <v>1493631</v>
      </c>
    </row>
    <row r="40" spans="1:6">
      <c r="A40" s="604"/>
      <c r="B40" s="585" t="s">
        <v>183</v>
      </c>
      <c r="C40" s="585"/>
      <c r="D40" s="586"/>
      <c r="E40" s="608">
        <f>F33*-1</f>
        <v>91403.16</v>
      </c>
      <c r="F40" s="130">
        <f t="shared" si="1"/>
        <v>1402227.84</v>
      </c>
    </row>
    <row r="41" spans="1:6">
      <c r="A41" s="604"/>
      <c r="B41" s="594" t="s">
        <v>184</v>
      </c>
      <c r="C41" s="497"/>
      <c r="D41" s="498"/>
      <c r="E41" s="498">
        <v>11631</v>
      </c>
      <c r="F41" s="130">
        <f t="shared" si="1"/>
        <v>1390596.84</v>
      </c>
    </row>
    <row r="42" spans="1:6">
      <c r="A42" s="604"/>
      <c r="B42" s="594" t="s">
        <v>185</v>
      </c>
      <c r="C42" s="497"/>
      <c r="D42" s="498"/>
      <c r="E42" s="498">
        <v>15500</v>
      </c>
      <c r="F42" s="130">
        <f t="shared" si="1"/>
        <v>1375096.84</v>
      </c>
    </row>
    <row r="43" spans="1:6">
      <c r="A43" s="604"/>
      <c r="B43" s="594" t="s">
        <v>186</v>
      </c>
      <c r="C43" s="497"/>
      <c r="D43" s="607"/>
      <c r="E43" s="498">
        <v>100000</v>
      </c>
      <c r="F43" s="130">
        <f t="shared" si="1"/>
        <v>1275096.8400000001</v>
      </c>
    </row>
    <row r="44" spans="1:6">
      <c r="A44" s="604"/>
      <c r="B44" s="594" t="s">
        <v>187</v>
      </c>
      <c r="C44" s="497"/>
      <c r="D44" s="498"/>
      <c r="E44" s="498">
        <v>75000</v>
      </c>
      <c r="F44" s="130">
        <f t="shared" si="1"/>
        <v>1200096.8400000001</v>
      </c>
    </row>
    <row r="45" spans="1:6">
      <c r="A45" s="604"/>
      <c r="B45" s="594" t="s">
        <v>188</v>
      </c>
      <c r="C45" s="497"/>
      <c r="D45" s="498"/>
      <c r="E45" s="498">
        <v>59783.839999999997</v>
      </c>
      <c r="F45" s="130">
        <f t="shared" si="1"/>
        <v>1140313</v>
      </c>
    </row>
    <row r="46" spans="1:6">
      <c r="A46" s="604"/>
      <c r="B46" s="594" t="s">
        <v>189</v>
      </c>
      <c r="C46" s="497"/>
      <c r="D46" s="498"/>
      <c r="E46" s="498">
        <v>550000</v>
      </c>
      <c r="F46" s="130">
        <f t="shared" si="1"/>
        <v>590313</v>
      </c>
    </row>
    <row r="47" spans="1:6">
      <c r="A47" s="604">
        <v>45509</v>
      </c>
      <c r="B47" s="585" t="s">
        <v>190</v>
      </c>
      <c r="C47" s="497"/>
      <c r="D47" s="498"/>
      <c r="E47" s="498"/>
      <c r="F47" s="130">
        <f t="shared" si="1"/>
        <v>590313</v>
      </c>
    </row>
    <row r="48" spans="1:6">
      <c r="A48" s="604"/>
      <c r="B48" s="585" t="s">
        <v>191</v>
      </c>
      <c r="C48" s="497"/>
      <c r="D48" s="498"/>
      <c r="E48" s="498"/>
      <c r="F48" s="130">
        <f t="shared" si="1"/>
        <v>590313</v>
      </c>
    </row>
    <row r="49" spans="1:6">
      <c r="A49" s="604"/>
      <c r="B49" s="585" t="s">
        <v>192</v>
      </c>
      <c r="C49" s="497"/>
      <c r="D49" s="498"/>
      <c r="E49" s="498"/>
      <c r="F49" s="130">
        <f t="shared" si="1"/>
        <v>590313</v>
      </c>
    </row>
    <row r="50" spans="1:6">
      <c r="A50" s="604"/>
      <c r="B50" s="137" t="s">
        <v>193</v>
      </c>
      <c r="C50" s="137"/>
      <c r="D50" s="138"/>
      <c r="E50" s="138">
        <v>84313</v>
      </c>
      <c r="F50" s="130">
        <f t="shared" si="1"/>
        <v>506000</v>
      </c>
    </row>
    <row r="51" spans="1:6" ht="13.5" thickBot="1">
      <c r="A51" s="604"/>
      <c r="B51" s="594" t="s">
        <v>194</v>
      </c>
      <c r="C51" s="497"/>
      <c r="D51" s="498"/>
      <c r="E51" s="498">
        <v>68000</v>
      </c>
      <c r="F51" s="130">
        <f t="shared" si="1"/>
        <v>438000</v>
      </c>
    </row>
    <row r="52" spans="1:6">
      <c r="A52" s="604"/>
      <c r="B52" s="495" t="s">
        <v>1784</v>
      </c>
      <c r="C52" s="125"/>
      <c r="D52" s="126"/>
      <c r="E52" s="126"/>
      <c r="F52" s="484"/>
    </row>
    <row r="53" spans="1:6" s="11" customFormat="1">
      <c r="A53" s="604"/>
      <c r="B53" s="496" t="s">
        <v>1785</v>
      </c>
      <c r="C53" s="497"/>
      <c r="D53" s="498"/>
      <c r="E53" s="498"/>
      <c r="F53" s="130"/>
    </row>
    <row r="54" spans="1:6">
      <c r="A54" s="604"/>
      <c r="B54" s="496" t="s">
        <v>1744</v>
      </c>
      <c r="C54" s="497"/>
      <c r="D54" s="498"/>
      <c r="E54" s="498"/>
      <c r="F54" s="130"/>
    </row>
    <row r="55" spans="1:6" s="11" customFormat="1">
      <c r="A55" s="604"/>
      <c r="B55" s="496" t="s">
        <v>1745</v>
      </c>
      <c r="C55" s="497"/>
      <c r="D55" s="498"/>
      <c r="E55" s="498"/>
      <c r="F55" s="130"/>
    </row>
    <row r="56" spans="1:6" s="11" customFormat="1">
      <c r="A56" s="604"/>
      <c r="B56" s="496" t="s">
        <v>1743</v>
      </c>
      <c r="C56" s="497"/>
      <c r="D56" s="498"/>
      <c r="E56" s="498"/>
      <c r="F56" s="130"/>
    </row>
    <row r="57" spans="1:6" s="11" customFormat="1" ht="13.5" thickBot="1">
      <c r="A57" s="604"/>
      <c r="B57" s="503"/>
      <c r="C57" s="497">
        <v>2637</v>
      </c>
      <c r="D57" s="496" t="s">
        <v>1746</v>
      </c>
      <c r="E57" s="498"/>
      <c r="F57" s="130"/>
    </row>
    <row r="58" spans="1:6" s="11" customFormat="1" ht="13.5" thickBot="1">
      <c r="A58" s="609"/>
      <c r="B58" s="508" t="s">
        <v>1747</v>
      </c>
      <c r="C58" s="509">
        <f>F59/C57</f>
        <v>166.09783845278727</v>
      </c>
      <c r="D58" s="508" t="s">
        <v>225</v>
      </c>
      <c r="E58" s="510"/>
      <c r="F58" s="511"/>
    </row>
    <row r="59" spans="1:6" s="11" customFormat="1">
      <c r="A59" s="604"/>
      <c r="B59" s="497"/>
      <c r="C59" s="497"/>
      <c r="D59" s="498"/>
      <c r="E59" s="498"/>
      <c r="F59" s="130">
        <f>F51+D59-E59</f>
        <v>438000</v>
      </c>
    </row>
    <row r="60" spans="1:6">
      <c r="A60" s="604">
        <v>45519</v>
      </c>
      <c r="B60" s="594" t="s">
        <v>195</v>
      </c>
      <c r="C60" s="594" t="s">
        <v>112</v>
      </c>
      <c r="D60" s="498"/>
      <c r="E60" s="498">
        <v>30000</v>
      </c>
      <c r="F60" s="130">
        <f t="shared" ref="F60:F71" si="2">F59+D60-E60</f>
        <v>408000</v>
      </c>
    </row>
    <row r="61" spans="1:6">
      <c r="A61" s="604"/>
      <c r="B61" s="594" t="s">
        <v>196</v>
      </c>
      <c r="C61" s="497"/>
      <c r="D61" s="498">
        <v>200</v>
      </c>
      <c r="E61" s="498"/>
      <c r="F61" s="130">
        <f t="shared" si="2"/>
        <v>408200</v>
      </c>
    </row>
    <row r="62" spans="1:6">
      <c r="A62" s="610"/>
      <c r="B62" s="585" t="s">
        <v>197</v>
      </c>
      <c r="C62" s="585"/>
      <c r="D62" s="586"/>
      <c r="E62" s="586">
        <v>1100</v>
      </c>
      <c r="F62" s="587">
        <f t="shared" si="2"/>
        <v>407100</v>
      </c>
    </row>
    <row r="63" spans="1:6">
      <c r="A63" s="611">
        <v>45536</v>
      </c>
      <c r="B63" s="612" t="s">
        <v>198</v>
      </c>
      <c r="C63" s="612" t="s">
        <v>112</v>
      </c>
      <c r="D63" s="613"/>
      <c r="E63" s="613">
        <v>5600</v>
      </c>
      <c r="F63" s="614">
        <f t="shared" si="2"/>
        <v>401500</v>
      </c>
    </row>
    <row r="64" spans="1:6">
      <c r="A64" s="611">
        <v>45550</v>
      </c>
      <c r="B64" s="612" t="s">
        <v>199</v>
      </c>
      <c r="C64" s="612" t="s">
        <v>112</v>
      </c>
      <c r="D64" s="613"/>
      <c r="E64" s="613">
        <v>30000</v>
      </c>
      <c r="F64" s="614">
        <f t="shared" si="2"/>
        <v>371500</v>
      </c>
    </row>
    <row r="65" spans="1:6">
      <c r="A65" s="615">
        <v>45565</v>
      </c>
      <c r="B65" s="616" t="s">
        <v>200</v>
      </c>
      <c r="C65" s="616" t="s">
        <v>201</v>
      </c>
      <c r="D65" s="605"/>
      <c r="E65" s="605">
        <v>6000</v>
      </c>
      <c r="F65" s="606">
        <f t="shared" si="2"/>
        <v>365500</v>
      </c>
    </row>
    <row r="66" spans="1:6">
      <c r="A66" s="611">
        <v>45580</v>
      </c>
      <c r="B66" s="612" t="s">
        <v>202</v>
      </c>
      <c r="C66" s="612" t="s">
        <v>112</v>
      </c>
      <c r="D66" s="613"/>
      <c r="E66" s="613">
        <v>30000</v>
      </c>
      <c r="F66" s="614">
        <f t="shared" si="2"/>
        <v>335500</v>
      </c>
    </row>
    <row r="67" spans="1:6">
      <c r="A67" s="615">
        <v>45595</v>
      </c>
      <c r="B67" s="616" t="s">
        <v>203</v>
      </c>
      <c r="C67" s="616" t="s">
        <v>201</v>
      </c>
      <c r="D67" s="605"/>
      <c r="E67" s="605">
        <v>6000</v>
      </c>
      <c r="F67" s="606">
        <f t="shared" si="2"/>
        <v>329500</v>
      </c>
    </row>
    <row r="68" spans="1:6">
      <c r="A68" s="617">
        <v>45611</v>
      </c>
      <c r="B68" s="594" t="s">
        <v>204</v>
      </c>
      <c r="C68" s="618" t="s">
        <v>205</v>
      </c>
      <c r="D68" s="619"/>
      <c r="E68" s="619">
        <v>35800</v>
      </c>
      <c r="F68" s="620">
        <f t="shared" si="2"/>
        <v>293700</v>
      </c>
    </row>
    <row r="69" spans="1:6">
      <c r="A69" s="617"/>
      <c r="B69" s="594" t="s">
        <v>206</v>
      </c>
      <c r="C69" s="618"/>
      <c r="D69" s="619">
        <v>630</v>
      </c>
      <c r="E69" s="619"/>
      <c r="F69" s="620">
        <f t="shared" si="2"/>
        <v>294330</v>
      </c>
    </row>
    <row r="70" spans="1:6" s="11" customFormat="1">
      <c r="A70" s="621"/>
      <c r="B70" s="585" t="s">
        <v>1581</v>
      </c>
      <c r="C70" s="616"/>
      <c r="D70" s="586">
        <v>1000</v>
      </c>
      <c r="E70" s="586"/>
      <c r="F70" s="587">
        <f t="shared" si="2"/>
        <v>295330</v>
      </c>
    </row>
    <row r="71" spans="1:6" ht="13.5" thickBot="1">
      <c r="A71" s="622">
        <v>45641</v>
      </c>
      <c r="B71" s="623" t="s">
        <v>207</v>
      </c>
      <c r="C71" s="623" t="s">
        <v>208</v>
      </c>
      <c r="D71" s="624"/>
      <c r="E71" s="624">
        <v>38000</v>
      </c>
      <c r="F71" s="625">
        <f t="shared" si="2"/>
        <v>257330</v>
      </c>
    </row>
    <row r="72" spans="1:6" s="11" customFormat="1"/>
    <row r="75" spans="1:6" ht="13.5" thickBot="1"/>
    <row r="76" spans="1:6">
      <c r="B76" s="124" t="s">
        <v>209</v>
      </c>
      <c r="C76" s="125"/>
      <c r="D76" s="126">
        <v>1466500</v>
      </c>
      <c r="E76" s="126"/>
      <c r="F76" s="484">
        <f t="shared" ref="F76:F81" si="3">F75+D76-E76</f>
        <v>1466500</v>
      </c>
    </row>
    <row r="77" spans="1:6">
      <c r="B77" s="129" t="s">
        <v>184</v>
      </c>
      <c r="C77" s="497"/>
      <c r="D77" s="498">
        <v>11631</v>
      </c>
      <c r="E77" s="498"/>
      <c r="F77" s="130">
        <f t="shared" si="3"/>
        <v>1478131</v>
      </c>
    </row>
    <row r="78" spans="1:6">
      <c r="B78" s="129" t="s">
        <v>210</v>
      </c>
      <c r="C78" s="497"/>
      <c r="D78" s="498">
        <v>15500</v>
      </c>
      <c r="E78" s="498"/>
      <c r="F78" s="130">
        <f t="shared" si="3"/>
        <v>1493631</v>
      </c>
    </row>
    <row r="79" spans="1:6">
      <c r="B79" s="503"/>
      <c r="C79" s="497"/>
      <c r="D79" s="498"/>
      <c r="E79" s="498"/>
      <c r="F79" s="130">
        <f t="shared" si="3"/>
        <v>1493631</v>
      </c>
    </row>
    <row r="80" spans="1:6">
      <c r="B80" s="503"/>
      <c r="C80" s="497"/>
      <c r="D80" s="498"/>
      <c r="E80" s="498"/>
      <c r="F80" s="130">
        <f t="shared" si="3"/>
        <v>1493631</v>
      </c>
    </row>
    <row r="81" spans="1:6">
      <c r="B81" s="496" t="s">
        <v>211</v>
      </c>
      <c r="C81" s="585"/>
      <c r="D81" s="586"/>
      <c r="E81" s="586"/>
      <c r="F81" s="587">
        <f t="shared" si="3"/>
        <v>1493631</v>
      </c>
    </row>
    <row r="82" spans="1:6">
      <c r="B82" s="503"/>
      <c r="C82" s="497"/>
      <c r="D82" s="498"/>
      <c r="E82" s="498"/>
      <c r="F82" s="130"/>
    </row>
    <row r="83" spans="1:6">
      <c r="B83" s="588" t="s">
        <v>212</v>
      </c>
      <c r="C83" s="589" t="s">
        <v>213</v>
      </c>
      <c r="D83" s="590"/>
      <c r="E83" s="591" t="s">
        <v>214</v>
      </c>
      <c r="F83" s="592" t="s">
        <v>215</v>
      </c>
    </row>
    <row r="84" spans="1:6">
      <c r="B84" s="503"/>
      <c r="C84" s="497"/>
      <c r="D84" s="498"/>
      <c r="E84" s="498"/>
      <c r="F84" s="593">
        <f>F81+D84-E84</f>
        <v>1493631</v>
      </c>
    </row>
    <row r="85" spans="1:6">
      <c r="B85" s="503"/>
      <c r="C85" s="497"/>
      <c r="D85" s="498"/>
      <c r="E85" s="498"/>
      <c r="F85" s="130">
        <f t="shared" ref="F85:F91" si="4">F84-E85</f>
        <v>1493631</v>
      </c>
    </row>
    <row r="86" spans="1:6">
      <c r="B86" s="129" t="s">
        <v>216</v>
      </c>
      <c r="C86" s="594" t="s">
        <v>217</v>
      </c>
      <c r="D86" s="498"/>
      <c r="E86" s="498">
        <f>E44+E45</f>
        <v>134783.84</v>
      </c>
      <c r="F86" s="130">
        <f t="shared" si="4"/>
        <v>1358847.16</v>
      </c>
    </row>
    <row r="87" spans="1:6">
      <c r="B87" s="503"/>
      <c r="C87" s="497"/>
      <c r="D87" s="498"/>
      <c r="E87" s="498"/>
      <c r="F87" s="130">
        <f t="shared" si="4"/>
        <v>1358847.16</v>
      </c>
    </row>
    <row r="88" spans="1:6">
      <c r="B88" s="129" t="s">
        <v>218</v>
      </c>
      <c r="C88" s="594" t="s">
        <v>219</v>
      </c>
      <c r="D88" s="498"/>
      <c r="E88" s="498">
        <v>100000</v>
      </c>
      <c r="F88" s="130">
        <f t="shared" si="4"/>
        <v>1258847.1599999999</v>
      </c>
    </row>
    <row r="89" spans="1:6">
      <c r="B89" s="503"/>
      <c r="C89" s="497"/>
      <c r="D89" s="498"/>
      <c r="E89" s="498"/>
      <c r="F89" s="130">
        <f t="shared" si="4"/>
        <v>1258847.1599999999</v>
      </c>
    </row>
    <row r="90" spans="1:6">
      <c r="B90" s="129" t="s">
        <v>180</v>
      </c>
      <c r="C90" s="594" t="s">
        <v>220</v>
      </c>
      <c r="D90" s="498"/>
      <c r="E90" s="498">
        <v>11631</v>
      </c>
      <c r="F90" s="130">
        <f t="shared" si="4"/>
        <v>1247216.1599999999</v>
      </c>
    </row>
    <row r="91" spans="1:6">
      <c r="B91" s="129" t="s">
        <v>181</v>
      </c>
      <c r="C91" s="594" t="s">
        <v>220</v>
      </c>
      <c r="D91" s="498"/>
      <c r="E91" s="498">
        <v>15500</v>
      </c>
      <c r="F91" s="587">
        <f t="shared" si="4"/>
        <v>1231716.1599999999</v>
      </c>
    </row>
    <row r="92" spans="1:6" s="11" customFormat="1" ht="13.5" thickBot="1">
      <c r="A92" s="10"/>
      <c r="B92" s="129" t="s">
        <v>1748</v>
      </c>
      <c r="C92" s="594"/>
      <c r="D92" s="498"/>
      <c r="E92" s="498">
        <f>F33*-1</f>
        <v>91403.16</v>
      </c>
      <c r="F92" s="587">
        <f>F91-E92</f>
        <v>1140313</v>
      </c>
    </row>
    <row r="93" spans="1:6" ht="13.5" thickBot="1">
      <c r="B93" s="117"/>
      <c r="C93" s="140"/>
      <c r="D93" s="141" t="s">
        <v>221</v>
      </c>
      <c r="E93" s="584">
        <f>SUM(E86:E92)</f>
        <v>353318</v>
      </c>
      <c r="F93" s="130"/>
    </row>
    <row r="94" spans="1:6">
      <c r="B94" s="503"/>
      <c r="C94" s="497"/>
      <c r="D94" s="498"/>
      <c r="E94" s="498"/>
      <c r="F94" s="130"/>
    </row>
    <row r="95" spans="1:6" s="11" customFormat="1" ht="13.5" thickBot="1">
      <c r="A95" s="10"/>
      <c r="B95" s="503"/>
      <c r="C95" s="497"/>
      <c r="D95" s="498"/>
      <c r="E95" s="498"/>
      <c r="F95" s="587">
        <f>F92</f>
        <v>1140313</v>
      </c>
    </row>
    <row r="96" spans="1:6" s="11" customFormat="1" ht="13.5" thickBot="1">
      <c r="A96" s="10"/>
      <c r="B96" s="129" t="s">
        <v>1961</v>
      </c>
      <c r="C96" s="594" t="s">
        <v>1749</v>
      </c>
      <c r="D96" s="498"/>
      <c r="E96" s="584">
        <v>550000</v>
      </c>
      <c r="F96" s="587">
        <f>F95-E96</f>
        <v>590313</v>
      </c>
    </row>
    <row r="97" spans="1:6" s="11" customFormat="1">
      <c r="A97" s="10"/>
      <c r="B97" s="503"/>
      <c r="C97" s="497"/>
      <c r="D97" s="498"/>
      <c r="E97" s="498"/>
      <c r="F97" s="587">
        <f t="shared" ref="F97:F101" si="5">F96-E97</f>
        <v>590313</v>
      </c>
    </row>
    <row r="98" spans="1:6" s="11" customFormat="1">
      <c r="A98" s="10"/>
      <c r="B98" s="503"/>
      <c r="C98" s="497"/>
      <c r="D98" s="498"/>
      <c r="E98" s="498"/>
      <c r="F98" s="587">
        <f t="shared" si="5"/>
        <v>590313</v>
      </c>
    </row>
    <row r="99" spans="1:6" s="11" customFormat="1">
      <c r="A99" s="10"/>
      <c r="B99" s="129" t="s">
        <v>223</v>
      </c>
      <c r="C99" s="594" t="s">
        <v>222</v>
      </c>
      <c r="D99" s="498"/>
      <c r="E99" s="498">
        <v>438000</v>
      </c>
      <c r="F99" s="587">
        <f>F98-E99</f>
        <v>152313</v>
      </c>
    </row>
    <row r="100" spans="1:6" s="11" customFormat="1">
      <c r="A100" s="10"/>
      <c r="B100" s="129"/>
      <c r="C100" s="594"/>
      <c r="D100" s="498"/>
      <c r="E100" s="498"/>
      <c r="F100" s="587">
        <f t="shared" si="5"/>
        <v>152313</v>
      </c>
    </row>
    <row r="101" spans="1:6">
      <c r="B101" s="503"/>
      <c r="C101" s="497"/>
      <c r="D101" s="498"/>
      <c r="E101" s="498"/>
      <c r="F101" s="587">
        <f t="shared" si="5"/>
        <v>152313</v>
      </c>
    </row>
    <row r="102" spans="1:6" ht="13.5" thickBot="1">
      <c r="B102" s="129" t="s">
        <v>1751</v>
      </c>
      <c r="C102" s="594" t="s">
        <v>222</v>
      </c>
      <c r="D102" s="498"/>
      <c r="E102" s="498">
        <v>84313</v>
      </c>
      <c r="F102" s="587">
        <f>F101-E102</f>
        <v>68000</v>
      </c>
    </row>
    <row r="103" spans="1:6">
      <c r="B103" s="124" t="s">
        <v>1750</v>
      </c>
      <c r="C103" s="499" t="s">
        <v>222</v>
      </c>
      <c r="D103" s="498"/>
      <c r="E103" s="498">
        <v>68000</v>
      </c>
      <c r="F103" s="587">
        <f>F102-E103</f>
        <v>0</v>
      </c>
    </row>
    <row r="104" spans="1:6">
      <c r="B104" s="129" t="s">
        <v>1752</v>
      </c>
      <c r="C104" s="500"/>
      <c r="D104" s="498"/>
      <c r="E104" s="498"/>
      <c r="F104" s="130"/>
    </row>
    <row r="105" spans="1:6">
      <c r="B105" s="129" t="s">
        <v>1753</v>
      </c>
      <c r="C105" s="500"/>
      <c r="D105" s="498"/>
      <c r="E105" s="498"/>
      <c r="F105" s="130"/>
    </row>
    <row r="106" spans="1:6" ht="13.5" thickBot="1">
      <c r="B106" s="501" t="s">
        <v>1754</v>
      </c>
      <c r="C106" s="502"/>
      <c r="D106" s="498"/>
      <c r="E106" s="498"/>
      <c r="F106" s="130"/>
    </row>
    <row r="107" spans="1:6" ht="13.5" thickBot="1">
      <c r="B107" s="117"/>
      <c r="C107" s="140"/>
      <c r="D107" s="141" t="s">
        <v>224</v>
      </c>
      <c r="E107" s="584">
        <f>SUM(E99:E106)</f>
        <v>590313</v>
      </c>
      <c r="F107" s="130"/>
    </row>
    <row r="108" spans="1:6">
      <c r="B108" s="503"/>
      <c r="C108" s="497"/>
      <c r="D108" s="498"/>
      <c r="E108" s="498"/>
      <c r="F108" s="130"/>
    </row>
    <row r="109" spans="1:6" ht="13.5" thickBot="1">
      <c r="B109" s="553"/>
      <c r="C109" s="595"/>
      <c r="D109" s="596"/>
      <c r="E109" s="597">
        <f>E107+E96+E93</f>
        <v>1493631</v>
      </c>
      <c r="F109" s="598"/>
    </row>
    <row r="110" spans="1:6" ht="13.5" thickBot="1"/>
    <row r="111" spans="1:6">
      <c r="B111" s="124" t="s">
        <v>7</v>
      </c>
      <c r="C111" s="125"/>
      <c r="D111" s="126"/>
      <c r="E111" s="126"/>
      <c r="F111" s="484"/>
    </row>
    <row r="112" spans="1:6">
      <c r="B112" s="503"/>
      <c r="C112" s="497"/>
      <c r="D112" s="498"/>
      <c r="E112" s="498"/>
      <c r="F112" s="130"/>
    </row>
    <row r="113" spans="2:7">
      <c r="B113" s="503"/>
      <c r="C113" s="497"/>
      <c r="D113" s="498"/>
      <c r="E113" s="498"/>
      <c r="F113" s="130">
        <f t="shared" ref="F113:F118" si="6">F112+D113-E113</f>
        <v>0</v>
      </c>
    </row>
    <row r="114" spans="2:7">
      <c r="B114" s="129" t="s">
        <v>8</v>
      </c>
      <c r="C114" s="497"/>
      <c r="D114" s="498">
        <v>50000</v>
      </c>
      <c r="E114" s="498"/>
      <c r="F114" s="130">
        <f t="shared" si="6"/>
        <v>50000</v>
      </c>
    </row>
    <row r="115" spans="2:7">
      <c r="B115" s="129" t="s">
        <v>9</v>
      </c>
      <c r="C115" s="497"/>
      <c r="D115" s="498">
        <v>140000</v>
      </c>
      <c r="E115" s="498"/>
      <c r="F115" s="130">
        <f t="shared" si="6"/>
        <v>190000</v>
      </c>
      <c r="G115" s="11"/>
    </row>
    <row r="116" spans="2:7">
      <c r="B116" s="129" t="s">
        <v>10</v>
      </c>
      <c r="C116" s="497"/>
      <c r="D116" s="498">
        <v>195000</v>
      </c>
      <c r="E116" s="498"/>
      <c r="F116" s="130">
        <f t="shared" si="6"/>
        <v>385000</v>
      </c>
    </row>
    <row r="117" spans="2:7">
      <c r="B117" s="129" t="s">
        <v>11</v>
      </c>
      <c r="C117" s="497"/>
      <c r="D117" s="498"/>
      <c r="E117" s="498">
        <v>310000</v>
      </c>
      <c r="F117" s="130">
        <f t="shared" si="6"/>
        <v>75000</v>
      </c>
    </row>
    <row r="118" spans="2:7">
      <c r="B118" s="496" t="s">
        <v>12</v>
      </c>
      <c r="C118" s="585"/>
      <c r="D118" s="586"/>
      <c r="E118" s="586"/>
      <c r="F118" s="587">
        <f t="shared" si="6"/>
        <v>75000</v>
      </c>
    </row>
    <row r="119" spans="2:7">
      <c r="B119" s="496" t="s">
        <v>13</v>
      </c>
      <c r="C119" s="585"/>
      <c r="D119" s="586">
        <f>E86-F117</f>
        <v>59783.839999999997</v>
      </c>
      <c r="E119" s="498"/>
      <c r="F119" s="130">
        <f>F117+D119-E119</f>
        <v>134783.84</v>
      </c>
    </row>
    <row r="120" spans="2:7" ht="13.5" thickBot="1">
      <c r="B120" s="553"/>
      <c r="C120" s="595"/>
      <c r="D120" s="596"/>
      <c r="E120" s="599" t="s">
        <v>14</v>
      </c>
      <c r="F120" s="135">
        <f>F119</f>
        <v>134783.84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J82"/>
  <sheetViews>
    <sheetView topLeftCell="A79" zoomScale="170" zoomScaleNormal="170" workbookViewId="0">
      <selection activeCell="G30" sqref="G30"/>
    </sheetView>
  </sheetViews>
  <sheetFormatPr defaultColWidth="8.7109375" defaultRowHeight="12.75"/>
  <cols>
    <col min="3" max="3" width="35.42578125" customWidth="1"/>
    <col min="6" max="6" width="13" customWidth="1"/>
    <col min="7" max="7" width="13.140625" customWidth="1"/>
    <col min="8" max="8" width="12.140625" customWidth="1"/>
    <col min="10" max="10" width="12.28515625" customWidth="1"/>
  </cols>
  <sheetData>
    <row r="2" spans="1:8">
      <c r="E2" t="s">
        <v>225</v>
      </c>
      <c r="F2">
        <v>2513</v>
      </c>
    </row>
    <row r="3" spans="1:8">
      <c r="E3" t="s">
        <v>226</v>
      </c>
      <c r="F3">
        <v>4100</v>
      </c>
    </row>
    <row r="4" spans="1:8">
      <c r="E4" t="s">
        <v>227</v>
      </c>
      <c r="F4">
        <v>26.15</v>
      </c>
    </row>
    <row r="5" spans="1:8">
      <c r="E5" t="s">
        <v>228</v>
      </c>
    </row>
    <row r="7" spans="1:8">
      <c r="D7" s="142" t="s">
        <v>229</v>
      </c>
      <c r="E7" s="142" t="s">
        <v>230</v>
      </c>
      <c r="F7" s="142" t="s">
        <v>231</v>
      </c>
      <c r="G7" s="142"/>
      <c r="H7" s="142" t="s">
        <v>232</v>
      </c>
    </row>
    <row r="8" spans="1:8">
      <c r="A8" t="s">
        <v>233</v>
      </c>
      <c r="B8" s="1">
        <v>44562</v>
      </c>
      <c r="C8" s="8" t="s">
        <v>234</v>
      </c>
      <c r="D8">
        <v>94.25</v>
      </c>
      <c r="E8">
        <v>2400</v>
      </c>
      <c r="F8" s="2">
        <v>225000</v>
      </c>
      <c r="G8" s="2"/>
      <c r="H8" s="2"/>
    </row>
    <row r="9" spans="1:8">
      <c r="A9" t="s">
        <v>235</v>
      </c>
      <c r="B9" s="1">
        <v>44562</v>
      </c>
      <c r="C9" s="8" t="s">
        <v>236</v>
      </c>
      <c r="D9">
        <v>78</v>
      </c>
      <c r="E9">
        <v>4200</v>
      </c>
      <c r="F9" s="2">
        <v>325000</v>
      </c>
      <c r="G9" s="2"/>
      <c r="H9" s="2"/>
    </row>
    <row r="10" spans="1:8">
      <c r="B10" s="1"/>
      <c r="F10" s="2"/>
      <c r="G10" s="2"/>
      <c r="H10" s="2"/>
    </row>
    <row r="11" spans="1:8">
      <c r="B11" s="1">
        <v>45509</v>
      </c>
      <c r="C11" s="8" t="s">
        <v>237</v>
      </c>
      <c r="D11">
        <v>779</v>
      </c>
      <c r="E11" s="143">
        <v>710.60564599999998</v>
      </c>
      <c r="F11" s="2">
        <f>E11*D11</f>
        <v>553561.79823399999</v>
      </c>
      <c r="G11" s="2">
        <f>F11</f>
        <v>553561.79823399999</v>
      </c>
      <c r="H11" s="2">
        <f>G11</f>
        <v>553561.79823399999</v>
      </c>
    </row>
    <row r="12" spans="1:8">
      <c r="B12" s="1"/>
      <c r="F12" s="2"/>
      <c r="G12" s="2"/>
      <c r="H12" s="2"/>
    </row>
    <row r="13" spans="1:8">
      <c r="B13" s="1"/>
      <c r="F13" s="2"/>
      <c r="G13" s="2"/>
      <c r="H13" s="2"/>
    </row>
    <row r="14" spans="1:8">
      <c r="A14" t="s">
        <v>238</v>
      </c>
      <c r="B14" s="1">
        <v>45509</v>
      </c>
      <c r="C14" s="8" t="s">
        <v>239</v>
      </c>
      <c r="D14">
        <v>13</v>
      </c>
      <c r="E14" s="8">
        <f>$F$3</f>
        <v>4100</v>
      </c>
      <c r="F14" s="2">
        <f>E14*D14</f>
        <v>53300</v>
      </c>
      <c r="G14" s="2"/>
      <c r="H14" s="2">
        <f>H11+F14</f>
        <v>606861.79823399999</v>
      </c>
    </row>
    <row r="15" spans="1:8">
      <c r="B15" s="1">
        <v>45357</v>
      </c>
      <c r="C15" s="8" t="s">
        <v>240</v>
      </c>
      <c r="D15">
        <v>6</v>
      </c>
      <c r="E15" s="8">
        <f>$F$3</f>
        <v>4100</v>
      </c>
      <c r="F15" s="2">
        <f>E15*D15</f>
        <v>24600</v>
      </c>
      <c r="G15" s="2"/>
      <c r="H15" s="2">
        <f>H14+F15</f>
        <v>631461.79823399999</v>
      </c>
    </row>
    <row r="16" spans="1:8">
      <c r="B16" s="1"/>
      <c r="C16" s="8" t="s">
        <v>241</v>
      </c>
      <c r="D16">
        <v>1</v>
      </c>
      <c r="E16">
        <v>16000</v>
      </c>
      <c r="F16" s="2">
        <f>E16*D16</f>
        <v>16000</v>
      </c>
      <c r="G16" s="2"/>
      <c r="H16" s="2">
        <f>H15+F16</f>
        <v>647461.79823399999</v>
      </c>
    </row>
    <row r="17" spans="1:9">
      <c r="B17" s="1"/>
      <c r="C17" s="8" t="s">
        <v>242</v>
      </c>
      <c r="D17">
        <v>1</v>
      </c>
      <c r="E17" s="8">
        <f>$F$2</f>
        <v>2513</v>
      </c>
      <c r="F17" s="2">
        <f>E17*D17</f>
        <v>2513</v>
      </c>
      <c r="G17" s="2"/>
      <c r="H17" s="2">
        <f>H16+F17</f>
        <v>649974.79823399999</v>
      </c>
    </row>
    <row r="18" spans="1:9">
      <c r="B18" s="1"/>
      <c r="C18" s="8" t="s">
        <v>243</v>
      </c>
      <c r="D18">
        <v>10</v>
      </c>
      <c r="E18" s="8">
        <f>$F$3</f>
        <v>4100</v>
      </c>
      <c r="F18" s="2">
        <f>E18*D18</f>
        <v>41000</v>
      </c>
      <c r="G18" s="2">
        <f>SUM(F14:F18)</f>
        <v>137413</v>
      </c>
      <c r="H18" s="2">
        <f>H17+F18</f>
        <v>690974.79823399999</v>
      </c>
    </row>
    <row r="19" spans="1:9">
      <c r="B19" s="1"/>
      <c r="F19" s="2"/>
      <c r="G19" s="2"/>
      <c r="H19" s="2"/>
    </row>
    <row r="20" spans="1:9">
      <c r="A20" t="s">
        <v>220</v>
      </c>
      <c r="B20" s="1">
        <v>45509</v>
      </c>
      <c r="C20" s="8" t="s">
        <v>244</v>
      </c>
      <c r="D20">
        <v>1</v>
      </c>
      <c r="E20">
        <v>60000</v>
      </c>
      <c r="F20" s="2">
        <f t="shared" ref="F20:F25" si="0">E20*D20</f>
        <v>60000</v>
      </c>
      <c r="G20" s="2"/>
      <c r="H20" s="2">
        <f>H18+F20</f>
        <v>750974.79823399999</v>
      </c>
    </row>
    <row r="21" spans="1:9">
      <c r="B21" s="1"/>
      <c r="C21" s="8" t="s">
        <v>245</v>
      </c>
      <c r="D21">
        <v>5</v>
      </c>
      <c r="E21" s="8">
        <f>$F$2</f>
        <v>2513</v>
      </c>
      <c r="F21" s="2">
        <f t="shared" si="0"/>
        <v>12565</v>
      </c>
      <c r="G21" s="2"/>
      <c r="H21" s="2"/>
    </row>
    <row r="22" spans="1:9">
      <c r="B22" s="1"/>
      <c r="C22" s="8" t="s">
        <v>246</v>
      </c>
      <c r="D22">
        <v>32</v>
      </c>
      <c r="E22" s="143">
        <f>$F$2</f>
        <v>2513</v>
      </c>
      <c r="F22" s="2">
        <f t="shared" si="0"/>
        <v>80416</v>
      </c>
      <c r="G22" s="2"/>
      <c r="H22" s="2">
        <f>H20+F22</f>
        <v>831390.79823399999</v>
      </c>
      <c r="I22" s="8" t="s">
        <v>247</v>
      </c>
    </row>
    <row r="23" spans="1:9">
      <c r="B23" s="1"/>
      <c r="C23" s="8" t="s">
        <v>248</v>
      </c>
      <c r="D23">
        <v>93</v>
      </c>
      <c r="E23" s="143">
        <f>$F$2</f>
        <v>2513</v>
      </c>
      <c r="F23" s="2">
        <f t="shared" si="0"/>
        <v>233709</v>
      </c>
      <c r="G23" s="2"/>
      <c r="H23" s="2">
        <f>H22+F23</f>
        <v>1065099.7982339999</v>
      </c>
      <c r="I23" s="8" t="s">
        <v>247</v>
      </c>
    </row>
    <row r="24" spans="1:9">
      <c r="B24" s="1"/>
      <c r="C24" s="8" t="s">
        <v>249</v>
      </c>
      <c r="D24">
        <v>850</v>
      </c>
      <c r="E24">
        <v>31</v>
      </c>
      <c r="F24" s="2">
        <f t="shared" si="0"/>
        <v>26350</v>
      </c>
      <c r="G24" s="2"/>
      <c r="H24" s="2"/>
      <c r="I24" s="8" t="s">
        <v>247</v>
      </c>
    </row>
    <row r="25" spans="1:9">
      <c r="B25" s="1"/>
      <c r="C25" s="8" t="s">
        <v>250</v>
      </c>
      <c r="D25">
        <v>7500</v>
      </c>
      <c r="E25" s="143">
        <f>$F$4</f>
        <v>26.15</v>
      </c>
      <c r="F25" s="2">
        <f t="shared" si="0"/>
        <v>196125</v>
      </c>
      <c r="G25" s="2">
        <f>SUM(F20:F25)</f>
        <v>609165</v>
      </c>
      <c r="H25" s="2">
        <f>H23+F25</f>
        <v>1261224.7982339999</v>
      </c>
      <c r="I25" s="8" t="s">
        <v>247</v>
      </c>
    </row>
    <row r="26" spans="1:9">
      <c r="B26" s="1"/>
      <c r="H26" s="2"/>
    </row>
    <row r="27" spans="1:9">
      <c r="A27" t="s">
        <v>69</v>
      </c>
      <c r="B27" t="s">
        <v>251</v>
      </c>
      <c r="C27" t="s">
        <v>227</v>
      </c>
      <c r="D27">
        <v>471</v>
      </c>
      <c r="E27" s="143">
        <f>$F$4</f>
        <v>26.15</v>
      </c>
      <c r="F27" s="2">
        <f>E27*D27</f>
        <v>12316.65</v>
      </c>
      <c r="H27" s="2">
        <f>H25+F27</f>
        <v>1273541.4482339998</v>
      </c>
      <c r="I27" s="8" t="s">
        <v>252</v>
      </c>
    </row>
    <row r="28" spans="1:9">
      <c r="C28" t="s">
        <v>253</v>
      </c>
      <c r="D28">
        <v>31</v>
      </c>
      <c r="E28" s="143">
        <v>709</v>
      </c>
      <c r="F28" s="2">
        <f>E28*D28</f>
        <v>21979</v>
      </c>
      <c r="H28" s="2">
        <f>H27+F28</f>
        <v>1295520.4482339998</v>
      </c>
      <c r="I28" s="8" t="s">
        <v>254</v>
      </c>
    </row>
    <row r="29" spans="1:9">
      <c r="B29" t="s">
        <v>251</v>
      </c>
      <c r="C29" t="s">
        <v>255</v>
      </c>
      <c r="D29">
        <v>30</v>
      </c>
      <c r="E29" s="143">
        <v>722</v>
      </c>
      <c r="F29" s="2">
        <f>E29*D29</f>
        <v>21660</v>
      </c>
      <c r="H29" s="2">
        <f>H28+F29</f>
        <v>1317180.4482339998</v>
      </c>
      <c r="I29" s="8" t="s">
        <v>252</v>
      </c>
    </row>
    <row r="30" spans="1:9">
      <c r="C30" t="s">
        <v>256</v>
      </c>
      <c r="D30">
        <v>3680</v>
      </c>
      <c r="E30">
        <v>0.85</v>
      </c>
      <c r="F30" s="2">
        <f>E30*D30</f>
        <v>3128</v>
      </c>
      <c r="H30" s="2">
        <f>H29+F30</f>
        <v>1320308.4482339998</v>
      </c>
      <c r="I30" s="8" t="s">
        <v>257</v>
      </c>
    </row>
    <row r="31" spans="1:9">
      <c r="B31" t="s">
        <v>251</v>
      </c>
      <c r="C31" t="s">
        <v>258</v>
      </c>
      <c r="D31">
        <v>77.3</v>
      </c>
      <c r="E31">
        <f>$F$2</f>
        <v>2513</v>
      </c>
      <c r="F31" s="2">
        <f>E31*D31</f>
        <v>194254.9</v>
      </c>
      <c r="G31" s="2">
        <f>SUM(F27:F31)</f>
        <v>253338.55</v>
      </c>
      <c r="H31" s="2"/>
    </row>
    <row r="32" spans="1:9">
      <c r="H32" s="2">
        <f>H30+F32</f>
        <v>1320308.4482339998</v>
      </c>
    </row>
    <row r="33" spans="1:10">
      <c r="A33" t="s">
        <v>219</v>
      </c>
      <c r="C33" t="s">
        <v>145</v>
      </c>
      <c r="F33" s="144">
        <v>100000</v>
      </c>
      <c r="G33" s="144">
        <f>F33</f>
        <v>100000</v>
      </c>
      <c r="H33" s="2">
        <f>H32+F33</f>
        <v>1420308.4482339998</v>
      </c>
      <c r="I33" s="8" t="s">
        <v>259</v>
      </c>
    </row>
    <row r="34" spans="1:10">
      <c r="A34" t="s">
        <v>260</v>
      </c>
      <c r="C34" t="s">
        <v>145</v>
      </c>
      <c r="F34" s="144">
        <v>68000</v>
      </c>
      <c r="G34" s="144">
        <v>68000</v>
      </c>
      <c r="H34" s="2">
        <f>H33+F34</f>
        <v>1488308.4482339998</v>
      </c>
      <c r="I34" s="8" t="s">
        <v>259</v>
      </c>
    </row>
    <row r="42" spans="1:10">
      <c r="G42" t="s">
        <v>261</v>
      </c>
      <c r="J42" t="s">
        <v>262</v>
      </c>
    </row>
    <row r="43" spans="1:10">
      <c r="J43">
        <v>1500000</v>
      </c>
    </row>
    <row r="44" spans="1:10">
      <c r="C44" t="s">
        <v>263</v>
      </c>
      <c r="F44" s="144">
        <v>22058</v>
      </c>
      <c r="H44" s="2">
        <f t="shared" ref="H44:H50" si="1">H43+F44-G44</f>
        <v>22058</v>
      </c>
    </row>
    <row r="45" spans="1:10">
      <c r="A45" t="s">
        <v>69</v>
      </c>
      <c r="C45" t="s">
        <v>264</v>
      </c>
      <c r="F45" s="144">
        <v>155000</v>
      </c>
      <c r="H45" s="2">
        <f t="shared" si="1"/>
        <v>177058</v>
      </c>
    </row>
    <row r="46" spans="1:10">
      <c r="C46" t="s">
        <v>265</v>
      </c>
      <c r="F46" s="144"/>
      <c r="G46" s="145">
        <v>50000</v>
      </c>
      <c r="H46" s="2">
        <f t="shared" si="1"/>
        <v>127058</v>
      </c>
      <c r="I46" s="8" t="s">
        <v>112</v>
      </c>
      <c r="J46" s="8">
        <f>J43-G46</f>
        <v>1450000</v>
      </c>
    </row>
    <row r="47" spans="1:10">
      <c r="C47" t="s">
        <v>266</v>
      </c>
      <c r="F47" s="144">
        <v>722</v>
      </c>
      <c r="H47" s="2">
        <f t="shared" si="1"/>
        <v>127780</v>
      </c>
      <c r="I47" s="8" t="s">
        <v>267</v>
      </c>
    </row>
    <row r="48" spans="1:10">
      <c r="H48" s="2">
        <f t="shared" si="1"/>
        <v>127780</v>
      </c>
    </row>
    <row r="49" spans="2:10">
      <c r="H49" s="2">
        <f t="shared" si="1"/>
        <v>127780</v>
      </c>
    </row>
    <row r="50" spans="2:10">
      <c r="C50" t="s">
        <v>268</v>
      </c>
      <c r="F50" s="144">
        <v>12290</v>
      </c>
      <c r="G50" s="2"/>
      <c r="H50" s="14">
        <f t="shared" si="1"/>
        <v>140070</v>
      </c>
      <c r="I50" s="146" t="s">
        <v>259</v>
      </c>
      <c r="J50" s="3">
        <f>J46-G50</f>
        <v>1450000</v>
      </c>
    </row>
    <row r="51" spans="2:10">
      <c r="J51" s="14">
        <f>J50-H50</f>
        <v>1309930</v>
      </c>
    </row>
    <row r="55" spans="2:10">
      <c r="B55" s="1">
        <v>45509</v>
      </c>
      <c r="C55" s="8" t="s">
        <v>269</v>
      </c>
      <c r="D55">
        <v>779</v>
      </c>
      <c r="E55">
        <v>711.57560000000001</v>
      </c>
      <c r="F55" s="2">
        <f>E55*D55</f>
        <v>554317.39240000001</v>
      </c>
      <c r="G55" s="2"/>
      <c r="H55" s="2">
        <f t="shared" ref="H55:H62" si="2">H54+F55-G55</f>
        <v>554317.39240000001</v>
      </c>
      <c r="I55" s="8" t="s">
        <v>267</v>
      </c>
    </row>
    <row r="56" spans="2:10">
      <c r="H56" s="2">
        <f t="shared" si="2"/>
        <v>554317.39240000001</v>
      </c>
    </row>
    <row r="57" spans="2:10">
      <c r="C57" t="s">
        <v>225</v>
      </c>
      <c r="D57">
        <v>125</v>
      </c>
      <c r="E57">
        <v>2510</v>
      </c>
      <c r="F57" s="2">
        <f>E57*D57</f>
        <v>313750</v>
      </c>
      <c r="H57" s="2">
        <f t="shared" si="2"/>
        <v>868067.39240000001</v>
      </c>
      <c r="I57" s="146" t="s">
        <v>259</v>
      </c>
    </row>
    <row r="58" spans="2:10">
      <c r="C58" t="s">
        <v>270</v>
      </c>
      <c r="D58">
        <v>20</v>
      </c>
      <c r="E58">
        <v>4000</v>
      </c>
      <c r="F58" s="2">
        <f>E58*D58</f>
        <v>80000</v>
      </c>
      <c r="H58" s="2">
        <f t="shared" si="2"/>
        <v>948067.39240000001</v>
      </c>
      <c r="I58" s="146" t="s">
        <v>259</v>
      </c>
    </row>
    <row r="59" spans="2:10">
      <c r="F59" s="2"/>
      <c r="H59" s="2">
        <f t="shared" si="2"/>
        <v>948067.39240000001</v>
      </c>
      <c r="I59" s="146"/>
    </row>
    <row r="60" spans="2:10">
      <c r="C60" t="s">
        <v>271</v>
      </c>
      <c r="D60">
        <v>7500</v>
      </c>
      <c r="E60">
        <v>26.15</v>
      </c>
      <c r="F60" s="2">
        <f>E60*D60</f>
        <v>196125</v>
      </c>
      <c r="H60" s="2">
        <f t="shared" si="2"/>
        <v>1144192.3924</v>
      </c>
      <c r="I60" s="146" t="s">
        <v>259</v>
      </c>
    </row>
    <row r="61" spans="2:10">
      <c r="C61" t="s">
        <v>272</v>
      </c>
      <c r="F61">
        <v>100000</v>
      </c>
      <c r="H61" s="2">
        <f t="shared" si="2"/>
        <v>1244192.3924</v>
      </c>
      <c r="I61" s="146" t="s">
        <v>259</v>
      </c>
    </row>
    <row r="62" spans="2:10">
      <c r="C62" t="s">
        <v>273</v>
      </c>
      <c r="F62">
        <v>68000</v>
      </c>
      <c r="H62" s="14">
        <f t="shared" si="2"/>
        <v>1312192.3924</v>
      </c>
      <c r="I62" s="146" t="s">
        <v>259</v>
      </c>
    </row>
    <row r="63" spans="2:10">
      <c r="J63" s="14">
        <f>J51</f>
        <v>1309930</v>
      </c>
    </row>
    <row r="64" spans="2:10">
      <c r="J64" s="14">
        <f>J63-H62</f>
        <v>-2262.3924000000115</v>
      </c>
    </row>
    <row r="67" spans="2:9">
      <c r="B67" s="85">
        <v>45512</v>
      </c>
      <c r="C67" s="8" t="s">
        <v>274</v>
      </c>
    </row>
    <row r="69" spans="2:9">
      <c r="C69" t="s">
        <v>263</v>
      </c>
      <c r="F69" s="144">
        <v>127500</v>
      </c>
      <c r="H69" s="14">
        <f t="shared" ref="H69:H82" si="3">H68+F69-G69</f>
        <v>127500</v>
      </c>
    </row>
    <row r="70" spans="2:9">
      <c r="C70" t="s">
        <v>264</v>
      </c>
      <c r="F70" s="144"/>
      <c r="H70" s="14">
        <f t="shared" si="3"/>
        <v>127500</v>
      </c>
    </row>
    <row r="71" spans="2:9">
      <c r="C71" t="s">
        <v>265</v>
      </c>
      <c r="F71" s="144"/>
      <c r="G71" s="145">
        <v>50000</v>
      </c>
      <c r="H71" s="14">
        <f t="shared" si="3"/>
        <v>77500</v>
      </c>
      <c r="I71" s="8" t="s">
        <v>112</v>
      </c>
    </row>
    <row r="72" spans="2:9">
      <c r="C72" t="s">
        <v>266</v>
      </c>
      <c r="F72" s="144">
        <v>722</v>
      </c>
      <c r="H72" s="14">
        <f t="shared" si="3"/>
        <v>78222</v>
      </c>
      <c r="I72" s="8" t="s">
        <v>267</v>
      </c>
    </row>
    <row r="73" spans="2:9">
      <c r="C73" t="s">
        <v>11</v>
      </c>
      <c r="F73" s="144">
        <v>195000</v>
      </c>
      <c r="H73" s="14">
        <f t="shared" si="3"/>
        <v>273222</v>
      </c>
    </row>
    <row r="74" spans="2:9">
      <c r="B74" s="1">
        <v>45509</v>
      </c>
      <c r="C74" s="8" t="s">
        <v>269</v>
      </c>
      <c r="D74">
        <v>1235</v>
      </c>
      <c r="E74">
        <v>711.57560000000001</v>
      </c>
      <c r="F74" s="2">
        <f>E74*D74</f>
        <v>878795.86600000004</v>
      </c>
      <c r="G74" s="2"/>
      <c r="H74" s="14">
        <f t="shared" si="3"/>
        <v>1152017.8659999999</v>
      </c>
      <c r="I74" s="8" t="s">
        <v>267</v>
      </c>
    </row>
    <row r="75" spans="2:9">
      <c r="H75" s="14">
        <f t="shared" si="3"/>
        <v>1152017.8659999999</v>
      </c>
    </row>
    <row r="76" spans="2:9">
      <c r="F76" s="2"/>
      <c r="H76" s="14">
        <f t="shared" si="3"/>
        <v>1152017.8659999999</v>
      </c>
      <c r="I76" s="146" t="s">
        <v>259</v>
      </c>
    </row>
    <row r="77" spans="2:9">
      <c r="C77" t="s">
        <v>275</v>
      </c>
      <c r="F77" s="144">
        <v>12290</v>
      </c>
      <c r="G77" s="2"/>
      <c r="H77" s="14">
        <f t="shared" si="3"/>
        <v>1164307.8659999999</v>
      </c>
      <c r="I77" s="146" t="s">
        <v>259</v>
      </c>
    </row>
    <row r="78" spans="2:9">
      <c r="C78" t="s">
        <v>272</v>
      </c>
      <c r="F78">
        <v>100000</v>
      </c>
      <c r="H78" s="14">
        <f t="shared" si="3"/>
        <v>1264307.8659999999</v>
      </c>
      <c r="I78" s="146" t="s">
        <v>259</v>
      </c>
    </row>
    <row r="79" spans="2:9">
      <c r="C79" t="s">
        <v>273</v>
      </c>
      <c r="F79">
        <v>100000</v>
      </c>
      <c r="H79" s="14">
        <f t="shared" si="3"/>
        <v>1364307.8659999999</v>
      </c>
      <c r="I79" s="146" t="s">
        <v>259</v>
      </c>
    </row>
    <row r="80" spans="2:9">
      <c r="H80" s="14">
        <f t="shared" si="3"/>
        <v>1364307.8659999999</v>
      </c>
    </row>
    <row r="81" spans="3:9">
      <c r="C81" t="s">
        <v>276</v>
      </c>
      <c r="D81">
        <v>7500</v>
      </c>
      <c r="E81">
        <v>26.13</v>
      </c>
      <c r="F81" s="2"/>
      <c r="H81" s="14">
        <f t="shared" si="3"/>
        <v>1364307.8659999999</v>
      </c>
      <c r="I81" s="146" t="s">
        <v>259</v>
      </c>
    </row>
    <row r="82" spans="3:9">
      <c r="C82" t="s">
        <v>270</v>
      </c>
      <c r="D82">
        <v>20</v>
      </c>
      <c r="E82">
        <v>4000</v>
      </c>
      <c r="F82" s="2"/>
      <c r="G82">
        <v>1416500</v>
      </c>
      <c r="H82" s="14">
        <f t="shared" si="3"/>
        <v>-52192.134000000078</v>
      </c>
      <c r="I82" s="146" t="s">
        <v>259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68A1A"/>
  </sheetPr>
  <dimension ref="A1:N135"/>
  <sheetViews>
    <sheetView zoomScale="175" zoomScaleNormal="175" workbookViewId="0">
      <selection activeCell="C28" sqref="C28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6" customWidth="1"/>
    <col min="15" max="15" width="9.140625" customWidth="1"/>
  </cols>
  <sheetData>
    <row r="1" spans="1:14" ht="15.75">
      <c r="A1" s="16"/>
      <c r="B1" s="17"/>
      <c r="C1" s="18" t="s">
        <v>15</v>
      </c>
      <c r="D1" s="19"/>
      <c r="E1" s="20"/>
      <c r="F1" s="18" t="s">
        <v>16</v>
      </c>
      <c r="G1" s="19"/>
      <c r="H1" s="21"/>
      <c r="I1" s="22"/>
      <c r="J1" s="23"/>
      <c r="K1" s="24" t="s">
        <v>17</v>
      </c>
      <c r="L1" s="674" t="s">
        <v>18</v>
      </c>
      <c r="M1" s="674"/>
      <c r="N1" s="8" t="s">
        <v>19</v>
      </c>
    </row>
    <row r="2" spans="1:14" ht="15.75">
      <c r="A2" s="16">
        <v>-2024</v>
      </c>
      <c r="B2" s="20" t="s">
        <v>20</v>
      </c>
      <c r="C2" s="25" t="s">
        <v>21</v>
      </c>
      <c r="D2" s="19" t="s">
        <v>22</v>
      </c>
      <c r="E2" s="20" t="s">
        <v>20</v>
      </c>
      <c r="F2" s="25" t="s">
        <v>21</v>
      </c>
      <c r="G2" s="19" t="s">
        <v>3</v>
      </c>
      <c r="H2" s="21"/>
      <c r="I2" s="22"/>
      <c r="J2" s="23" t="s">
        <v>23</v>
      </c>
      <c r="K2" s="26">
        <v>0.23538400000000001</v>
      </c>
      <c r="L2" s="27">
        <f>1-K2</f>
        <v>0.76461599999999996</v>
      </c>
      <c r="M2" s="28" t="s">
        <v>24</v>
      </c>
      <c r="N2" s="8">
        <f>F115/1000</f>
        <v>698.22030499999994</v>
      </c>
    </row>
    <row r="3" spans="1:14">
      <c r="A3" t="s">
        <v>25</v>
      </c>
      <c r="B3" s="29">
        <f>'01_24'!D2</f>
        <v>340464.6</v>
      </c>
      <c r="C3" s="29">
        <f>'01_24'!E2</f>
        <v>-52469.760000000002</v>
      </c>
      <c r="D3" s="30">
        <f>B3+C3</f>
        <v>287994.83999999997</v>
      </c>
      <c r="E3" s="29">
        <f>'01_24'!F2</f>
        <v>194911.58000000002</v>
      </c>
      <c r="F3" s="29">
        <f>'01_24'!G2</f>
        <v>-66377.209999999992</v>
      </c>
      <c r="G3" s="30">
        <f>E3+F3</f>
        <v>128534.37000000002</v>
      </c>
      <c r="H3" s="31"/>
      <c r="I3" s="32" t="s">
        <v>26</v>
      </c>
      <c r="J3">
        <v>180</v>
      </c>
      <c r="K3" s="33"/>
      <c r="L3" s="34"/>
      <c r="M3" s="35">
        <f>J3</f>
        <v>180</v>
      </c>
      <c r="N3" s="8">
        <f>'01_24'!E118/1000</f>
        <v>813.15151000000003</v>
      </c>
    </row>
    <row r="4" spans="1:14">
      <c r="A4" t="s">
        <v>27</v>
      </c>
      <c r="B4" s="29">
        <f>'02_24'!D2</f>
        <v>19300</v>
      </c>
      <c r="C4" s="29">
        <f>'02_24'!E2</f>
        <v>-65325.849999999991</v>
      </c>
      <c r="D4" s="30">
        <f t="shared" ref="D4:D14" si="0">B4+C4+D3</f>
        <v>241968.99</v>
      </c>
      <c r="E4" s="29">
        <f>'02_24'!F2</f>
        <v>20543.64</v>
      </c>
      <c r="F4" s="29">
        <f>'02_24'!G2</f>
        <v>-69834.739999999991</v>
      </c>
      <c r="G4" s="30">
        <f t="shared" ref="G4:G14" si="1">E4+F4+G3</f>
        <v>79243.270000000033</v>
      </c>
      <c r="H4" s="31"/>
      <c r="I4" s="32" t="s">
        <v>28</v>
      </c>
      <c r="J4">
        <v>235</v>
      </c>
      <c r="K4" s="36">
        <f>J4*$K$2</f>
        <v>55.315240000000003</v>
      </c>
      <c r="L4" s="37">
        <f>J4-K4</f>
        <v>179.68475999999998</v>
      </c>
      <c r="M4" s="35"/>
      <c r="N4" s="8">
        <f>'02_24'!E111/1000</f>
        <v>809.24983035699995</v>
      </c>
    </row>
    <row r="5" spans="1:14">
      <c r="A5" t="s">
        <v>29</v>
      </c>
      <c r="B5" s="29">
        <f>'03_24'!D2</f>
        <v>12800</v>
      </c>
      <c r="C5" s="29">
        <f>'03_24'!E2</f>
        <v>-114592.82</v>
      </c>
      <c r="D5" s="30">
        <f t="shared" si="0"/>
        <v>140176.16999999998</v>
      </c>
      <c r="E5" s="29">
        <f>'03_24'!F2</f>
        <v>19667.489999999998</v>
      </c>
      <c r="F5" s="29">
        <f>'03_24'!G2</f>
        <v>-116144.16</v>
      </c>
      <c r="G5" s="30">
        <f t="shared" si="1"/>
        <v>-17233.39999999998</v>
      </c>
      <c r="H5" s="31"/>
      <c r="I5" s="32" t="s">
        <v>30</v>
      </c>
      <c r="K5" s="36"/>
      <c r="L5" s="34"/>
      <c r="M5" s="35">
        <f>J5</f>
        <v>0</v>
      </c>
      <c r="N5" s="8">
        <f>'03_24'!E108/1000</f>
        <v>745.85205035699994</v>
      </c>
    </row>
    <row r="6" spans="1:14">
      <c r="A6" t="s">
        <v>31</v>
      </c>
      <c r="B6" s="29">
        <f>'04_24'!D2</f>
        <v>40000</v>
      </c>
      <c r="C6" s="29">
        <f>'04_24'!E2</f>
        <v>-51710.3</v>
      </c>
      <c r="D6" s="30">
        <f t="shared" si="0"/>
        <v>128465.86999999998</v>
      </c>
      <c r="E6" s="29">
        <f>'04_24'!F2</f>
        <v>332427.62</v>
      </c>
      <c r="F6" s="29">
        <f>'04_24'!G2</f>
        <v>-86892.22</v>
      </c>
      <c r="G6" s="30">
        <f t="shared" si="1"/>
        <v>228302</v>
      </c>
      <c r="H6" s="31"/>
      <c r="I6" s="38" t="s">
        <v>32</v>
      </c>
      <c r="K6" s="36"/>
      <c r="L6" s="34"/>
      <c r="M6" s="39">
        <f>E18/1000</f>
        <v>68.505570000000006</v>
      </c>
      <c r="N6" s="8">
        <f>'04_24'!E111/1000</f>
        <v>774.2877365999999</v>
      </c>
    </row>
    <row r="7" spans="1:14">
      <c r="A7" t="s">
        <v>33</v>
      </c>
      <c r="B7" s="29">
        <f>'05_24'!D2</f>
        <v>25000</v>
      </c>
      <c r="C7" s="29">
        <f>'05_24'!E2</f>
        <v>-64525.01</v>
      </c>
      <c r="D7" s="30">
        <f t="shared" si="0"/>
        <v>88940.859999999986</v>
      </c>
      <c r="E7" s="29">
        <f>'05_24'!F2</f>
        <v>25427.620000000003</v>
      </c>
      <c r="F7" s="29">
        <f>'05_24'!G2</f>
        <v>-64483.92</v>
      </c>
      <c r="G7" s="30">
        <f t="shared" si="1"/>
        <v>189245.7</v>
      </c>
      <c r="H7" s="31"/>
      <c r="I7" s="38" t="s">
        <v>34</v>
      </c>
      <c r="K7" s="36"/>
      <c r="L7" s="37"/>
      <c r="M7" s="39">
        <f>E19/1000</f>
        <v>77.935369999999992</v>
      </c>
      <c r="N7" s="8">
        <f>'05_24'!E101/1000</f>
        <v>1018.9678865999999</v>
      </c>
    </row>
    <row r="8" spans="1:14">
      <c r="A8" t="s">
        <v>35</v>
      </c>
      <c r="B8" s="29">
        <f>'06_24'!D2</f>
        <v>33500</v>
      </c>
      <c r="C8" s="29">
        <f>'06_24'!E2</f>
        <v>-77377.563693000004</v>
      </c>
      <c r="D8" s="30">
        <f t="shared" si="0"/>
        <v>45063.296306999982</v>
      </c>
      <c r="E8" s="29">
        <f>'06_24'!F2</f>
        <v>13427.62</v>
      </c>
      <c r="F8" s="29">
        <f>'06_24'!G2</f>
        <v>-97778.153693</v>
      </c>
      <c r="G8" s="30">
        <f t="shared" si="1"/>
        <v>104895.16630700001</v>
      </c>
      <c r="H8" s="31"/>
      <c r="I8" s="32" t="s">
        <v>36</v>
      </c>
      <c r="J8">
        <v>225</v>
      </c>
      <c r="K8" s="36"/>
      <c r="L8" s="37"/>
      <c r="M8" s="35">
        <f>J8/4</f>
        <v>56.25</v>
      </c>
      <c r="N8" s="8">
        <f>'06_24'!E118/1000</f>
        <v>794.30215999999996</v>
      </c>
    </row>
    <row r="9" spans="1:14">
      <c r="A9" t="s">
        <v>37</v>
      </c>
      <c r="B9" s="29">
        <f>'07_24'!D2</f>
        <v>51000</v>
      </c>
      <c r="C9" s="29">
        <f>'07_24'!E2</f>
        <v>-85166.06</v>
      </c>
      <c r="D9" s="30">
        <f t="shared" si="0"/>
        <v>10897.236306999985</v>
      </c>
      <c r="E9" s="29">
        <f>'07_24'!F2</f>
        <v>27984.15</v>
      </c>
      <c r="F9" s="29">
        <f>'07_24'!G2</f>
        <v>-87971.62</v>
      </c>
      <c r="G9" s="30">
        <f t="shared" si="1"/>
        <v>44907.696307000013</v>
      </c>
      <c r="H9" s="31"/>
      <c r="I9" s="32" t="s">
        <v>38</v>
      </c>
      <c r="J9">
        <v>204</v>
      </c>
      <c r="K9" s="36">
        <f>J9*$K$2</f>
        <v>48.018336000000005</v>
      </c>
      <c r="L9" s="37">
        <f>J9-K9</f>
        <v>155.98166399999999</v>
      </c>
      <c r="M9" s="40"/>
      <c r="N9" s="8">
        <f>'07_24'!E133/1000</f>
        <v>981.30372722800007</v>
      </c>
    </row>
    <row r="10" spans="1:14">
      <c r="A10" t="s">
        <v>39</v>
      </c>
      <c r="B10" s="29">
        <f>'08_24'!D2</f>
        <v>195484.15</v>
      </c>
      <c r="C10" s="29">
        <f>'08_24'!E2</f>
        <v>-88440.670000000013</v>
      </c>
      <c r="D10" s="30">
        <f t="shared" si="0"/>
        <v>117940.71630699997</v>
      </c>
      <c r="E10" s="29">
        <f>'08_24'!F2</f>
        <v>28006.379999999997</v>
      </c>
      <c r="F10" s="29">
        <f>'08_24'!G2</f>
        <v>-88381.87</v>
      </c>
      <c r="G10" s="30">
        <f t="shared" si="1"/>
        <v>-15467.793692999985</v>
      </c>
      <c r="H10" s="31"/>
      <c r="I10" s="32" t="s">
        <v>40</v>
      </c>
      <c r="J10">
        <v>500</v>
      </c>
      <c r="K10" s="36"/>
      <c r="L10" s="37"/>
      <c r="M10" s="35">
        <f>J10*0.13</f>
        <v>65</v>
      </c>
      <c r="N10" s="8">
        <f>'08_24'!E125/1000</f>
        <v>981.30372722800007</v>
      </c>
    </row>
    <row r="11" spans="1:14">
      <c r="A11" t="s">
        <v>41</v>
      </c>
      <c r="B11" s="29">
        <f>'09_24'!D2</f>
        <v>36484.15</v>
      </c>
      <c r="C11" s="29">
        <f>'09_24'!E2</f>
        <v>-81364.900000000009</v>
      </c>
      <c r="D11" s="30">
        <f t="shared" si="0"/>
        <v>73059.966306999966</v>
      </c>
      <c r="E11" s="29">
        <f>'09_24'!F2</f>
        <v>98006.38</v>
      </c>
      <c r="F11" s="29">
        <f>'09_24'!G2</f>
        <v>-69863.539999999994</v>
      </c>
      <c r="G11" s="30">
        <f t="shared" si="1"/>
        <v>12675.046307000026</v>
      </c>
      <c r="H11" s="31"/>
      <c r="I11" s="32" t="s">
        <v>42</v>
      </c>
      <c r="J11">
        <v>0</v>
      </c>
      <c r="K11" s="36">
        <f>J11*$K$2</f>
        <v>0</v>
      </c>
      <c r="L11" s="37">
        <f>J11-K11</f>
        <v>0</v>
      </c>
      <c r="M11" s="35"/>
      <c r="N11" s="8">
        <f>'09_24'!E101/1000</f>
        <v>749.1965993199999</v>
      </c>
    </row>
    <row r="12" spans="1:14">
      <c r="A12" t="s">
        <v>43</v>
      </c>
      <c r="B12" s="29">
        <f>'10_24'!D2</f>
        <v>27984.15</v>
      </c>
      <c r="C12" s="29">
        <f>'10_24'!E2</f>
        <v>-126233.26999999999</v>
      </c>
      <c r="D12" s="30">
        <f t="shared" si="0"/>
        <v>-25189.153693000029</v>
      </c>
      <c r="E12" s="29">
        <f>'10_24'!F2</f>
        <v>64006.38</v>
      </c>
      <c r="F12" s="29">
        <f>'10_24'!G2</f>
        <v>-123041.59000000001</v>
      </c>
      <c r="G12" s="30">
        <f t="shared" si="1"/>
        <v>-46360.163692999988</v>
      </c>
      <c r="H12" s="31"/>
      <c r="I12" s="32" t="s">
        <v>44</v>
      </c>
      <c r="J12">
        <v>0</v>
      </c>
      <c r="K12" s="36">
        <f>J12*$K$2</f>
        <v>0</v>
      </c>
      <c r="L12" s="37">
        <f>J12-K12</f>
        <v>0</v>
      </c>
      <c r="M12" s="35"/>
      <c r="N12" s="8">
        <f>'10_24'!E136/1000</f>
        <v>726.05859999999996</v>
      </c>
    </row>
    <row r="13" spans="1:14">
      <c r="A13" t="s">
        <v>45</v>
      </c>
      <c r="B13" s="29">
        <f>'11_24'!D2</f>
        <v>277984.15000000002</v>
      </c>
      <c r="C13" s="29">
        <f>'11_24'!E2</f>
        <v>-182434.39</v>
      </c>
      <c r="D13" s="30">
        <f t="shared" si="0"/>
        <v>70360.60630699998</v>
      </c>
      <c r="E13" s="29">
        <f>'11_24'!F2</f>
        <v>212306.38</v>
      </c>
      <c r="F13" s="29">
        <f>'11_24'!G2</f>
        <v>-220559.32</v>
      </c>
      <c r="G13" s="30">
        <f t="shared" si="1"/>
        <v>-54613.10369299999</v>
      </c>
      <c r="H13" s="31"/>
      <c r="I13" s="32" t="s">
        <v>46</v>
      </c>
      <c r="J13">
        <v>219</v>
      </c>
      <c r="K13" s="36">
        <f>J13*$K$2</f>
        <v>51.549095999999999</v>
      </c>
      <c r="L13" s="37">
        <f>J13-K13</f>
        <v>167.45090400000001</v>
      </c>
      <c r="M13" s="40"/>
      <c r="N13" s="8">
        <f>'11_24'!E111/1000</f>
        <v>695.35238000000004</v>
      </c>
    </row>
    <row r="14" spans="1:14">
      <c r="A14" t="s">
        <v>47</v>
      </c>
      <c r="B14" s="29">
        <f>'12_24'!D2</f>
        <v>27984.15</v>
      </c>
      <c r="C14" s="29">
        <f>'12_24'!E2</f>
        <v>-62202.759999999995</v>
      </c>
      <c r="D14" s="30">
        <f t="shared" si="0"/>
        <v>36141.996306999987</v>
      </c>
      <c r="E14" s="29">
        <f>'12_24'!F2</f>
        <v>246925.7</v>
      </c>
      <c r="F14" s="29">
        <f>'12_24'!G2</f>
        <v>-130909.75999999999</v>
      </c>
      <c r="G14" s="30">
        <f t="shared" si="1"/>
        <v>61402.836307000027</v>
      </c>
      <c r="H14" s="31"/>
      <c r="I14" s="41" t="s">
        <v>48</v>
      </c>
      <c r="J14" s="42">
        <v>170</v>
      </c>
      <c r="K14" s="36">
        <f>J14*$K$2</f>
        <v>40.015280000000004</v>
      </c>
      <c r="L14" s="37">
        <f>J14-K14</f>
        <v>129.98471999999998</v>
      </c>
      <c r="M14" s="35"/>
      <c r="N14" s="8">
        <f>'12_24'!E125/1000</f>
        <v>676.38337999999999</v>
      </c>
    </row>
    <row r="15" spans="1:14">
      <c r="A15" s="43" t="s">
        <v>49</v>
      </c>
      <c r="B15" s="30">
        <f>SUM(B3:B14)</f>
        <v>1087985.3500000001</v>
      </c>
      <c r="C15" s="30">
        <f>SUM(C3:C14)</f>
        <v>-1051843.353693</v>
      </c>
      <c r="D15" s="30">
        <f>B15+C15</f>
        <v>36141.996307000052</v>
      </c>
      <c r="E15" s="30">
        <f>SUM(E3:E14)</f>
        <v>1283640.9400000002</v>
      </c>
      <c r="F15" s="30">
        <f>SUM(F3:F14)</f>
        <v>-1222238.103693</v>
      </c>
      <c r="G15" s="30">
        <f>E15+F15</f>
        <v>61402.836307000136</v>
      </c>
      <c r="H15" s="44"/>
      <c r="I15" s="45"/>
      <c r="J15" s="46">
        <f>SUM(J3:J14)</f>
        <v>1733</v>
      </c>
      <c r="K15" s="47">
        <f>SUM(K4:K14)</f>
        <v>194.89795200000003</v>
      </c>
      <c r="L15" s="48">
        <f>SUM(L4:L14)</f>
        <v>633.10204799999997</v>
      </c>
      <c r="M15" s="49">
        <f>M10+M8+M6+M5+M3+M7</f>
        <v>447.69094000000001</v>
      </c>
    </row>
    <row r="16" spans="1:14">
      <c r="A16" s="50">
        <v>12</v>
      </c>
      <c r="B16" s="51">
        <f>B15/A16</f>
        <v>90665.445833333346</v>
      </c>
      <c r="C16" s="52">
        <f>C15/A16</f>
        <v>-87653.612807750003</v>
      </c>
      <c r="D16" s="52"/>
      <c r="E16" s="52">
        <f>E15/A16</f>
        <v>106970.07833333335</v>
      </c>
      <c r="F16" s="52">
        <f>F15/A16</f>
        <v>-101853.17530775</v>
      </c>
      <c r="G16" s="52">
        <f>G15/A16</f>
        <v>5116.903025583345</v>
      </c>
      <c r="H16" s="53"/>
      <c r="I16" s="54"/>
      <c r="J16" s="55">
        <f>J15/12</f>
        <v>144.41666666666666</v>
      </c>
      <c r="K16" s="56">
        <f>K15/12</f>
        <v>16.241496000000001</v>
      </c>
      <c r="L16" s="57">
        <f>L15/12</f>
        <v>52.758503999999995</v>
      </c>
      <c r="M16" s="58">
        <f>M15/12</f>
        <v>37.307578333333332</v>
      </c>
      <c r="N16" s="59">
        <f>AVERAGE(N2:N15)</f>
        <v>804.89460712999994</v>
      </c>
    </row>
    <row r="17" spans="2:13">
      <c r="C17" s="2"/>
      <c r="D17" s="2"/>
      <c r="G17" s="60"/>
      <c r="H17" s="60"/>
      <c r="I17" s="32"/>
      <c r="K17" s="2" t="s">
        <v>49</v>
      </c>
      <c r="L17" s="675">
        <f>L15+M15</f>
        <v>1080.7929879999999</v>
      </c>
      <c r="M17" s="675"/>
    </row>
    <row r="18" spans="2:13">
      <c r="D18" s="61" t="s">
        <v>50</v>
      </c>
      <c r="E18" s="2">
        <f>'01_24'!F27+'02_24'!F14+'02_24'!F25+'03_24'!F19+'04_24'!F41+'05_24'!F22+'06_24'!F19+'06_24'!F31+'04_24'!F15</f>
        <v>68505.570000000007</v>
      </c>
      <c r="J18" s="32"/>
      <c r="K18" s="2" t="s">
        <v>51</v>
      </c>
      <c r="L18" s="62"/>
      <c r="M18" s="63">
        <f>L17/12</f>
        <v>90.066082333333327</v>
      </c>
    </row>
    <row r="19" spans="2:13">
      <c r="C19" s="64"/>
      <c r="D19" s="65" t="s">
        <v>52</v>
      </c>
      <c r="E19" s="66">
        <f>'07_24'!F30+'08_24'!F25+'09_24'!F19+'10_24'!F29+'11_24'!F34+'12_24'!F22</f>
        <v>77935.37</v>
      </c>
    </row>
    <row r="20" spans="2:13">
      <c r="D20" s="15" t="s">
        <v>53</v>
      </c>
      <c r="E20" s="14">
        <f>SUM(E18:E19)</f>
        <v>146440.94</v>
      </c>
    </row>
    <row r="21" spans="2:13">
      <c r="B21" s="67">
        <v>44896</v>
      </c>
    </row>
    <row r="22" spans="2:13" ht="15">
      <c r="B22" s="2">
        <v>6986.25</v>
      </c>
      <c r="C22" s="68">
        <v>0.37578499999999998</v>
      </c>
      <c r="D22" s="69">
        <v>0.49259190000000003</v>
      </c>
    </row>
    <row r="23" spans="2:13" ht="15">
      <c r="B23" s="2">
        <f>B22*C22</f>
        <v>2625.3279562499997</v>
      </c>
      <c r="C23" s="70" t="s">
        <v>54</v>
      </c>
      <c r="D23" s="2">
        <f>B22*D22</f>
        <v>3441.3701613750004</v>
      </c>
    </row>
    <row r="24" spans="2:13" ht="14.25">
      <c r="B24" s="71">
        <f>SUM(B22:B23)</f>
        <v>9611.5779562499993</v>
      </c>
      <c r="C24" s="72" t="s">
        <v>55</v>
      </c>
      <c r="D24" s="71">
        <f>D23+B22</f>
        <v>10427.620161375</v>
      </c>
    </row>
    <row r="25" spans="2:13">
      <c r="C25" s="73">
        <f>(D27/D24)-1</f>
        <v>0.24730089883567064</v>
      </c>
    </row>
    <row r="26" spans="2:13">
      <c r="C26" t="s">
        <v>56</v>
      </c>
    </row>
    <row r="27" spans="2:13">
      <c r="C27" t="s">
        <v>57</v>
      </c>
      <c r="D27">
        <v>13006.38</v>
      </c>
    </row>
    <row r="30" spans="2:13">
      <c r="B30" t="s">
        <v>277</v>
      </c>
    </row>
    <row r="31" spans="2:13">
      <c r="C31" t="s">
        <v>278</v>
      </c>
    </row>
    <row r="32" spans="2:13">
      <c r="C32" t="s">
        <v>279</v>
      </c>
    </row>
    <row r="34" spans="2:3">
      <c r="B34" t="s">
        <v>280</v>
      </c>
    </row>
    <row r="35" spans="2:3">
      <c r="C35" t="s">
        <v>281</v>
      </c>
    </row>
    <row r="36" spans="2:3">
      <c r="C36" t="s">
        <v>282</v>
      </c>
    </row>
    <row r="37" spans="2:3">
      <c r="B37" t="s">
        <v>283</v>
      </c>
    </row>
    <row r="38" spans="2:3">
      <c r="C38" t="s">
        <v>284</v>
      </c>
    </row>
    <row r="39" spans="2:3">
      <c r="C39" t="s">
        <v>285</v>
      </c>
    </row>
    <row r="40" spans="2:3">
      <c r="C40" t="s">
        <v>286</v>
      </c>
    </row>
    <row r="41" spans="2:3">
      <c r="C41" t="s">
        <v>287</v>
      </c>
    </row>
    <row r="42" spans="2:3">
      <c r="C42" t="s">
        <v>288</v>
      </c>
    </row>
    <row r="43" spans="2:3">
      <c r="B43" t="s">
        <v>289</v>
      </c>
    </row>
    <row r="44" spans="2:3">
      <c r="C44" t="s">
        <v>290</v>
      </c>
    </row>
    <row r="115" spans="2:7">
      <c r="B115" s="109" t="s">
        <v>291</v>
      </c>
      <c r="C115" s="100" t="s">
        <v>128</v>
      </c>
      <c r="D115" s="99">
        <v>2023</v>
      </c>
      <c r="E115" s="147"/>
      <c r="F115" s="148">
        <f>SUM(F116:F132)</f>
        <v>698220.30499999993</v>
      </c>
      <c r="G115" s="148"/>
    </row>
    <row r="116" spans="2:7">
      <c r="B116" s="149">
        <v>45290</v>
      </c>
      <c r="C116" s="8" t="s">
        <v>69</v>
      </c>
      <c r="D116" s="2"/>
      <c r="E116" s="2"/>
      <c r="F116" s="14">
        <v>64000</v>
      </c>
    </row>
    <row r="117" spans="2:7">
      <c r="B117" s="149">
        <f t="shared" ref="B117:B126" si="2">B116</f>
        <v>45290</v>
      </c>
      <c r="C117" s="8" t="s">
        <v>70</v>
      </c>
      <c r="D117" s="2"/>
      <c r="E117" s="2"/>
      <c r="F117" s="14">
        <v>218088</v>
      </c>
    </row>
    <row r="118" spans="2:7">
      <c r="B118" s="149">
        <f t="shared" si="2"/>
        <v>45290</v>
      </c>
      <c r="C118" s="8" t="s">
        <v>292</v>
      </c>
      <c r="D118" s="2"/>
      <c r="E118" s="2"/>
      <c r="F118" s="14">
        <v>3609.29</v>
      </c>
    </row>
    <row r="119" spans="2:7">
      <c r="B119" s="149">
        <f t="shared" si="2"/>
        <v>45290</v>
      </c>
      <c r="C119" s="8" t="s">
        <v>293</v>
      </c>
      <c r="D119" s="2"/>
      <c r="E119" s="2"/>
      <c r="F119" s="14">
        <v>122.31</v>
      </c>
    </row>
    <row r="120" spans="2:7">
      <c r="B120" s="149">
        <f t="shared" si="2"/>
        <v>45290</v>
      </c>
      <c r="C120" s="8" t="s">
        <v>294</v>
      </c>
      <c r="E120" s="2"/>
      <c r="F120" s="14">
        <v>6267.13</v>
      </c>
    </row>
    <row r="121" spans="2:7">
      <c r="B121" s="149">
        <f t="shared" si="2"/>
        <v>45290</v>
      </c>
      <c r="C121" s="8" t="s">
        <v>228</v>
      </c>
      <c r="D121" s="2" t="s">
        <v>295</v>
      </c>
      <c r="E121" s="2"/>
      <c r="F121" s="14">
        <v>21088.49</v>
      </c>
    </row>
    <row r="122" spans="2:7">
      <c r="B122" s="149">
        <f t="shared" si="2"/>
        <v>45290</v>
      </c>
      <c r="C122" s="8" t="s">
        <v>296</v>
      </c>
      <c r="D122" s="2" t="s">
        <v>297</v>
      </c>
      <c r="E122" s="2"/>
      <c r="F122" s="14">
        <v>5587.73</v>
      </c>
    </row>
    <row r="123" spans="2:7">
      <c r="B123" s="149">
        <f t="shared" si="2"/>
        <v>45290</v>
      </c>
      <c r="C123" s="8" t="s">
        <v>298</v>
      </c>
      <c r="D123" s="149">
        <v>45295</v>
      </c>
      <c r="E123" s="150">
        <v>-629.36</v>
      </c>
      <c r="F123" s="14">
        <v>4752.22</v>
      </c>
    </row>
    <row r="124" spans="2:7">
      <c r="B124" s="149">
        <f t="shared" si="2"/>
        <v>45290</v>
      </c>
      <c r="C124" s="8" t="s">
        <v>299</v>
      </c>
      <c r="D124" s="149">
        <v>45295</v>
      </c>
      <c r="E124" s="150">
        <v>-52.52</v>
      </c>
      <c r="F124" s="14">
        <v>315.38</v>
      </c>
      <c r="G124" s="60"/>
    </row>
    <row r="125" spans="2:7">
      <c r="B125" s="149">
        <f t="shared" si="2"/>
        <v>45290</v>
      </c>
      <c r="C125" s="8" t="s">
        <v>300</v>
      </c>
      <c r="D125" s="149">
        <v>45295</v>
      </c>
      <c r="E125" s="150">
        <v>-196</v>
      </c>
      <c r="F125" s="14">
        <v>295.8</v>
      </c>
    </row>
    <row r="126" spans="2:7">
      <c r="B126" s="149">
        <f t="shared" si="2"/>
        <v>45290</v>
      </c>
      <c r="C126" s="8" t="s">
        <v>301</v>
      </c>
      <c r="D126" s="149">
        <v>45295</v>
      </c>
      <c r="E126" s="150">
        <v>-669.7</v>
      </c>
      <c r="F126" s="14">
        <v>4239.3</v>
      </c>
    </row>
    <row r="127" spans="2:7">
      <c r="B127" s="149">
        <f>B120</f>
        <v>45290</v>
      </c>
      <c r="C127" s="8" t="s">
        <v>132</v>
      </c>
      <c r="D127" s="2"/>
      <c r="E127" s="2"/>
      <c r="F127" s="14">
        <v>1000</v>
      </c>
    </row>
    <row r="128" spans="2:7">
      <c r="B128" s="149">
        <f>B119</f>
        <v>45290</v>
      </c>
      <c r="C128" s="8" t="s">
        <v>302</v>
      </c>
      <c r="D128" s="2">
        <v>1928.59</v>
      </c>
      <c r="E128" s="2">
        <v>161</v>
      </c>
      <c r="F128" s="14">
        <f>E128*D128</f>
        <v>310502.99</v>
      </c>
    </row>
    <row r="129" spans="2:6">
      <c r="B129" s="149">
        <f>B128</f>
        <v>45290</v>
      </c>
      <c r="C129" s="8" t="s">
        <v>303</v>
      </c>
      <c r="D129" s="151">
        <v>29.2927</v>
      </c>
      <c r="E129" s="2">
        <v>850</v>
      </c>
      <c r="F129" s="14">
        <f>E129*D129</f>
        <v>24898.794999999998</v>
      </c>
    </row>
    <row r="130" spans="2:6">
      <c r="B130" s="149">
        <f>B129</f>
        <v>45290</v>
      </c>
      <c r="C130" s="8" t="s">
        <v>304</v>
      </c>
      <c r="D130" s="151">
        <v>32.028700000000001</v>
      </c>
      <c r="E130" s="2">
        <v>100</v>
      </c>
      <c r="F130" s="14">
        <f>E130*D130</f>
        <v>3202.87</v>
      </c>
    </row>
    <row r="131" spans="2:6">
      <c r="B131" s="149">
        <f>B130</f>
        <v>45290</v>
      </c>
      <c r="C131" s="8" t="s">
        <v>144</v>
      </c>
      <c r="D131" s="2"/>
      <c r="E131" s="2"/>
      <c r="F131" s="14">
        <v>30000</v>
      </c>
    </row>
    <row r="132" spans="2:6">
      <c r="B132" s="149">
        <f>B131</f>
        <v>45290</v>
      </c>
      <c r="C132" s="8" t="s">
        <v>145</v>
      </c>
      <c r="D132" s="2"/>
      <c r="E132" s="2"/>
      <c r="F132" s="14">
        <v>250</v>
      </c>
    </row>
    <row r="133" spans="2:6">
      <c r="D133" s="3" t="str">
        <f>B115</f>
        <v>ARALIK</v>
      </c>
      <c r="E133" s="15" t="s">
        <v>148</v>
      </c>
      <c r="F133" s="152">
        <f>H33</f>
        <v>0</v>
      </c>
    </row>
    <row r="134" spans="2:6">
      <c r="E134" s="3"/>
    </row>
    <row r="135" spans="2:6">
      <c r="E135" s="15" t="s">
        <v>147</v>
      </c>
      <c r="F135" s="9">
        <f>SUM(F116:F132)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2F0D9"/>
  </sheetPr>
  <dimension ref="A1:N196"/>
  <sheetViews>
    <sheetView topLeftCell="A3" zoomScale="145" zoomScaleNormal="145" workbookViewId="0">
      <selection activeCell="B170" sqref="B170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10" max="10" width="27.42578125" customWidth="1"/>
    <col min="11" max="11" width="6.140625" style="75" customWidth="1"/>
    <col min="12" max="12" width="14.5703125" style="75" customWidth="1"/>
    <col min="13" max="14" width="12.28515625" style="75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305</v>
      </c>
      <c r="C2" s="76" t="s">
        <v>59</v>
      </c>
      <c r="D2" s="74">
        <f>SUM(D4:D40)</f>
        <v>27984.15</v>
      </c>
      <c r="E2" s="74">
        <f>SUM(E4:E41)</f>
        <v>-62202.759999999995</v>
      </c>
      <c r="F2" s="74">
        <f>SUM(F4:F40)</f>
        <v>246925.7</v>
      </c>
      <c r="G2" s="74">
        <f>SUM(G4:G36)</f>
        <v>-130909.75999999999</v>
      </c>
      <c r="H2" s="74">
        <f>F2+G2</f>
        <v>116015.94000000002</v>
      </c>
    </row>
    <row r="3" spans="1:8">
      <c r="B3" s="15"/>
    </row>
    <row r="4" spans="1:8">
      <c r="B4" s="38"/>
      <c r="H4" s="74">
        <f t="shared" ref="H4:H34" si="0">H3+F4+G4</f>
        <v>0</v>
      </c>
    </row>
    <row r="5" spans="1:8">
      <c r="A5" s="85">
        <v>45631</v>
      </c>
      <c r="B5" s="153" t="s">
        <v>60</v>
      </c>
      <c r="C5" s="79"/>
      <c r="D5" s="80"/>
      <c r="E5" s="80">
        <f>E76</f>
        <v>-1797.23</v>
      </c>
      <c r="G5" s="74">
        <f>E5</f>
        <v>-1797.23</v>
      </c>
      <c r="H5" s="74">
        <f t="shared" si="0"/>
        <v>-1797.23</v>
      </c>
    </row>
    <row r="6" spans="1:8">
      <c r="A6" s="154">
        <v>45630</v>
      </c>
      <c r="B6" s="153" t="s">
        <v>61</v>
      </c>
      <c r="C6" s="79"/>
      <c r="D6" s="80"/>
      <c r="E6" s="80">
        <f>E91</f>
        <v>-9239.0299999999988</v>
      </c>
      <c r="G6" s="74">
        <f>E6</f>
        <v>-9239.0299999999988</v>
      </c>
      <c r="H6" s="74">
        <f t="shared" si="0"/>
        <v>-11036.259999999998</v>
      </c>
    </row>
    <row r="7" spans="1:8">
      <c r="A7" s="85">
        <v>45630</v>
      </c>
      <c r="B7" s="155" t="s">
        <v>62</v>
      </c>
      <c r="C7" s="155"/>
      <c r="D7" s="80"/>
      <c r="E7" s="80">
        <v>-1500</v>
      </c>
      <c r="G7" s="74">
        <v>-1512.13</v>
      </c>
      <c r="H7" s="74">
        <f t="shared" si="0"/>
        <v>-12548.39</v>
      </c>
    </row>
    <row r="8" spans="1:8">
      <c r="B8" s="155" t="s">
        <v>63</v>
      </c>
      <c r="C8" s="155"/>
      <c r="D8" s="80"/>
      <c r="E8" s="80">
        <v>-17500</v>
      </c>
      <c r="G8" s="74">
        <v>-17500</v>
      </c>
      <c r="H8" s="74">
        <f t="shared" si="0"/>
        <v>-30048.39</v>
      </c>
    </row>
    <row r="9" spans="1:8">
      <c r="B9" s="153" t="s">
        <v>64</v>
      </c>
      <c r="C9" s="79"/>
      <c r="D9" s="80"/>
      <c r="E9" s="80">
        <f>E71*-1</f>
        <v>0</v>
      </c>
      <c r="H9" s="74">
        <f t="shared" si="0"/>
        <v>-30048.39</v>
      </c>
    </row>
    <row r="10" spans="1:8">
      <c r="B10" s="79"/>
      <c r="C10" s="79"/>
      <c r="D10" s="80"/>
      <c r="E10" s="80"/>
      <c r="H10" s="74">
        <f t="shared" si="0"/>
        <v>-30048.39</v>
      </c>
    </row>
    <row r="11" spans="1:8">
      <c r="A11" s="85">
        <v>45630</v>
      </c>
      <c r="B11" s="79" t="s">
        <v>90</v>
      </c>
      <c r="C11" s="79" t="s">
        <v>306</v>
      </c>
      <c r="D11" s="80" t="s">
        <v>307</v>
      </c>
      <c r="E11" s="80">
        <v>-1380</v>
      </c>
      <c r="H11" s="74">
        <f t="shared" si="0"/>
        <v>-30048.39</v>
      </c>
    </row>
    <row r="12" spans="1:8">
      <c r="A12" s="85">
        <v>45630</v>
      </c>
      <c r="B12" s="79" t="s">
        <v>90</v>
      </c>
      <c r="C12" s="79" t="s">
        <v>308</v>
      </c>
      <c r="D12" s="80" t="s">
        <v>307</v>
      </c>
      <c r="E12" s="156">
        <v>-1380</v>
      </c>
      <c r="H12" s="74">
        <f t="shared" si="0"/>
        <v>-30048.39</v>
      </c>
    </row>
    <row r="13" spans="1:8">
      <c r="A13" s="85">
        <v>45630</v>
      </c>
      <c r="B13" s="155" t="s">
        <v>309</v>
      </c>
      <c r="C13" s="79"/>
      <c r="D13" s="80" t="s">
        <v>307</v>
      </c>
      <c r="E13" s="156">
        <v>-1415</v>
      </c>
      <c r="H13" s="74">
        <f t="shared" si="0"/>
        <v>-30048.39</v>
      </c>
    </row>
    <row r="14" spans="1:8">
      <c r="A14" s="85">
        <v>45630</v>
      </c>
      <c r="B14" s="155" t="s">
        <v>310</v>
      </c>
      <c r="C14" s="79"/>
      <c r="D14" s="80" t="s">
        <v>307</v>
      </c>
      <c r="E14" s="156">
        <v>-141.5</v>
      </c>
      <c r="H14" s="74">
        <f t="shared" si="0"/>
        <v>-30048.39</v>
      </c>
    </row>
    <row r="15" spans="1:8">
      <c r="B15" s="79" t="s">
        <v>311</v>
      </c>
      <c r="C15" s="79"/>
      <c r="D15" s="80"/>
      <c r="E15" s="80"/>
      <c r="G15" s="74">
        <v>-60000</v>
      </c>
      <c r="H15" s="74">
        <f t="shared" si="0"/>
        <v>-90048.39</v>
      </c>
    </row>
    <row r="16" spans="1:8">
      <c r="B16" s="79" t="s">
        <v>312</v>
      </c>
      <c r="C16" s="79"/>
      <c r="D16" s="80"/>
      <c r="E16" s="80"/>
      <c r="G16" s="74">
        <v>-19000</v>
      </c>
      <c r="H16" s="74">
        <f t="shared" si="0"/>
        <v>-109048.39</v>
      </c>
    </row>
    <row r="17" spans="1:13">
      <c r="B17" s="79" t="s">
        <v>313</v>
      </c>
      <c r="C17" s="157"/>
      <c r="D17" s="80"/>
      <c r="E17" s="80"/>
      <c r="F17" s="74">
        <v>219000</v>
      </c>
      <c r="H17" s="74">
        <f t="shared" si="0"/>
        <v>109951.61</v>
      </c>
    </row>
    <row r="18" spans="1:13">
      <c r="B18" s="79" t="s">
        <v>314</v>
      </c>
      <c r="C18" s="79"/>
      <c r="D18" s="80"/>
      <c r="E18" s="80"/>
      <c r="F18" s="74">
        <v>15000</v>
      </c>
      <c r="H18" s="74">
        <f t="shared" si="0"/>
        <v>124951.61</v>
      </c>
    </row>
    <row r="19" spans="1:13">
      <c r="A19" s="85">
        <v>45642</v>
      </c>
      <c r="B19" s="158" t="s">
        <v>65</v>
      </c>
      <c r="C19" s="158" t="s">
        <v>315</v>
      </c>
      <c r="D19" s="80"/>
      <c r="E19" s="80">
        <v>-300</v>
      </c>
      <c r="G19" s="74">
        <v>-2035</v>
      </c>
      <c r="H19" s="74">
        <f t="shared" si="0"/>
        <v>122916.61</v>
      </c>
    </row>
    <row r="20" spans="1:13">
      <c r="A20" s="85">
        <v>45642</v>
      </c>
      <c r="B20" s="158" t="s">
        <v>66</v>
      </c>
      <c r="C20" s="158" t="s">
        <v>315</v>
      </c>
      <c r="D20" s="80"/>
      <c r="E20" s="80">
        <v>-100</v>
      </c>
      <c r="G20" s="74">
        <v>-40</v>
      </c>
      <c r="H20" s="74">
        <f t="shared" si="0"/>
        <v>122876.61</v>
      </c>
    </row>
    <row r="21" spans="1:13">
      <c r="A21" s="85">
        <v>45638</v>
      </c>
      <c r="B21" s="155" t="s">
        <v>67</v>
      </c>
      <c r="C21" s="155" t="s">
        <v>315</v>
      </c>
      <c r="D21" s="80"/>
      <c r="E21" s="80">
        <v>-150</v>
      </c>
      <c r="G21" s="74">
        <v>-262.37</v>
      </c>
      <c r="H21" s="74">
        <f t="shared" si="0"/>
        <v>122614.24</v>
      </c>
    </row>
    <row r="22" spans="1:13">
      <c r="A22" s="85">
        <v>45653</v>
      </c>
      <c r="B22" s="79" t="s">
        <v>68</v>
      </c>
      <c r="C22" s="79"/>
      <c r="D22" s="156">
        <v>12984.15</v>
      </c>
      <c r="E22" s="80"/>
      <c r="F22" s="74">
        <v>12925.7</v>
      </c>
      <c r="H22" s="74">
        <f t="shared" si="0"/>
        <v>135539.94</v>
      </c>
      <c r="J22" s="90"/>
      <c r="K22" s="90"/>
      <c r="L22" s="91"/>
      <c r="M22" s="92"/>
    </row>
    <row r="23" spans="1:13">
      <c r="B23" s="79" t="s">
        <v>69</v>
      </c>
      <c r="C23" s="79"/>
      <c r="D23" s="80"/>
      <c r="E23" s="80">
        <v>-6500</v>
      </c>
      <c r="G23" s="74">
        <v>-6512</v>
      </c>
      <c r="H23" s="74">
        <f t="shared" si="0"/>
        <v>129027.94</v>
      </c>
      <c r="J23" s="90"/>
      <c r="K23" s="90"/>
      <c r="L23" s="91"/>
      <c r="M23" s="92"/>
    </row>
    <row r="24" spans="1:13">
      <c r="B24" s="79" t="s">
        <v>70</v>
      </c>
      <c r="C24" s="79"/>
      <c r="D24" s="80"/>
      <c r="E24" s="80">
        <v>-6500</v>
      </c>
      <c r="G24" s="74">
        <v>-6512</v>
      </c>
      <c r="H24" s="74">
        <f t="shared" si="0"/>
        <v>122515.94</v>
      </c>
      <c r="J24" s="90"/>
      <c r="K24" s="90"/>
      <c r="L24" s="91"/>
      <c r="M24" s="92"/>
    </row>
    <row r="25" spans="1:13">
      <c r="B25" s="79" t="s">
        <v>71</v>
      </c>
      <c r="C25" s="79"/>
      <c r="D25" s="80"/>
      <c r="E25" s="80">
        <v>-6500</v>
      </c>
      <c r="G25" s="74">
        <v>-6500</v>
      </c>
      <c r="H25" s="74">
        <f t="shared" si="0"/>
        <v>116015.94</v>
      </c>
      <c r="J25" s="90"/>
      <c r="K25" s="90"/>
      <c r="L25" s="91"/>
      <c r="M25" s="92"/>
    </row>
    <row r="26" spans="1:13">
      <c r="H26" s="74">
        <f t="shared" si="0"/>
        <v>116015.94</v>
      </c>
      <c r="J26" s="90"/>
      <c r="K26" s="90"/>
      <c r="L26" s="91"/>
      <c r="M26" s="92"/>
    </row>
    <row r="27" spans="1:13">
      <c r="B27" s="97"/>
      <c r="C27" s="97"/>
      <c r="H27" s="74">
        <f t="shared" si="0"/>
        <v>116015.94</v>
      </c>
      <c r="J27" s="90"/>
      <c r="K27" s="90"/>
      <c r="L27" s="91"/>
      <c r="M27" s="92"/>
    </row>
    <row r="28" spans="1:13">
      <c r="B28" s="155" t="s">
        <v>72</v>
      </c>
      <c r="C28" s="155"/>
      <c r="D28" s="80"/>
      <c r="E28" s="80">
        <v>-400</v>
      </c>
      <c r="H28" s="74">
        <f t="shared" si="0"/>
        <v>116015.94</v>
      </c>
      <c r="J28" s="90"/>
      <c r="K28" s="90"/>
      <c r="L28" s="91"/>
      <c r="M28" s="92"/>
    </row>
    <row r="29" spans="1:13">
      <c r="B29" s="155" t="s">
        <v>73</v>
      </c>
      <c r="C29" s="155"/>
      <c r="D29" s="80"/>
      <c r="E29" s="80">
        <v>-500</v>
      </c>
      <c r="H29" s="74">
        <f t="shared" si="0"/>
        <v>116015.94</v>
      </c>
      <c r="J29" s="90"/>
      <c r="K29" s="90"/>
      <c r="L29" s="91"/>
      <c r="M29" s="92"/>
    </row>
    <row r="30" spans="1:13">
      <c r="A30" s="375">
        <v>45671</v>
      </c>
      <c r="B30" s="374" t="s">
        <v>104</v>
      </c>
      <c r="D30" s="373">
        <v>15000</v>
      </c>
      <c r="H30" s="74">
        <f t="shared" si="0"/>
        <v>116015.94</v>
      </c>
    </row>
    <row r="31" spans="1:13">
      <c r="H31" s="74">
        <f t="shared" si="0"/>
        <v>116015.94</v>
      </c>
    </row>
    <row r="32" spans="1:13">
      <c r="A32" s="96"/>
      <c r="H32" s="74">
        <f t="shared" si="0"/>
        <v>116015.94</v>
      </c>
    </row>
    <row r="33" spans="1:8">
      <c r="A33" s="96"/>
      <c r="H33" s="74">
        <f t="shared" si="0"/>
        <v>116015.94</v>
      </c>
    </row>
    <row r="34" spans="1:8">
      <c r="H34" s="74">
        <f t="shared" si="0"/>
        <v>116015.94</v>
      </c>
    </row>
    <row r="36" spans="1:8">
      <c r="A36" s="94">
        <v>45655</v>
      </c>
      <c r="B36" s="8" t="s">
        <v>90</v>
      </c>
      <c r="C36" s="8" t="s">
        <v>102</v>
      </c>
      <c r="E36" s="74">
        <v>-1380</v>
      </c>
    </row>
    <row r="37" spans="1:8">
      <c r="A37" s="94">
        <v>45686</v>
      </c>
      <c r="B37" s="8" t="s">
        <v>90</v>
      </c>
      <c r="C37" s="8" t="s">
        <v>103</v>
      </c>
      <c r="E37" s="74">
        <v>-1380</v>
      </c>
    </row>
    <row r="38" spans="1:8">
      <c r="A38" s="94">
        <v>45716</v>
      </c>
      <c r="B38" s="8" t="s">
        <v>90</v>
      </c>
      <c r="C38" s="8" t="s">
        <v>97</v>
      </c>
      <c r="E38" s="74">
        <v>-1380</v>
      </c>
    </row>
    <row r="39" spans="1:8">
      <c r="A39" s="94">
        <v>45745</v>
      </c>
      <c r="B39" s="8" t="s">
        <v>90</v>
      </c>
      <c r="C39" s="8" t="s">
        <v>93</v>
      </c>
      <c r="E39" s="74">
        <v>-1380</v>
      </c>
    </row>
    <row r="40" spans="1:8">
      <c r="A40" s="94">
        <v>45776</v>
      </c>
      <c r="B40" s="8" t="s">
        <v>90</v>
      </c>
      <c r="C40" s="8" t="s">
        <v>316</v>
      </c>
      <c r="E40" s="74">
        <v>-1380</v>
      </c>
    </row>
    <row r="41" spans="1:8">
      <c r="A41" s="94"/>
    </row>
    <row r="42" spans="1:8">
      <c r="B42" s="97"/>
      <c r="C42" s="97"/>
    </row>
    <row r="43" spans="1:8">
      <c r="B43" s="95" t="s">
        <v>106</v>
      </c>
      <c r="C43" s="97"/>
    </row>
    <row r="44" spans="1:8">
      <c r="B44" s="95" t="s">
        <v>107</v>
      </c>
      <c r="C44" s="97"/>
    </row>
    <row r="45" spans="1:8">
      <c r="B45" s="97" t="s">
        <v>108</v>
      </c>
      <c r="C45" s="97"/>
    </row>
    <row r="46" spans="1:8">
      <c r="B46" s="97" t="s">
        <v>109</v>
      </c>
      <c r="C46" s="97"/>
    </row>
    <row r="47" spans="1:8">
      <c r="B47" s="97" t="s">
        <v>110</v>
      </c>
      <c r="C47" s="97"/>
    </row>
    <row r="48" spans="1:8">
      <c r="B48" s="97"/>
      <c r="C48" s="97"/>
    </row>
    <row r="49" spans="1:13">
      <c r="C49" s="75"/>
      <c r="D49" s="75"/>
      <c r="E49" s="75"/>
      <c r="F49" s="75">
        <f>E55</f>
        <v>93450</v>
      </c>
      <c r="J49" s="90"/>
      <c r="K49" s="90"/>
      <c r="L49" s="91"/>
      <c r="M49" s="92"/>
    </row>
    <row r="50" spans="1:13">
      <c r="B50" s="106" t="s">
        <v>111</v>
      </c>
      <c r="C50" s="75">
        <v>8</v>
      </c>
      <c r="D50" s="90">
        <v>250</v>
      </c>
      <c r="E50" s="75">
        <f>D50*C50</f>
        <v>2000</v>
      </c>
      <c r="F50" s="75">
        <f>F49-E50</f>
        <v>91450</v>
      </c>
      <c r="G50" s="74" t="s">
        <v>112</v>
      </c>
      <c r="J50" s="90"/>
      <c r="K50" s="90"/>
      <c r="L50" s="91"/>
      <c r="M50" s="92"/>
    </row>
    <row r="51" spans="1:13">
      <c r="B51" s="106" t="s">
        <v>113</v>
      </c>
      <c r="C51" s="90">
        <v>2</v>
      </c>
      <c r="D51" s="90">
        <v>250</v>
      </c>
      <c r="E51" s="75">
        <f>D51*C51</f>
        <v>500</v>
      </c>
      <c r="F51" s="75">
        <f>F50-E51</f>
        <v>90950</v>
      </c>
      <c r="G51" s="74" t="s">
        <v>112</v>
      </c>
      <c r="J51" s="90"/>
      <c r="K51" s="90"/>
      <c r="L51" s="91"/>
      <c r="M51" s="92"/>
    </row>
    <row r="52" spans="1:13">
      <c r="B52" s="106" t="s">
        <v>114</v>
      </c>
      <c r="C52" s="75">
        <v>11</v>
      </c>
      <c r="D52" s="75">
        <v>250</v>
      </c>
      <c r="E52" s="75">
        <f>D52*C52</f>
        <v>2750</v>
      </c>
      <c r="F52" s="75">
        <f>F51-E52</f>
        <v>88200</v>
      </c>
      <c r="G52" s="74" t="s">
        <v>112</v>
      </c>
      <c r="J52" s="90"/>
      <c r="K52" s="90"/>
      <c r="L52" s="91"/>
      <c r="M52" s="92"/>
    </row>
    <row r="53" spans="1:13">
      <c r="B53" s="106" t="s">
        <v>115</v>
      </c>
      <c r="C53" s="74">
        <v>1</v>
      </c>
      <c r="D53" s="74">
        <v>8595</v>
      </c>
      <c r="E53" s="74">
        <f>D53*C53</f>
        <v>8595</v>
      </c>
      <c r="F53" s="75">
        <f>F52-E53</f>
        <v>79605</v>
      </c>
      <c r="G53" s="3" t="s">
        <v>116</v>
      </c>
      <c r="J53" s="90"/>
      <c r="K53" s="90"/>
      <c r="L53" s="91"/>
      <c r="M53" s="92"/>
    </row>
    <row r="54" spans="1:13">
      <c r="B54" s="106" t="s">
        <v>115</v>
      </c>
      <c r="C54" s="74">
        <v>9</v>
      </c>
      <c r="D54" s="74">
        <v>8845</v>
      </c>
      <c r="E54" s="74">
        <f>D54*C54</f>
        <v>79605</v>
      </c>
      <c r="F54" s="75">
        <f>F53-E54</f>
        <v>0</v>
      </c>
      <c r="G54" s="3" t="s">
        <v>116</v>
      </c>
      <c r="J54" s="90"/>
      <c r="K54" s="90"/>
      <c r="L54" s="91"/>
      <c r="M54" s="92"/>
    </row>
    <row r="55" spans="1:13">
      <c r="B55" s="90"/>
      <c r="C55" s="90"/>
      <c r="D55" s="107" t="s">
        <v>59</v>
      </c>
      <c r="E55" s="108">
        <f>SUM(E50:E54)</f>
        <v>93450</v>
      </c>
      <c r="F55" s="75"/>
      <c r="J55" s="90"/>
      <c r="K55" s="90"/>
      <c r="L55" s="91"/>
      <c r="M55" s="92"/>
    </row>
    <row r="56" spans="1:13">
      <c r="B56" s="97"/>
      <c r="C56" s="97"/>
      <c r="J56" s="90"/>
      <c r="K56" s="90"/>
      <c r="L56" s="91"/>
      <c r="M56" s="92"/>
    </row>
    <row r="57" spans="1:13">
      <c r="B57" s="97"/>
      <c r="C57" s="97"/>
      <c r="J57" s="90"/>
      <c r="K57" s="90"/>
      <c r="L57" s="91"/>
      <c r="M57" s="92"/>
    </row>
    <row r="58" spans="1:13">
      <c r="A58" s="94"/>
    </row>
    <row r="59" spans="1:13">
      <c r="A59" s="85"/>
    </row>
    <row r="60" spans="1:13">
      <c r="A60" s="85"/>
    </row>
    <row r="62" spans="1:13">
      <c r="B62" t="s">
        <v>317</v>
      </c>
    </row>
    <row r="63" spans="1:13">
      <c r="A63" s="99" t="s">
        <v>318</v>
      </c>
      <c r="B63" s="99"/>
      <c r="C63" s="99"/>
    </row>
    <row r="64" spans="1:13">
      <c r="A64" s="96"/>
      <c r="C64" s="160"/>
    </row>
    <row r="65" spans="1:5">
      <c r="A65" s="161">
        <v>44929</v>
      </c>
      <c r="B65" s="162" t="s">
        <v>319</v>
      </c>
      <c r="C65" s="99"/>
      <c r="D65" s="74">
        <f>SUM(D66:D71)</f>
        <v>0</v>
      </c>
      <c r="E65" s="74">
        <f>SUM(E66:E71)</f>
        <v>0</v>
      </c>
    </row>
    <row r="66" spans="1:5">
      <c r="A66" s="96"/>
      <c r="B66" s="102" t="s">
        <v>320</v>
      </c>
    </row>
    <row r="67" spans="1:5">
      <c r="B67" t="s">
        <v>321</v>
      </c>
    </row>
    <row r="68" spans="1:5">
      <c r="B68" t="s">
        <v>322</v>
      </c>
    </row>
    <row r="69" spans="1:5">
      <c r="B69" t="s">
        <v>323</v>
      </c>
    </row>
    <row r="70" spans="1:5">
      <c r="B70" t="s">
        <v>324</v>
      </c>
    </row>
    <row r="71" spans="1:5">
      <c r="B71" t="s">
        <v>325</v>
      </c>
      <c r="C71" s="102"/>
    </row>
    <row r="72" spans="1:5">
      <c r="C72" s="102"/>
    </row>
    <row r="74" spans="1:5">
      <c r="B74" s="14"/>
    </row>
    <row r="75" spans="1:5">
      <c r="B75" s="98"/>
    </row>
    <row r="76" spans="1:5">
      <c r="A76" s="99"/>
      <c r="B76" s="100" t="s">
        <v>75</v>
      </c>
      <c r="C76" s="99"/>
      <c r="E76" s="74">
        <f>SUM(E77:E88)</f>
        <v>-1797.23</v>
      </c>
    </row>
    <row r="78" spans="1:5">
      <c r="A78" s="85">
        <v>45373</v>
      </c>
      <c r="B78" s="8" t="s">
        <v>326</v>
      </c>
      <c r="C78">
        <v>10176.39</v>
      </c>
      <c r="D78" s="74" t="s">
        <v>327</v>
      </c>
      <c r="E78" s="74">
        <v>-1130.71</v>
      </c>
    </row>
    <row r="79" spans="1:5">
      <c r="A79" s="85">
        <v>45375</v>
      </c>
      <c r="B79" s="8" t="s">
        <v>328</v>
      </c>
      <c r="C79">
        <v>5999</v>
      </c>
      <c r="D79" s="74" t="s">
        <v>327</v>
      </c>
      <c r="E79" s="74">
        <v>-666.52</v>
      </c>
    </row>
    <row r="80" spans="1:5">
      <c r="A80" s="85"/>
    </row>
    <row r="81" spans="1:5" ht="15">
      <c r="A81" s="85"/>
      <c r="C81" s="101" t="s">
        <v>76</v>
      </c>
    </row>
    <row r="83" spans="1:5">
      <c r="A83" s="96"/>
      <c r="B83" s="102"/>
      <c r="C83" s="102"/>
    </row>
    <row r="84" spans="1:5">
      <c r="A84" s="96"/>
      <c r="B84" s="102"/>
      <c r="C84" s="102"/>
    </row>
    <row r="85" spans="1:5">
      <c r="A85" s="96"/>
      <c r="B85" s="103"/>
      <c r="C85" s="102"/>
    </row>
    <row r="86" spans="1:5">
      <c r="A86" s="96"/>
      <c r="B86" s="103"/>
      <c r="C86" s="102"/>
    </row>
    <row r="87" spans="1:5">
      <c r="A87" s="96"/>
      <c r="B87" s="103"/>
    </row>
    <row r="88" spans="1:5">
      <c r="A88" s="96"/>
      <c r="B88" s="103"/>
      <c r="C88" s="102"/>
    </row>
    <row r="89" spans="1:5">
      <c r="A89" s="96"/>
      <c r="B89" s="3"/>
    </row>
    <row r="90" spans="1:5">
      <c r="A90" s="96"/>
      <c r="B90" s="102"/>
      <c r="C90" s="102"/>
    </row>
    <row r="91" spans="1:5">
      <c r="A91" s="99"/>
      <c r="B91" s="100" t="s">
        <v>77</v>
      </c>
      <c r="C91" s="99"/>
      <c r="E91" s="74">
        <f>SUM(E92:E110)</f>
        <v>-9239.0299999999988</v>
      </c>
    </row>
    <row r="92" spans="1:5">
      <c r="A92" s="96"/>
      <c r="B92" s="102"/>
      <c r="C92" s="102"/>
    </row>
    <row r="93" spans="1:5">
      <c r="A93" s="96"/>
      <c r="B93" s="102"/>
      <c r="C93" s="102"/>
    </row>
    <row r="94" spans="1:5">
      <c r="A94" s="96"/>
      <c r="B94" s="3" t="s">
        <v>329</v>
      </c>
      <c r="C94" s="102"/>
      <c r="E94" s="74">
        <v>-429.88</v>
      </c>
    </row>
    <row r="95" spans="1:5">
      <c r="A95" s="96"/>
      <c r="B95" s="3" t="s">
        <v>330</v>
      </c>
      <c r="C95" s="102"/>
      <c r="E95" s="74">
        <v>-654.99</v>
      </c>
    </row>
    <row r="96" spans="1:5">
      <c r="A96" s="96"/>
      <c r="B96" s="3" t="s">
        <v>331</v>
      </c>
      <c r="C96" s="102"/>
      <c r="E96" s="74">
        <v>-1600</v>
      </c>
    </row>
    <row r="97" spans="1:5">
      <c r="A97" s="96"/>
      <c r="B97" s="3" t="s">
        <v>119</v>
      </c>
      <c r="C97" s="102"/>
      <c r="E97" s="74">
        <v>-125.48</v>
      </c>
    </row>
    <row r="98" spans="1:5">
      <c r="A98" s="96"/>
      <c r="B98" s="3" t="s">
        <v>119</v>
      </c>
      <c r="C98" s="102"/>
      <c r="E98" s="74">
        <v>-297.45</v>
      </c>
    </row>
    <row r="99" spans="1:5">
      <c r="A99" s="96"/>
      <c r="B99" s="3" t="s">
        <v>119</v>
      </c>
      <c r="C99" s="102"/>
      <c r="E99" s="74">
        <v>-174</v>
      </c>
    </row>
    <row r="100" spans="1:5">
      <c r="A100" s="96"/>
      <c r="B100" s="3" t="s">
        <v>119</v>
      </c>
      <c r="C100" s="102"/>
      <c r="E100" s="74">
        <v>-49</v>
      </c>
    </row>
    <row r="101" spans="1:5">
      <c r="A101" s="96"/>
      <c r="B101" s="3" t="s">
        <v>119</v>
      </c>
      <c r="C101" s="102"/>
      <c r="E101" s="74">
        <v>-29.9</v>
      </c>
    </row>
    <row r="102" spans="1:5">
      <c r="A102" s="96"/>
      <c r="B102" s="3" t="s">
        <v>332</v>
      </c>
      <c r="C102" s="102"/>
      <c r="E102" s="74">
        <v>-525</v>
      </c>
    </row>
    <row r="103" spans="1:5">
      <c r="A103" s="96"/>
      <c r="B103" s="3" t="s">
        <v>119</v>
      </c>
      <c r="C103" s="102"/>
      <c r="E103" s="74">
        <v>-257.33</v>
      </c>
    </row>
    <row r="104" spans="1:5">
      <c r="A104" s="96"/>
      <c r="B104" s="3" t="s">
        <v>333</v>
      </c>
      <c r="C104" s="102"/>
      <c r="E104" s="74">
        <v>-84.95</v>
      </c>
    </row>
    <row r="105" spans="1:5">
      <c r="A105" s="96"/>
      <c r="B105" s="3" t="s">
        <v>121</v>
      </c>
      <c r="C105" s="102">
        <v>129000.63</v>
      </c>
    </row>
    <row r="106" spans="1:5">
      <c r="A106" s="96"/>
      <c r="B106" s="3" t="s">
        <v>334</v>
      </c>
      <c r="C106" s="102"/>
      <c r="E106" s="74">
        <v>-500</v>
      </c>
    </row>
    <row r="107" spans="1:5">
      <c r="A107" s="96"/>
      <c r="B107" s="3" t="s">
        <v>333</v>
      </c>
      <c r="C107" s="102"/>
      <c r="E107" s="74">
        <v>-886.3</v>
      </c>
    </row>
    <row r="108" spans="1:5">
      <c r="A108" s="96"/>
      <c r="B108" s="3" t="s">
        <v>333</v>
      </c>
      <c r="C108" s="102"/>
      <c r="E108" s="74">
        <v>-99.75</v>
      </c>
    </row>
    <row r="109" spans="1:5">
      <c r="A109" s="96">
        <v>45606</v>
      </c>
      <c r="B109" s="3" t="s">
        <v>335</v>
      </c>
      <c r="C109" s="102"/>
      <c r="E109" s="74">
        <v>-3525</v>
      </c>
    </row>
    <row r="110" spans="1:5">
      <c r="A110" s="96"/>
      <c r="B110" s="3"/>
      <c r="C110" s="102"/>
    </row>
    <row r="111" spans="1:5" ht="15">
      <c r="A111" s="96"/>
      <c r="B111" s="3"/>
      <c r="C111" s="101" t="s">
        <v>76</v>
      </c>
    </row>
    <row r="112" spans="1:5">
      <c r="A112" s="96"/>
      <c r="B112" s="3"/>
      <c r="C112" s="102"/>
    </row>
    <row r="113" spans="1:5">
      <c r="A113" s="96"/>
      <c r="B113" s="3"/>
      <c r="C113" s="102"/>
    </row>
    <row r="114" spans="1:5">
      <c r="A114" s="96"/>
      <c r="B114" s="3"/>
      <c r="C114" s="102"/>
    </row>
    <row r="115" spans="1:5">
      <c r="A115" s="96"/>
      <c r="B115" s="3"/>
      <c r="C115" s="102"/>
    </row>
    <row r="116" spans="1:5">
      <c r="A116" s="96"/>
      <c r="B116" s="3"/>
      <c r="C116" s="102"/>
    </row>
    <row r="117" spans="1:5">
      <c r="A117" s="96"/>
      <c r="B117" s="3"/>
      <c r="C117" s="102"/>
    </row>
    <row r="118" spans="1:5">
      <c r="A118" s="96"/>
      <c r="B118" s="3"/>
      <c r="C118" s="102"/>
    </row>
    <row r="119" spans="1:5">
      <c r="A119" s="96"/>
      <c r="B119" s="3"/>
      <c r="C119" s="102"/>
    </row>
    <row r="120" spans="1:5">
      <c r="A120" s="96"/>
      <c r="B120" s="3"/>
      <c r="C120" s="102"/>
    </row>
    <row r="121" spans="1:5">
      <c r="A121" s="96"/>
      <c r="B121" s="3"/>
      <c r="C121" s="102"/>
    </row>
    <row r="122" spans="1:5">
      <c r="A122" s="96"/>
      <c r="B122" s="3"/>
      <c r="C122" s="102"/>
    </row>
    <row r="125" spans="1:5">
      <c r="A125" s="109" t="s">
        <v>336</v>
      </c>
      <c r="B125" s="100" t="s">
        <v>128</v>
      </c>
      <c r="C125" s="99">
        <v>2024</v>
      </c>
      <c r="E125" s="74">
        <f>SUM(E126:E148)</f>
        <v>676383.38</v>
      </c>
    </row>
    <row r="126" spans="1:5">
      <c r="A126" s="96"/>
      <c r="B126" s="8" t="s">
        <v>69</v>
      </c>
      <c r="E126" s="74">
        <v>0</v>
      </c>
    </row>
    <row r="127" spans="1:5">
      <c r="A127" s="96"/>
      <c r="B127" s="8" t="s">
        <v>70</v>
      </c>
    </row>
    <row r="128" spans="1:5">
      <c r="A128" s="96"/>
      <c r="B128" s="8" t="s">
        <v>130</v>
      </c>
      <c r="C128" s="471">
        <v>329500</v>
      </c>
      <c r="D128" s="12">
        <v>34170</v>
      </c>
      <c r="E128" s="12">
        <f>C128-D128</f>
        <v>295330</v>
      </c>
    </row>
    <row r="129" spans="1:6">
      <c r="A129" s="96"/>
    </row>
    <row r="130" spans="1:6">
      <c r="A130" s="96"/>
      <c r="B130" s="8" t="s">
        <v>131</v>
      </c>
      <c r="C130" s="2"/>
      <c r="D130" s="2"/>
      <c r="E130" s="14">
        <v>21084</v>
      </c>
    </row>
    <row r="131" spans="1:6">
      <c r="A131" s="96"/>
      <c r="C131" s="2"/>
      <c r="D131" s="2"/>
      <c r="E131" s="14"/>
    </row>
    <row r="132" spans="1:6">
      <c r="A132" s="96"/>
      <c r="B132" s="8" t="s">
        <v>133</v>
      </c>
      <c r="C132" s="2">
        <v>40</v>
      </c>
      <c r="D132" s="163">
        <v>852</v>
      </c>
      <c r="E132" s="14">
        <f>D132*C132</f>
        <v>34080</v>
      </c>
    </row>
    <row r="133" spans="1:6">
      <c r="A133" s="96"/>
      <c r="B133" s="8" t="s">
        <v>134</v>
      </c>
      <c r="C133" s="2">
        <v>4000</v>
      </c>
      <c r="D133" s="2">
        <v>31</v>
      </c>
      <c r="E133" s="14">
        <f>D133*C133</f>
        <v>124000</v>
      </c>
      <c r="F133" s="14">
        <f>SUM(E132:E133)</f>
        <v>158080</v>
      </c>
    </row>
    <row r="134" spans="1:6">
      <c r="A134" s="96"/>
      <c r="C134" s="2"/>
      <c r="D134" s="2"/>
    </row>
    <row r="135" spans="1:6">
      <c r="A135" s="96"/>
      <c r="B135" s="8" t="s">
        <v>135</v>
      </c>
      <c r="C135" s="164">
        <v>125000</v>
      </c>
      <c r="D135" s="163">
        <v>0.77971599999999996</v>
      </c>
      <c r="E135" s="14">
        <f>D135*C135</f>
        <v>97464.5</v>
      </c>
    </row>
    <row r="136" spans="1:6">
      <c r="A136" s="96"/>
      <c r="B136" s="8" t="s">
        <v>136</v>
      </c>
      <c r="C136" s="2">
        <v>10</v>
      </c>
      <c r="D136" s="2">
        <v>103.7</v>
      </c>
      <c r="E136" s="14">
        <f>D136*C136</f>
        <v>1037</v>
      </c>
    </row>
    <row r="137" spans="1:6">
      <c r="A137" s="96"/>
      <c r="B137" s="8" t="s">
        <v>137</v>
      </c>
      <c r="C137" s="2">
        <v>38</v>
      </c>
      <c r="D137" s="2">
        <v>21.42</v>
      </c>
      <c r="E137" s="14">
        <f>D137*C137</f>
        <v>813.96</v>
      </c>
    </row>
    <row r="138" spans="1:6">
      <c r="A138" s="96"/>
      <c r="B138" s="8" t="s">
        <v>138</v>
      </c>
      <c r="C138" s="2">
        <v>26</v>
      </c>
      <c r="D138" s="2">
        <v>25.92</v>
      </c>
      <c r="E138" s="14">
        <f>D138*C138</f>
        <v>673.92000000000007</v>
      </c>
      <c r="F138" s="14">
        <f>SUM(E135:E138)</f>
        <v>99989.38</v>
      </c>
    </row>
    <row r="139" spans="1:6">
      <c r="A139" s="96"/>
      <c r="B139" s="8" t="s">
        <v>132</v>
      </c>
      <c r="C139" s="2"/>
      <c r="D139" s="2"/>
    </row>
    <row r="140" spans="1:6">
      <c r="A140" s="96"/>
    </row>
    <row r="141" spans="1:6">
      <c r="A141" s="96"/>
      <c r="B141" s="8" t="s">
        <v>337</v>
      </c>
      <c r="C141" s="2">
        <v>2900</v>
      </c>
      <c r="D141" s="2">
        <v>1</v>
      </c>
      <c r="E141" s="14">
        <f>D141*C141</f>
        <v>2900</v>
      </c>
    </row>
    <row r="142" spans="1:6">
      <c r="A142" s="96"/>
      <c r="B142" s="8" t="s">
        <v>140</v>
      </c>
      <c r="C142" s="2">
        <v>4900</v>
      </c>
      <c r="D142" s="2">
        <v>16</v>
      </c>
      <c r="E142" s="14">
        <f>D142*C142</f>
        <v>78400</v>
      </c>
    </row>
    <row r="143" spans="1:6">
      <c r="A143" s="96"/>
      <c r="B143" s="8" t="s">
        <v>141</v>
      </c>
      <c r="C143" s="2">
        <v>19600</v>
      </c>
      <c r="D143" s="2">
        <v>1</v>
      </c>
      <c r="E143" s="14">
        <f>D143*C143</f>
        <v>19600</v>
      </c>
      <c r="F143" s="14">
        <f>SUM(E141:E143)</f>
        <v>100900</v>
      </c>
    </row>
    <row r="144" spans="1:6">
      <c r="A144" s="96"/>
      <c r="C144" s="2"/>
      <c r="D144" s="2"/>
    </row>
    <row r="145" spans="1:5">
      <c r="A145" s="96"/>
      <c r="B145" s="8" t="s">
        <v>142</v>
      </c>
      <c r="C145" s="116">
        <v>33.250599999999999</v>
      </c>
      <c r="D145" s="2"/>
      <c r="E145" s="14"/>
    </row>
    <row r="146" spans="1:5">
      <c r="A146" s="96"/>
      <c r="B146" s="8" t="s">
        <v>143</v>
      </c>
      <c r="C146" s="116">
        <v>36.854999999999997</v>
      </c>
      <c r="D146" s="2"/>
      <c r="E146" s="14"/>
    </row>
    <row r="147" spans="1:5">
      <c r="A147" s="96"/>
      <c r="B147" s="8" t="s">
        <v>144</v>
      </c>
      <c r="C147" s="2"/>
      <c r="D147" s="2"/>
      <c r="E147" s="14">
        <v>0</v>
      </c>
    </row>
    <row r="148" spans="1:5">
      <c r="A148" s="96"/>
      <c r="B148" s="8" t="s">
        <v>145</v>
      </c>
      <c r="C148" s="2"/>
      <c r="D148" s="2"/>
      <c r="E148" s="14">
        <v>1000</v>
      </c>
    </row>
    <row r="149" spans="1:5">
      <c r="A149" s="96"/>
      <c r="E149" s="165"/>
    </row>
    <row r="150" spans="1:5">
      <c r="A150" s="96"/>
      <c r="C150" s="120"/>
      <c r="D150" s="3"/>
      <c r="E150" s="120"/>
    </row>
    <row r="151" spans="1:5">
      <c r="A151" s="96"/>
      <c r="C151" s="120"/>
      <c r="D151" s="15" t="s">
        <v>147</v>
      </c>
      <c r="E151" s="9">
        <f>SUM(E126:E148)</f>
        <v>676383.38</v>
      </c>
    </row>
    <row r="152" spans="1:5">
      <c r="A152" s="96"/>
      <c r="C152" s="121" t="str">
        <f>A125</f>
        <v>ARALIKa</v>
      </c>
      <c r="D152" s="122" t="s">
        <v>148</v>
      </c>
      <c r="E152" s="123" t="e">
        <f>#REF!</f>
        <v>#REF!</v>
      </c>
    </row>
    <row r="153" spans="1:5">
      <c r="A153" s="96"/>
    </row>
    <row r="154" spans="1:5">
      <c r="A154" s="96"/>
    </row>
    <row r="155" spans="1:5">
      <c r="A155" s="96"/>
    </row>
    <row r="160" spans="1:5">
      <c r="B160" s="3" t="s">
        <v>338</v>
      </c>
    </row>
    <row r="161" spans="1:8">
      <c r="B161" s="3" t="s">
        <v>339</v>
      </c>
    </row>
    <row r="162" spans="1:8">
      <c r="B162" s="3" t="s">
        <v>340</v>
      </c>
    </row>
    <row r="163" spans="1:8">
      <c r="B163" s="137"/>
    </row>
    <row r="165" spans="1:8">
      <c r="A165" s="109" t="s">
        <v>341</v>
      </c>
      <c r="B165" s="100" t="s">
        <v>128</v>
      </c>
      <c r="C165" s="99">
        <v>2024</v>
      </c>
      <c r="G165" s="74">
        <f>SUM(G169:G192)</f>
        <v>815483.7</v>
      </c>
    </row>
    <row r="166" spans="1:8">
      <c r="A166" s="109"/>
      <c r="B166" s="100"/>
      <c r="C166" s="99"/>
    </row>
    <row r="167" spans="1:8">
      <c r="A167" s="109"/>
      <c r="B167" s="100"/>
      <c r="C167" s="99"/>
      <c r="E167" s="74" t="s">
        <v>129</v>
      </c>
    </row>
    <row r="168" spans="1:8">
      <c r="A168" s="96"/>
      <c r="B168" s="8" t="s">
        <v>69</v>
      </c>
    </row>
    <row r="169" spans="1:8">
      <c r="A169" s="96"/>
      <c r="B169" s="8" t="s">
        <v>70</v>
      </c>
      <c r="G169" s="74">
        <v>0</v>
      </c>
    </row>
    <row r="170" spans="1:8">
      <c r="A170" s="96"/>
      <c r="B170" s="8" t="s">
        <v>238</v>
      </c>
      <c r="E170" s="471">
        <v>295330</v>
      </c>
      <c r="F170" s="12">
        <v>38000</v>
      </c>
      <c r="G170" s="12">
        <f>E170-F170</f>
        <v>257330</v>
      </c>
    </row>
    <row r="171" spans="1:8">
      <c r="A171" s="96"/>
    </row>
    <row r="172" spans="1:8">
      <c r="A172" s="96"/>
      <c r="B172" s="8" t="s">
        <v>131</v>
      </c>
      <c r="C172" s="2"/>
      <c r="D172" s="2"/>
      <c r="G172" s="14">
        <v>195002.23999999999</v>
      </c>
    </row>
    <row r="173" spans="1:8">
      <c r="A173" s="96"/>
      <c r="C173" s="2"/>
      <c r="D173" s="2"/>
      <c r="G173" s="14"/>
    </row>
    <row r="174" spans="1:8">
      <c r="A174" s="96">
        <v>45553</v>
      </c>
      <c r="B174" s="79" t="s">
        <v>133</v>
      </c>
      <c r="C174" s="110">
        <v>40</v>
      </c>
      <c r="D174" s="111">
        <v>752.55561799999998</v>
      </c>
      <c r="E174" s="112">
        <f>D174*C174</f>
        <v>30102.224719999998</v>
      </c>
      <c r="F174" s="74">
        <v>864</v>
      </c>
      <c r="G174" s="14">
        <f>F174*C174</f>
        <v>34560</v>
      </c>
    </row>
    <row r="175" spans="1:8">
      <c r="A175" s="96">
        <v>45620</v>
      </c>
      <c r="B175" s="79" t="s">
        <v>134</v>
      </c>
      <c r="C175" s="110">
        <v>4000</v>
      </c>
      <c r="D175" s="110">
        <v>32.479999999999997</v>
      </c>
      <c r="E175" s="112">
        <f>D175*C175</f>
        <v>129919.99999999999</v>
      </c>
      <c r="F175" s="74">
        <v>30.95</v>
      </c>
      <c r="G175" s="14">
        <f>F175*C175</f>
        <v>123800</v>
      </c>
      <c r="H175" s="14">
        <f>SUM(G174:G175)</f>
        <v>158360</v>
      </c>
    </row>
    <row r="176" spans="1:8">
      <c r="A176" s="96"/>
      <c r="B176" s="79"/>
      <c r="C176" s="110"/>
      <c r="D176" s="110"/>
      <c r="E176" s="112"/>
      <c r="G176" s="14"/>
      <c r="H176" s="14"/>
    </row>
    <row r="177" spans="1:8">
      <c r="A177" s="96"/>
      <c r="C177" s="2"/>
      <c r="D177" s="2"/>
      <c r="E177" s="14"/>
      <c r="F177" s="74">
        <f>(SUM(G174:G175))-(SUM(E174:E175))</f>
        <v>-1662.2247199999983</v>
      </c>
      <c r="G177" s="14"/>
      <c r="H177" s="14"/>
    </row>
    <row r="178" spans="1:8">
      <c r="A178" s="96"/>
      <c r="C178" s="2"/>
      <c r="D178" s="2"/>
    </row>
    <row r="179" spans="1:8">
      <c r="A179" s="96">
        <v>45345</v>
      </c>
      <c r="B179" s="8" t="s">
        <v>135</v>
      </c>
      <c r="C179" s="164">
        <v>125000</v>
      </c>
      <c r="D179" s="74">
        <v>1.0399430000000001</v>
      </c>
      <c r="E179" s="14">
        <f>D179*C179</f>
        <v>129992.87500000001</v>
      </c>
      <c r="F179" s="163">
        <v>0.78469999999999995</v>
      </c>
      <c r="G179" s="14">
        <f>F179*C179</f>
        <v>98087.5</v>
      </c>
    </row>
    <row r="180" spans="1:8">
      <c r="A180" s="96">
        <v>45400</v>
      </c>
      <c r="B180" s="8" t="s">
        <v>136</v>
      </c>
      <c r="C180" s="2">
        <v>10</v>
      </c>
      <c r="D180" s="74">
        <v>135</v>
      </c>
      <c r="E180" s="14">
        <f>D180*C180</f>
        <v>1350</v>
      </c>
      <c r="F180" s="2">
        <v>127.3</v>
      </c>
      <c r="G180" s="14">
        <f>F180*C180</f>
        <v>1273</v>
      </c>
    </row>
    <row r="181" spans="1:8">
      <c r="A181" s="96">
        <v>45418</v>
      </c>
      <c r="B181" s="8" t="s">
        <v>137</v>
      </c>
      <c r="C181" s="2">
        <v>38</v>
      </c>
      <c r="D181" s="74">
        <v>30.5</v>
      </c>
      <c r="E181" s="14">
        <f>D181*C181</f>
        <v>1159</v>
      </c>
      <c r="F181" s="2">
        <v>20.14</v>
      </c>
      <c r="G181" s="14">
        <f>F181*C181</f>
        <v>765.32</v>
      </c>
    </row>
    <row r="182" spans="1:8">
      <c r="A182" s="96">
        <v>45418</v>
      </c>
      <c r="B182" s="8" t="s">
        <v>138</v>
      </c>
      <c r="C182" s="2">
        <v>26</v>
      </c>
      <c r="D182" s="74">
        <v>37.115000000000002</v>
      </c>
      <c r="E182" s="14">
        <f>D182*C182</f>
        <v>964.99</v>
      </c>
      <c r="F182" s="2">
        <v>27.14</v>
      </c>
      <c r="G182" s="14">
        <f>F182*C182</f>
        <v>705.64</v>
      </c>
      <c r="H182" s="14">
        <f>SUM(G179:G182)</f>
        <v>100831.46</v>
      </c>
    </row>
    <row r="183" spans="1:8">
      <c r="A183" s="96"/>
      <c r="B183" s="8" t="s">
        <v>132</v>
      </c>
      <c r="C183" s="2"/>
      <c r="D183" s="2"/>
      <c r="E183" s="14"/>
      <c r="F183" s="74">
        <f>(SUM(G179:G182))-(SUM(E179:E182))</f>
        <v>-32635.404999999984</v>
      </c>
    </row>
    <row r="184" spans="1:8">
      <c r="A184" s="96"/>
      <c r="E184" s="14"/>
    </row>
    <row r="185" spans="1:8">
      <c r="A185" s="96"/>
      <c r="B185" s="8" t="s">
        <v>139</v>
      </c>
      <c r="C185" s="2">
        <v>1</v>
      </c>
      <c r="D185" s="74">
        <v>2500</v>
      </c>
      <c r="E185" s="14">
        <f>D185*C185</f>
        <v>2500</v>
      </c>
      <c r="F185" s="2">
        <v>2960</v>
      </c>
      <c r="G185" s="14">
        <f>C185*F185</f>
        <v>2960</v>
      </c>
    </row>
    <row r="186" spans="1:8">
      <c r="A186" s="96"/>
      <c r="B186" s="8" t="s">
        <v>140</v>
      </c>
      <c r="C186" s="2">
        <v>16</v>
      </c>
      <c r="D186" s="74">
        <v>4100</v>
      </c>
      <c r="E186" s="14">
        <f>D186*C186</f>
        <v>65600</v>
      </c>
      <c r="F186" s="2">
        <v>5000</v>
      </c>
      <c r="G186" s="14">
        <f>C186*F186</f>
        <v>80000</v>
      </c>
    </row>
    <row r="187" spans="1:8">
      <c r="A187" s="96"/>
      <c r="B187" s="8" t="s">
        <v>141</v>
      </c>
      <c r="C187" s="2">
        <v>1</v>
      </c>
      <c r="D187" s="74">
        <v>16200</v>
      </c>
      <c r="E187" s="14">
        <f>D187*C187</f>
        <v>16200</v>
      </c>
      <c r="F187" s="2">
        <v>20000</v>
      </c>
      <c r="G187" s="14">
        <f>C187*F187</f>
        <v>20000</v>
      </c>
      <c r="H187" s="14">
        <f>SUM(G185:G187)</f>
        <v>102960</v>
      </c>
    </row>
    <row r="188" spans="1:8">
      <c r="A188" s="96"/>
      <c r="C188" s="2"/>
      <c r="D188" s="2"/>
      <c r="F188" s="74">
        <f>(SUM(G185:G187))-(SUM(E185:E187))</f>
        <v>18660</v>
      </c>
    </row>
    <row r="189" spans="1:8">
      <c r="A189" s="96"/>
      <c r="B189" s="8" t="s">
        <v>142</v>
      </c>
      <c r="C189" s="116">
        <v>33.250599999999999</v>
      </c>
      <c r="D189" s="2"/>
      <c r="G189" s="14"/>
    </row>
    <row r="190" spans="1:8">
      <c r="A190" s="96"/>
      <c r="B190" s="8" t="s">
        <v>143</v>
      </c>
      <c r="C190" s="116">
        <v>36.854999999999997</v>
      </c>
      <c r="D190" s="2"/>
      <c r="G190" s="14"/>
    </row>
    <row r="191" spans="1:8">
      <c r="A191" s="96"/>
      <c r="B191" s="8" t="s">
        <v>144</v>
      </c>
      <c r="C191" s="2"/>
      <c r="D191" s="2"/>
      <c r="G191" s="14">
        <v>0</v>
      </c>
    </row>
    <row r="192" spans="1:8">
      <c r="A192" s="96"/>
      <c r="B192" s="8" t="s">
        <v>145</v>
      </c>
      <c r="C192" s="2"/>
      <c r="D192" s="2"/>
      <c r="G192" s="14">
        <v>1000</v>
      </c>
    </row>
    <row r="193" spans="1:7">
      <c r="A193" s="96"/>
      <c r="F193" s="74">
        <f>F188+F183+F177</f>
        <v>-15637.629719999983</v>
      </c>
      <c r="G193" s="165"/>
    </row>
    <row r="194" spans="1:7">
      <c r="A194" s="96"/>
      <c r="C194" s="120"/>
      <c r="D194" s="3"/>
      <c r="G194" s="120"/>
    </row>
    <row r="195" spans="1:7">
      <c r="A195" s="96"/>
      <c r="C195" s="120"/>
      <c r="D195" s="15" t="s">
        <v>147</v>
      </c>
      <c r="G195" s="9">
        <f>SUM(G169:G192)</f>
        <v>815483.7</v>
      </c>
    </row>
    <row r="196" spans="1:7">
      <c r="A196" s="96"/>
      <c r="C196" s="121" t="str">
        <f>A165</f>
        <v>OCAK 2025 e</v>
      </c>
      <c r="D196" s="122" t="s">
        <v>148</v>
      </c>
      <c r="G196" s="12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2F0D9"/>
  </sheetPr>
  <dimension ref="A1:H137"/>
  <sheetViews>
    <sheetView topLeftCell="A13" zoomScale="145" zoomScaleNormal="145" workbookViewId="0">
      <selection activeCell="B114" sqref="B11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342</v>
      </c>
      <c r="C2" s="76" t="s">
        <v>59</v>
      </c>
      <c r="D2" s="74">
        <f>SUM(D4:D38)</f>
        <v>277984.15000000002</v>
      </c>
      <c r="E2" s="74">
        <f>SUM(E4:E38)</f>
        <v>-182434.39</v>
      </c>
      <c r="F2" s="74">
        <f>SUM(F4:F38)</f>
        <v>212306.38</v>
      </c>
      <c r="G2" s="74">
        <f>SUM(G4:G38)</f>
        <v>-220559.32</v>
      </c>
      <c r="H2" s="74">
        <f>F2+G2</f>
        <v>-8252.9400000000023</v>
      </c>
    </row>
    <row r="3" spans="1:8">
      <c r="B3" s="15"/>
    </row>
    <row r="4" spans="1:8">
      <c r="D4" s="75"/>
      <c r="E4" s="75">
        <v>0</v>
      </c>
      <c r="H4" s="74">
        <f t="shared" ref="H4:H36" si="0">H3+F4+G4</f>
        <v>0</v>
      </c>
    </row>
    <row r="5" spans="1:8">
      <c r="D5" s="75"/>
      <c r="E5" s="75">
        <v>0</v>
      </c>
      <c r="H5" s="74">
        <f t="shared" si="0"/>
        <v>0</v>
      </c>
    </row>
    <row r="6" spans="1:8">
      <c r="B6" s="97" t="s">
        <v>343</v>
      </c>
      <c r="C6" s="97" t="s">
        <v>344</v>
      </c>
      <c r="D6" s="75"/>
      <c r="E6" s="75">
        <v>-250</v>
      </c>
      <c r="H6" s="74">
        <f t="shared" si="0"/>
        <v>0</v>
      </c>
    </row>
    <row r="7" spans="1:8">
      <c r="A7" s="154">
        <v>45596</v>
      </c>
      <c r="B7" s="166" t="s">
        <v>61</v>
      </c>
      <c r="D7" s="75"/>
      <c r="E7" s="75">
        <f>E69</f>
        <v>-129000.63</v>
      </c>
      <c r="F7" s="75"/>
      <c r="G7" s="75">
        <v>-129000.63</v>
      </c>
      <c r="H7" s="75">
        <f t="shared" si="0"/>
        <v>-129000.63</v>
      </c>
    </row>
    <row r="8" spans="1:8">
      <c r="A8" s="154">
        <v>45597</v>
      </c>
      <c r="B8" s="97" t="s">
        <v>62</v>
      </c>
      <c r="G8" s="75">
        <v>-1512.13</v>
      </c>
      <c r="H8" s="75">
        <f t="shared" si="0"/>
        <v>-130512.76000000001</v>
      </c>
    </row>
    <row r="9" spans="1:8">
      <c r="A9" s="85">
        <v>45569</v>
      </c>
      <c r="B9" s="167" t="s">
        <v>60</v>
      </c>
      <c r="E9" s="75">
        <f>E54</f>
        <v>-1797.26</v>
      </c>
      <c r="F9" s="75"/>
      <c r="G9" s="75">
        <v>-1797.26</v>
      </c>
      <c r="H9" s="75">
        <f t="shared" si="0"/>
        <v>-132310.02000000002</v>
      </c>
    </row>
    <row r="10" spans="1:8">
      <c r="B10" s="166" t="s">
        <v>64</v>
      </c>
      <c r="D10" s="75"/>
      <c r="E10" s="75">
        <f>E49*-1</f>
        <v>0</v>
      </c>
      <c r="H10" s="74">
        <f t="shared" si="0"/>
        <v>-132310.02000000002</v>
      </c>
    </row>
    <row r="11" spans="1:8">
      <c r="A11" s="85">
        <v>45604</v>
      </c>
      <c r="B11" s="97" t="s">
        <v>345</v>
      </c>
      <c r="C11" s="97"/>
      <c r="E11" s="75">
        <v>-17500</v>
      </c>
      <c r="G11" s="75">
        <v>-17500</v>
      </c>
      <c r="H11" s="74">
        <f t="shared" si="0"/>
        <v>-149810.02000000002</v>
      </c>
    </row>
    <row r="12" spans="1:8">
      <c r="A12" s="85">
        <v>45605</v>
      </c>
      <c r="B12" s="79" t="s">
        <v>346</v>
      </c>
      <c r="C12" s="97"/>
      <c r="E12" s="75"/>
      <c r="F12" s="75">
        <v>15000</v>
      </c>
      <c r="G12" s="75"/>
      <c r="H12" s="74">
        <f t="shared" si="0"/>
        <v>-134810.02000000002</v>
      </c>
    </row>
    <row r="13" spans="1:8">
      <c r="A13" s="85">
        <v>45600</v>
      </c>
      <c r="B13" s="38" t="s">
        <v>347</v>
      </c>
      <c r="C13" s="97"/>
      <c r="E13" s="75"/>
      <c r="F13" s="75"/>
      <c r="G13" s="75">
        <v>-206.3</v>
      </c>
      <c r="H13" s="74">
        <f t="shared" si="0"/>
        <v>-135016.32000000001</v>
      </c>
    </row>
    <row r="14" spans="1:8">
      <c r="B14" s="97" t="s">
        <v>72</v>
      </c>
      <c r="C14" s="97"/>
      <c r="E14" s="75">
        <v>-400</v>
      </c>
      <c r="F14" s="75"/>
      <c r="G14" s="75"/>
      <c r="H14" s="74">
        <f t="shared" si="0"/>
        <v>-135016.32000000001</v>
      </c>
    </row>
    <row r="15" spans="1:8">
      <c r="B15" s="97" t="s">
        <v>73</v>
      </c>
      <c r="C15" s="97"/>
      <c r="E15" s="75">
        <v>-500</v>
      </c>
      <c r="F15" s="75"/>
      <c r="G15" s="75"/>
      <c r="H15" s="74">
        <f t="shared" si="0"/>
        <v>-135016.32000000001</v>
      </c>
    </row>
    <row r="16" spans="1:8">
      <c r="A16" s="85">
        <v>45607</v>
      </c>
      <c r="B16" s="97" t="s">
        <v>348</v>
      </c>
      <c r="E16" s="75"/>
      <c r="F16" s="75">
        <v>148500</v>
      </c>
      <c r="G16" s="75"/>
      <c r="H16" s="74">
        <f t="shared" si="0"/>
        <v>13483.679999999993</v>
      </c>
    </row>
    <row r="17" spans="1:8">
      <c r="B17" s="97"/>
      <c r="C17" s="97"/>
      <c r="E17" s="75"/>
      <c r="F17" s="75"/>
      <c r="G17" s="75"/>
      <c r="H17" s="74">
        <f t="shared" si="0"/>
        <v>13483.679999999993</v>
      </c>
    </row>
    <row r="18" spans="1:8">
      <c r="A18" s="85">
        <v>45617</v>
      </c>
      <c r="B18" s="97" t="s">
        <v>67</v>
      </c>
      <c r="C18" s="97"/>
      <c r="E18" s="75">
        <v>-150</v>
      </c>
      <c r="F18" s="75"/>
      <c r="G18" s="75">
        <v>-146</v>
      </c>
      <c r="H18" s="74">
        <f t="shared" si="0"/>
        <v>13337.679999999993</v>
      </c>
    </row>
    <row r="19" spans="1:8">
      <c r="A19" s="85">
        <v>45614</v>
      </c>
      <c r="B19" s="102" t="s">
        <v>65</v>
      </c>
      <c r="C19" s="102"/>
      <c r="E19" s="75">
        <v>-300</v>
      </c>
      <c r="F19" s="75"/>
      <c r="G19" s="75">
        <v>-850</v>
      </c>
      <c r="H19" s="74">
        <f t="shared" si="0"/>
        <v>12487.679999999993</v>
      </c>
    </row>
    <row r="20" spans="1:8">
      <c r="A20" s="85">
        <v>45614</v>
      </c>
      <c r="B20" s="102" t="s">
        <v>66</v>
      </c>
      <c r="C20" s="102"/>
      <c r="E20" s="75">
        <v>-100</v>
      </c>
      <c r="F20" s="75"/>
      <c r="G20" s="75">
        <v>-25</v>
      </c>
      <c r="H20" s="74">
        <f t="shared" si="0"/>
        <v>12462.679999999993</v>
      </c>
    </row>
    <row r="21" spans="1:8">
      <c r="B21" s="97"/>
      <c r="C21" s="97"/>
      <c r="E21" s="75"/>
      <c r="F21" s="75"/>
      <c r="G21" s="75"/>
      <c r="H21" s="74">
        <f t="shared" si="0"/>
        <v>12462.679999999993</v>
      </c>
    </row>
    <row r="22" spans="1:8">
      <c r="A22" s="85">
        <v>45620</v>
      </c>
      <c r="B22" s="155" t="s">
        <v>349</v>
      </c>
      <c r="E22" s="75"/>
      <c r="F22" s="156">
        <v>35800</v>
      </c>
      <c r="G22" s="75"/>
      <c r="H22" s="74">
        <f t="shared" si="0"/>
        <v>48262.679999999993</v>
      </c>
    </row>
    <row r="23" spans="1:8">
      <c r="A23" s="85">
        <v>45623</v>
      </c>
      <c r="B23" s="8" t="s">
        <v>350</v>
      </c>
      <c r="D23" s="80"/>
      <c r="E23" s="75">
        <v>-10000</v>
      </c>
      <c r="F23" s="75"/>
      <c r="G23" s="75">
        <v>-40000</v>
      </c>
      <c r="H23" s="74">
        <f t="shared" si="0"/>
        <v>8262.679999999993</v>
      </c>
    </row>
    <row r="24" spans="1:8">
      <c r="A24" s="85">
        <v>45625</v>
      </c>
      <c r="B24" s="79" t="s">
        <v>90</v>
      </c>
      <c r="C24" s="79" t="s">
        <v>308</v>
      </c>
      <c r="D24" s="80"/>
      <c r="E24" s="156">
        <v>-1380</v>
      </c>
      <c r="F24" s="75"/>
      <c r="G24" s="75"/>
      <c r="H24" s="74">
        <f t="shared" si="0"/>
        <v>8262.679999999993</v>
      </c>
    </row>
    <row r="25" spans="1:8">
      <c r="A25" s="85">
        <v>45626</v>
      </c>
      <c r="B25" s="155" t="s">
        <v>309</v>
      </c>
      <c r="C25" s="79"/>
      <c r="D25" s="80"/>
      <c r="E25" s="156">
        <v>-1415</v>
      </c>
      <c r="F25" s="75"/>
      <c r="G25" s="75"/>
      <c r="H25" s="74">
        <f t="shared" si="0"/>
        <v>8262.679999999993</v>
      </c>
    </row>
    <row r="26" spans="1:8">
      <c r="A26" s="85">
        <v>45626</v>
      </c>
      <c r="B26" s="155" t="s">
        <v>310</v>
      </c>
      <c r="C26" s="79"/>
      <c r="D26" s="80"/>
      <c r="E26" s="156">
        <v>-141.5</v>
      </c>
      <c r="F26" s="75"/>
      <c r="G26" s="75"/>
      <c r="H26" s="74">
        <f t="shared" si="0"/>
        <v>8262.679999999993</v>
      </c>
    </row>
    <row r="27" spans="1:8">
      <c r="E27" s="75"/>
      <c r="F27" s="75"/>
      <c r="G27" s="75"/>
      <c r="H27" s="74">
        <f t="shared" si="0"/>
        <v>8262.679999999993</v>
      </c>
    </row>
    <row r="28" spans="1:8">
      <c r="B28" t="s">
        <v>351</v>
      </c>
      <c r="E28" s="75"/>
      <c r="F28" s="75"/>
      <c r="G28" s="75">
        <v>-5000</v>
      </c>
      <c r="H28" s="74">
        <f t="shared" si="0"/>
        <v>3262.679999999993</v>
      </c>
    </row>
    <row r="29" spans="1:8">
      <c r="B29" t="s">
        <v>69</v>
      </c>
      <c r="E29" s="75">
        <v>-6500</v>
      </c>
      <c r="F29" s="75"/>
      <c r="G29" s="75">
        <v>-6511</v>
      </c>
      <c r="H29" s="74">
        <f t="shared" si="0"/>
        <v>-3248.320000000007</v>
      </c>
    </row>
    <row r="30" spans="1:8">
      <c r="B30" t="s">
        <v>352</v>
      </c>
      <c r="E30" s="75"/>
      <c r="F30" s="75"/>
      <c r="G30" s="75">
        <v>-5000</v>
      </c>
      <c r="H30" s="74">
        <f t="shared" si="0"/>
        <v>-8248.320000000007</v>
      </c>
    </row>
    <row r="31" spans="1:8">
      <c r="B31" t="s">
        <v>70</v>
      </c>
      <c r="E31" s="75">
        <v>-6500</v>
      </c>
      <c r="F31" s="75"/>
      <c r="G31" s="75">
        <v>-6511</v>
      </c>
      <c r="H31" s="74">
        <f t="shared" si="0"/>
        <v>-14759.320000000007</v>
      </c>
    </row>
    <row r="32" spans="1:8">
      <c r="B32" t="s">
        <v>71</v>
      </c>
      <c r="E32" s="75">
        <v>-6500</v>
      </c>
      <c r="F32" s="75"/>
      <c r="G32" s="75">
        <v>-6500</v>
      </c>
      <c r="H32" s="74">
        <f t="shared" si="0"/>
        <v>-21259.320000000007</v>
      </c>
    </row>
    <row r="33" spans="1:8">
      <c r="H33" s="74">
        <f t="shared" si="0"/>
        <v>-21259.320000000007</v>
      </c>
    </row>
    <row r="34" spans="1:8">
      <c r="B34" t="s">
        <v>68</v>
      </c>
      <c r="D34" s="75">
        <v>12984.15</v>
      </c>
      <c r="F34" s="74">
        <v>13006.38</v>
      </c>
      <c r="H34" s="74">
        <f t="shared" si="0"/>
        <v>-8252.9400000000078</v>
      </c>
    </row>
    <row r="35" spans="1:8">
      <c r="A35" s="96"/>
      <c r="B35" s="79" t="s">
        <v>314</v>
      </c>
      <c r="C35" s="79"/>
      <c r="D35" s="80">
        <v>15000</v>
      </c>
      <c r="H35" s="74">
        <f t="shared" si="0"/>
        <v>-8252.9400000000078</v>
      </c>
    </row>
    <row r="36" spans="1:8">
      <c r="B36" s="79" t="s">
        <v>353</v>
      </c>
      <c r="C36" s="157">
        <v>0.234011</v>
      </c>
      <c r="D36" s="80">
        <v>250000</v>
      </c>
      <c r="H36" s="74">
        <f t="shared" si="0"/>
        <v>-8252.9400000000078</v>
      </c>
    </row>
    <row r="38" spans="1:8" ht="15.75">
      <c r="B38" s="168"/>
    </row>
    <row r="40" spans="1:8">
      <c r="B40" t="s">
        <v>317</v>
      </c>
    </row>
    <row r="41" spans="1:8">
      <c r="A41" s="99" t="s">
        <v>318</v>
      </c>
      <c r="B41" s="99"/>
      <c r="C41" s="99"/>
    </row>
    <row r="42" spans="1:8">
      <c r="A42" s="96"/>
      <c r="C42" s="160"/>
    </row>
    <row r="43" spans="1:8">
      <c r="A43" s="161">
        <v>44929</v>
      </c>
      <c r="B43" s="162" t="s">
        <v>319</v>
      </c>
      <c r="C43" s="99"/>
      <c r="D43" s="74">
        <f>SUM(D44:D49)</f>
        <v>0</v>
      </c>
      <c r="E43" s="74">
        <f>SUM(E44:E49)</f>
        <v>0</v>
      </c>
    </row>
    <row r="44" spans="1:8">
      <c r="A44" s="96"/>
      <c r="B44" s="102" t="s">
        <v>320</v>
      </c>
    </row>
    <row r="45" spans="1:8">
      <c r="B45" t="s">
        <v>321</v>
      </c>
    </row>
    <row r="46" spans="1:8">
      <c r="B46" t="s">
        <v>322</v>
      </c>
    </row>
    <row r="47" spans="1:8">
      <c r="B47" t="s">
        <v>323</v>
      </c>
    </row>
    <row r="48" spans="1:8">
      <c r="B48" t="s">
        <v>324</v>
      </c>
    </row>
    <row r="49" spans="1:5">
      <c r="B49" t="s">
        <v>325</v>
      </c>
      <c r="C49" s="102"/>
    </row>
    <row r="50" spans="1:5">
      <c r="C50" s="102"/>
    </row>
    <row r="52" spans="1:5">
      <c r="B52" s="14"/>
    </row>
    <row r="53" spans="1:5">
      <c r="B53" s="98"/>
    </row>
    <row r="54" spans="1:5">
      <c r="A54" s="99"/>
      <c r="B54" s="100" t="s">
        <v>75</v>
      </c>
      <c r="C54" s="99"/>
      <c r="E54" s="74">
        <f>SUM(E55:E66)</f>
        <v>-1797.26</v>
      </c>
    </row>
    <row r="56" spans="1:5">
      <c r="A56" s="85">
        <v>45373</v>
      </c>
      <c r="B56" s="8" t="s">
        <v>326</v>
      </c>
      <c r="C56">
        <v>10176.39</v>
      </c>
      <c r="D56" s="74" t="s">
        <v>354</v>
      </c>
      <c r="E56" s="74">
        <v>-1130.71</v>
      </c>
    </row>
    <row r="57" spans="1:5">
      <c r="A57" s="85">
        <v>45375</v>
      </c>
      <c r="B57" s="8" t="s">
        <v>328</v>
      </c>
      <c r="C57">
        <v>5999</v>
      </c>
      <c r="D57" s="74" t="s">
        <v>355</v>
      </c>
      <c r="E57" s="74">
        <v>-666.55</v>
      </c>
    </row>
    <row r="58" spans="1:5">
      <c r="A58" s="85"/>
    </row>
    <row r="59" spans="1:5" ht="15">
      <c r="D59" s="101" t="s">
        <v>76</v>
      </c>
    </row>
    <row r="61" spans="1:5">
      <c r="A61" s="96"/>
      <c r="B61" s="102"/>
      <c r="C61" s="102"/>
    </row>
    <row r="62" spans="1:5">
      <c r="A62" s="96"/>
      <c r="B62" s="102"/>
      <c r="C62" s="102"/>
    </row>
    <row r="63" spans="1:5">
      <c r="A63" s="96"/>
      <c r="B63" s="103"/>
      <c r="C63" s="102"/>
    </row>
    <row r="64" spans="1:5">
      <c r="A64" s="96"/>
      <c r="B64" s="103"/>
      <c r="C64" s="102"/>
    </row>
    <row r="65" spans="1:5">
      <c r="A65" s="96"/>
      <c r="B65" s="103"/>
    </row>
    <row r="66" spans="1:5">
      <c r="A66" s="96"/>
      <c r="B66" s="103"/>
      <c r="C66" s="102"/>
    </row>
    <row r="67" spans="1:5">
      <c r="A67" s="96"/>
      <c r="B67" s="3"/>
    </row>
    <row r="68" spans="1:5">
      <c r="A68" s="96"/>
      <c r="B68" s="102"/>
      <c r="C68" s="102"/>
    </row>
    <row r="69" spans="1:5">
      <c r="A69" s="99"/>
      <c r="B69" s="100" t="s">
        <v>77</v>
      </c>
      <c r="C69" s="99"/>
      <c r="E69" s="74">
        <f>SUM(E70:E101)</f>
        <v>-129000.63</v>
      </c>
    </row>
    <row r="70" spans="1:5">
      <c r="A70" s="96"/>
      <c r="B70" s="102"/>
      <c r="C70" s="102"/>
    </row>
    <row r="71" spans="1:5">
      <c r="A71" s="96">
        <v>45560</v>
      </c>
      <c r="B71" s="102" t="s">
        <v>356</v>
      </c>
      <c r="C71" s="102"/>
      <c r="E71" s="74">
        <v>-118966.5</v>
      </c>
    </row>
    <row r="72" spans="1:5">
      <c r="A72" s="96"/>
      <c r="B72" s="102" t="s">
        <v>356</v>
      </c>
      <c r="C72" s="102"/>
      <c r="E72" s="74">
        <v>-277.72000000000003</v>
      </c>
    </row>
    <row r="73" spans="1:5">
      <c r="A73" s="96"/>
      <c r="B73" s="3" t="s">
        <v>357</v>
      </c>
      <c r="C73" s="102"/>
      <c r="E73" s="74">
        <v>-1398.6</v>
      </c>
    </row>
    <row r="74" spans="1:5">
      <c r="A74" s="96"/>
      <c r="B74" s="3" t="s">
        <v>358</v>
      </c>
      <c r="C74" s="102"/>
      <c r="E74" s="74">
        <v>-1855</v>
      </c>
    </row>
    <row r="75" spans="1:5">
      <c r="A75" s="96"/>
      <c r="B75" s="3"/>
      <c r="C75" s="102"/>
    </row>
    <row r="76" spans="1:5">
      <c r="A76" s="96"/>
      <c r="B76" s="3" t="s">
        <v>359</v>
      </c>
      <c r="C76" s="102"/>
      <c r="E76" s="74">
        <v>-480</v>
      </c>
    </row>
    <row r="77" spans="1:5">
      <c r="A77" s="96"/>
      <c r="B77" s="3" t="s">
        <v>360</v>
      </c>
      <c r="C77" s="102"/>
      <c r="E77" s="74">
        <v>-147.80000000000001</v>
      </c>
    </row>
    <row r="78" spans="1:5">
      <c r="A78" s="96"/>
      <c r="B78" s="3" t="s">
        <v>360</v>
      </c>
      <c r="C78" s="102">
        <v>17.59</v>
      </c>
      <c r="E78" s="74">
        <v>-17.59</v>
      </c>
    </row>
    <row r="79" spans="1:5">
      <c r="A79" s="96"/>
      <c r="B79" s="3" t="s">
        <v>361</v>
      </c>
      <c r="C79" s="102">
        <v>330</v>
      </c>
      <c r="E79" s="74">
        <v>-330</v>
      </c>
    </row>
    <row r="80" spans="1:5">
      <c r="A80" s="96"/>
      <c r="B80" s="3" t="s">
        <v>362</v>
      </c>
      <c r="C80" s="102">
        <v>-130</v>
      </c>
      <c r="E80" s="74">
        <v>-130</v>
      </c>
    </row>
    <row r="81" spans="1:5">
      <c r="A81" s="96"/>
      <c r="B81" s="3" t="s">
        <v>261</v>
      </c>
      <c r="C81" s="102"/>
      <c r="D81" s="74">
        <v>71389.3</v>
      </c>
    </row>
    <row r="82" spans="1:5">
      <c r="A82" s="96"/>
      <c r="B82" s="3" t="s">
        <v>363</v>
      </c>
      <c r="C82" s="102"/>
      <c r="E82" s="74">
        <v>-140</v>
      </c>
    </row>
    <row r="83" spans="1:5">
      <c r="A83" s="96"/>
      <c r="B83" s="3" t="s">
        <v>361</v>
      </c>
      <c r="C83" s="102">
        <v>750</v>
      </c>
      <c r="E83" s="74">
        <v>-750</v>
      </c>
    </row>
    <row r="84" spans="1:5">
      <c r="A84" s="96"/>
      <c r="B84" s="3" t="s">
        <v>360</v>
      </c>
      <c r="C84" s="102"/>
      <c r="E84" s="74">
        <v>-253.55</v>
      </c>
    </row>
    <row r="85" spans="1:5">
      <c r="A85" s="96"/>
      <c r="B85" s="3" t="s">
        <v>364</v>
      </c>
      <c r="C85" s="102"/>
      <c r="E85" s="74">
        <v>-250</v>
      </c>
    </row>
    <row r="86" spans="1:5">
      <c r="A86" s="96"/>
      <c r="B86" s="3" t="s">
        <v>365</v>
      </c>
      <c r="C86" s="102"/>
      <c r="E86" s="74">
        <v>-400</v>
      </c>
    </row>
    <row r="87" spans="1:5">
      <c r="A87" s="96"/>
      <c r="B87" s="3" t="s">
        <v>365</v>
      </c>
      <c r="C87" s="102"/>
      <c r="E87" s="74">
        <v>-100</v>
      </c>
    </row>
    <row r="88" spans="1:5">
      <c r="A88" s="96"/>
      <c r="B88" s="3" t="s">
        <v>360</v>
      </c>
      <c r="C88" s="102"/>
      <c r="E88" s="74">
        <v>-68.5</v>
      </c>
    </row>
    <row r="89" spans="1:5">
      <c r="A89" s="96"/>
      <c r="B89" s="3" t="s">
        <v>360</v>
      </c>
      <c r="C89" s="102">
        <v>43.13</v>
      </c>
      <c r="E89" s="74">
        <v>-43.13</v>
      </c>
    </row>
    <row r="90" spans="1:5">
      <c r="A90" s="96"/>
      <c r="B90" s="3" t="s">
        <v>361</v>
      </c>
      <c r="C90" s="102">
        <v>235</v>
      </c>
      <c r="E90" s="74">
        <v>-235</v>
      </c>
    </row>
    <row r="91" spans="1:5">
      <c r="A91" s="96"/>
      <c r="B91" s="3" t="s">
        <v>362</v>
      </c>
      <c r="C91" s="102">
        <v>375</v>
      </c>
      <c r="E91" s="74">
        <v>-375</v>
      </c>
    </row>
    <row r="92" spans="1:5">
      <c r="A92" s="96"/>
      <c r="B92" s="3" t="s">
        <v>360</v>
      </c>
      <c r="C92" s="102">
        <v>79.84</v>
      </c>
      <c r="E92" s="74">
        <v>-79.84</v>
      </c>
    </row>
    <row r="93" spans="1:5">
      <c r="A93" s="96"/>
      <c r="B93" s="3" t="s">
        <v>361</v>
      </c>
      <c r="C93" s="102">
        <v>235</v>
      </c>
      <c r="E93" s="74">
        <v>-235</v>
      </c>
    </row>
    <row r="94" spans="1:5">
      <c r="A94" s="96"/>
      <c r="B94" s="3" t="s">
        <v>362</v>
      </c>
      <c r="C94" s="102">
        <v>210</v>
      </c>
      <c r="E94" s="74">
        <v>-210</v>
      </c>
    </row>
    <row r="95" spans="1:5">
      <c r="A95" s="96"/>
      <c r="B95" s="3" t="s">
        <v>360</v>
      </c>
      <c r="C95" s="102"/>
      <c r="E95" s="74">
        <v>-112.3</v>
      </c>
    </row>
    <row r="96" spans="1:5">
      <c r="A96" s="96"/>
      <c r="B96" s="3" t="s">
        <v>365</v>
      </c>
      <c r="C96" s="102"/>
      <c r="E96" s="74">
        <v>-230</v>
      </c>
    </row>
    <row r="97" spans="1:5">
      <c r="A97" s="96"/>
      <c r="B97" s="3" t="s">
        <v>360</v>
      </c>
      <c r="C97" s="102"/>
      <c r="E97" s="74">
        <v>-187.2</v>
      </c>
    </row>
    <row r="98" spans="1:5">
      <c r="A98" s="96"/>
      <c r="B98" s="3" t="s">
        <v>366</v>
      </c>
      <c r="C98" s="102">
        <v>1062.9000000000001</v>
      </c>
      <c r="E98" s="74">
        <v>-1062.9000000000001</v>
      </c>
    </row>
    <row r="99" spans="1:5">
      <c r="A99" s="96"/>
      <c r="B99" s="3" t="s">
        <v>367</v>
      </c>
      <c r="C99" s="102"/>
      <c r="E99" s="74">
        <v>-240</v>
      </c>
    </row>
    <row r="100" spans="1:5">
      <c r="A100" s="96"/>
      <c r="B100" s="3" t="s">
        <v>368</v>
      </c>
      <c r="C100" s="102"/>
      <c r="E100" s="74">
        <v>-280</v>
      </c>
    </row>
    <row r="101" spans="1:5">
      <c r="B101" s="3" t="s">
        <v>362</v>
      </c>
      <c r="C101">
        <v>145</v>
      </c>
      <c r="E101" s="74">
        <v>-145</v>
      </c>
    </row>
    <row r="102" spans="1:5" ht="15">
      <c r="C102">
        <f>SUM(C77:C101)</f>
        <v>3353.4599999999996</v>
      </c>
      <c r="D102" s="101" t="s">
        <v>76</v>
      </c>
    </row>
    <row r="111" spans="1:5">
      <c r="A111" s="109" t="s">
        <v>369</v>
      </c>
      <c r="B111" s="100" t="s">
        <v>128</v>
      </c>
      <c r="C111" s="99">
        <v>2024</v>
      </c>
      <c r="D111" s="147"/>
      <c r="E111" s="148">
        <f>SUM(E112:E133)</f>
        <v>695352.38</v>
      </c>
    </row>
    <row r="112" spans="1:5">
      <c r="A112" s="149">
        <v>45595</v>
      </c>
      <c r="B112" s="8" t="s">
        <v>69</v>
      </c>
      <c r="C112" s="2"/>
      <c r="D112" s="2"/>
      <c r="E112" s="2">
        <v>0</v>
      </c>
    </row>
    <row r="113" spans="1:5">
      <c r="A113" s="149">
        <f>A112</f>
        <v>45595</v>
      </c>
      <c r="B113" s="8" t="s">
        <v>370</v>
      </c>
      <c r="C113" s="2"/>
      <c r="D113" s="2"/>
      <c r="E113" s="2">
        <v>0</v>
      </c>
    </row>
    <row r="114" spans="1:5">
      <c r="A114" s="149"/>
      <c r="B114" s="8" t="s">
        <v>371</v>
      </c>
      <c r="C114" s="471">
        <v>365500</v>
      </c>
      <c r="D114" s="12">
        <v>36000</v>
      </c>
      <c r="E114" s="12">
        <f>C114-D114</f>
        <v>329500</v>
      </c>
    </row>
    <row r="115" spans="1:5">
      <c r="A115" s="149">
        <f>A113</f>
        <v>45595</v>
      </c>
      <c r="B115" s="8" t="s">
        <v>131</v>
      </c>
      <c r="C115" s="2"/>
      <c r="D115" s="2"/>
      <c r="E115" s="14">
        <v>6923</v>
      </c>
    </row>
    <row r="116" spans="1:5">
      <c r="A116" s="149">
        <f>A113</f>
        <v>45595</v>
      </c>
      <c r="B116" s="8" t="s">
        <v>133</v>
      </c>
      <c r="C116" s="2">
        <v>40</v>
      </c>
      <c r="D116" s="163">
        <v>830</v>
      </c>
      <c r="E116" s="14">
        <f t="shared" ref="E116:E128" si="1">D116*C116</f>
        <v>33200</v>
      </c>
    </row>
    <row r="117" spans="1:5">
      <c r="A117" s="149">
        <f>A122</f>
        <v>45595</v>
      </c>
      <c r="B117" s="8" t="s">
        <v>372</v>
      </c>
      <c r="C117" s="2">
        <v>4000</v>
      </c>
      <c r="D117" s="2">
        <v>30.96</v>
      </c>
      <c r="E117" s="14">
        <f t="shared" si="1"/>
        <v>123840</v>
      </c>
    </row>
    <row r="118" spans="1:5">
      <c r="A118" s="149">
        <f>A115</f>
        <v>45595</v>
      </c>
      <c r="B118" s="8" t="s">
        <v>135</v>
      </c>
      <c r="C118" s="164">
        <v>125000</v>
      </c>
      <c r="D118" s="163">
        <v>0.77971599999999996</v>
      </c>
      <c r="E118" s="14">
        <f t="shared" si="1"/>
        <v>97464.5</v>
      </c>
    </row>
    <row r="119" spans="1:5">
      <c r="A119" s="149">
        <f>A116</f>
        <v>45595</v>
      </c>
      <c r="B119" s="8" t="s">
        <v>136</v>
      </c>
      <c r="C119" s="2">
        <v>10</v>
      </c>
      <c r="D119" s="2">
        <v>103.7</v>
      </c>
      <c r="E119" s="14">
        <f t="shared" si="1"/>
        <v>1037</v>
      </c>
    </row>
    <row r="120" spans="1:5">
      <c r="A120" s="149">
        <f>A119</f>
        <v>45595</v>
      </c>
      <c r="B120" s="8" t="s">
        <v>137</v>
      </c>
      <c r="C120" s="2">
        <v>38</v>
      </c>
      <c r="D120" s="2">
        <v>21.42</v>
      </c>
      <c r="E120" s="14">
        <f t="shared" si="1"/>
        <v>813.96</v>
      </c>
    </row>
    <row r="121" spans="1:5">
      <c r="A121" s="149">
        <f>A120</f>
        <v>45595</v>
      </c>
      <c r="B121" s="8" t="s">
        <v>138</v>
      </c>
      <c r="C121" s="2">
        <v>26</v>
      </c>
      <c r="D121" s="2">
        <v>25.92</v>
      </c>
      <c r="E121" s="14">
        <f t="shared" si="1"/>
        <v>673.92000000000007</v>
      </c>
    </row>
    <row r="122" spans="1:5">
      <c r="A122" s="149">
        <f>A121</f>
        <v>45595</v>
      </c>
      <c r="B122" s="8" t="s">
        <v>132</v>
      </c>
      <c r="C122" s="2"/>
      <c r="D122" s="2"/>
      <c r="E122" s="14">
        <f t="shared" si="1"/>
        <v>0</v>
      </c>
    </row>
    <row r="123" spans="1:5">
      <c r="E123" s="14">
        <f t="shared" si="1"/>
        <v>0</v>
      </c>
    </row>
    <row r="124" spans="1:5">
      <c r="A124" s="149">
        <f>A117</f>
        <v>45595</v>
      </c>
      <c r="C124" s="2"/>
      <c r="D124" s="2"/>
      <c r="E124" s="14">
        <f t="shared" si="1"/>
        <v>0</v>
      </c>
    </row>
    <row r="125" spans="1:5">
      <c r="A125" s="149">
        <f>A124</f>
        <v>45595</v>
      </c>
      <c r="C125" s="2"/>
      <c r="D125" s="2"/>
      <c r="E125" s="14">
        <f t="shared" si="1"/>
        <v>0</v>
      </c>
    </row>
    <row r="126" spans="1:5">
      <c r="A126" s="149">
        <f>A125</f>
        <v>45595</v>
      </c>
      <c r="B126" s="8" t="s">
        <v>337</v>
      </c>
      <c r="C126" s="2">
        <v>2900</v>
      </c>
      <c r="D126" s="2">
        <v>1</v>
      </c>
      <c r="E126" s="14">
        <f t="shared" si="1"/>
        <v>2900</v>
      </c>
    </row>
    <row r="127" spans="1:5">
      <c r="A127" s="149">
        <f>A126</f>
        <v>45595</v>
      </c>
      <c r="B127" s="8" t="s">
        <v>140</v>
      </c>
      <c r="C127" s="2">
        <v>4900</v>
      </c>
      <c r="D127" s="2">
        <v>16</v>
      </c>
      <c r="E127" s="14">
        <f t="shared" si="1"/>
        <v>78400</v>
      </c>
    </row>
    <row r="128" spans="1:5">
      <c r="A128" s="149">
        <f>A127</f>
        <v>45595</v>
      </c>
      <c r="B128" s="8" t="s">
        <v>141</v>
      </c>
      <c r="C128" s="2">
        <v>19600</v>
      </c>
      <c r="D128" s="2">
        <v>1</v>
      </c>
      <c r="E128" s="14">
        <f t="shared" si="1"/>
        <v>19600</v>
      </c>
    </row>
    <row r="129" spans="1:5">
      <c r="A129" s="149">
        <f>A128</f>
        <v>45595</v>
      </c>
      <c r="C129" s="2"/>
      <c r="D129" s="2"/>
      <c r="E129" s="14"/>
    </row>
    <row r="130" spans="1:5">
      <c r="A130" s="149">
        <f>A126</f>
        <v>45595</v>
      </c>
      <c r="B130" s="8" t="s">
        <v>142</v>
      </c>
      <c r="C130" s="116">
        <v>33.250599999999999</v>
      </c>
      <c r="D130" s="2">
        <v>0</v>
      </c>
      <c r="E130" s="14"/>
    </row>
    <row r="131" spans="1:5">
      <c r="A131" s="149">
        <f>A130</f>
        <v>45595</v>
      </c>
      <c r="B131" s="8" t="s">
        <v>143</v>
      </c>
      <c r="C131" s="116">
        <v>36.854999999999997</v>
      </c>
      <c r="D131" s="2">
        <v>0</v>
      </c>
      <c r="E131" s="14">
        <f>D131*C131</f>
        <v>0</v>
      </c>
    </row>
    <row r="132" spans="1:5">
      <c r="A132" s="149">
        <f>A131</f>
        <v>45595</v>
      </c>
      <c r="B132" s="8" t="s">
        <v>144</v>
      </c>
      <c r="C132" s="2"/>
      <c r="D132" s="2"/>
      <c r="E132" s="14">
        <v>0</v>
      </c>
    </row>
    <row r="133" spans="1:5">
      <c r="A133" s="149">
        <f>A132</f>
        <v>45595</v>
      </c>
      <c r="B133" s="8" t="s">
        <v>145</v>
      </c>
      <c r="C133" s="2"/>
      <c r="D133" s="2"/>
      <c r="E133" s="14">
        <v>1000</v>
      </c>
    </row>
    <row r="134" spans="1:5">
      <c r="E134" s="165"/>
    </row>
    <row r="135" spans="1:5">
      <c r="C135" s="120"/>
      <c r="D135" s="3"/>
      <c r="E135" s="120"/>
    </row>
    <row r="136" spans="1:5">
      <c r="C136" s="120"/>
      <c r="D136" s="15" t="s">
        <v>147</v>
      </c>
      <c r="E136" s="9">
        <f>SUM(E112:E133)</f>
        <v>695352.38</v>
      </c>
    </row>
    <row r="137" spans="1:5">
      <c r="C137" s="121" t="str">
        <f>A111</f>
        <v>KASIMa</v>
      </c>
      <c r="D137" s="122" t="s">
        <v>148</v>
      </c>
      <c r="E137" s="123">
        <f>H12</f>
        <v>-134810.02000000002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2F0D9"/>
  </sheetPr>
  <dimension ref="A1:H137"/>
  <sheetViews>
    <sheetView topLeftCell="A3" zoomScale="145" zoomScaleNormal="145" workbookViewId="0">
      <selection activeCell="E114" sqref="E114"/>
    </sheetView>
  </sheetViews>
  <sheetFormatPr defaultColWidth="12.28515625" defaultRowHeight="12.75"/>
  <cols>
    <col min="2" max="2" width="35.85546875" customWidth="1"/>
    <col min="3" max="3" width="9.85546875" customWidth="1"/>
    <col min="4" max="4" width="11.5703125" style="74" customWidth="1"/>
    <col min="5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373</v>
      </c>
      <c r="C2" s="76" t="s">
        <v>59</v>
      </c>
      <c r="D2" s="74">
        <f>SUM(D4:D35)</f>
        <v>27984.15</v>
      </c>
      <c r="E2" s="74">
        <f>SUM(E4:E35)</f>
        <v>-126233.26999999999</v>
      </c>
      <c r="F2" s="74">
        <f>SUM(F4:F35)</f>
        <v>64006.38</v>
      </c>
      <c r="G2" s="74">
        <f>SUM(G4:G35)</f>
        <v>-123041.59000000001</v>
      </c>
      <c r="H2" s="74">
        <f>F2+G2</f>
        <v>-59035.210000000014</v>
      </c>
    </row>
    <row r="3" spans="1:8">
      <c r="B3" s="15"/>
    </row>
    <row r="4" spans="1:8">
      <c r="B4" s="38"/>
      <c r="H4" s="74">
        <f t="shared" ref="H4:H33" si="0">H3+F4+G4</f>
        <v>0</v>
      </c>
    </row>
    <row r="5" spans="1:8">
      <c r="B5" s="97" t="s">
        <v>374</v>
      </c>
      <c r="C5" s="97" t="s">
        <v>344</v>
      </c>
      <c r="D5" s="75"/>
      <c r="E5" s="75">
        <v>-250</v>
      </c>
      <c r="F5" s="75"/>
      <c r="G5" s="75"/>
      <c r="H5" s="74">
        <f t="shared" si="0"/>
        <v>0</v>
      </c>
    </row>
    <row r="6" spans="1:8">
      <c r="A6" s="85">
        <v>45568</v>
      </c>
      <c r="B6" s="97" t="s">
        <v>62</v>
      </c>
      <c r="C6" s="97"/>
      <c r="D6" s="75"/>
      <c r="E6" s="75">
        <v>-1500</v>
      </c>
      <c r="F6" s="75"/>
      <c r="G6" s="75">
        <v>-1513.12</v>
      </c>
      <c r="H6" s="74">
        <f t="shared" si="0"/>
        <v>-1513.12</v>
      </c>
    </row>
    <row r="7" spans="1:8">
      <c r="A7" s="154">
        <v>45569</v>
      </c>
      <c r="B7" s="166" t="s">
        <v>61</v>
      </c>
      <c r="D7" s="75"/>
      <c r="E7" s="75">
        <f>E66</f>
        <v>-71389.3</v>
      </c>
      <c r="F7" s="75"/>
      <c r="G7" s="75">
        <v>-71389.3</v>
      </c>
      <c r="H7" s="74">
        <f t="shared" si="0"/>
        <v>-72902.42</v>
      </c>
    </row>
    <row r="8" spans="1:8">
      <c r="A8" s="85">
        <v>45572</v>
      </c>
      <c r="B8" s="166" t="s">
        <v>60</v>
      </c>
      <c r="D8" s="75"/>
      <c r="E8" s="75">
        <f>E51</f>
        <v>-3066.5699999999997</v>
      </c>
      <c r="F8" s="75"/>
      <c r="G8" s="75">
        <v>-3066.57</v>
      </c>
      <c r="H8" s="74">
        <f t="shared" si="0"/>
        <v>-75968.990000000005</v>
      </c>
    </row>
    <row r="9" spans="1:8">
      <c r="B9" s="166" t="s">
        <v>64</v>
      </c>
      <c r="D9" s="75"/>
      <c r="E9" s="75">
        <f>E46*-1</f>
        <v>0</v>
      </c>
      <c r="F9" s="75"/>
      <c r="G9" s="75">
        <v>0</v>
      </c>
      <c r="H9" s="74">
        <f t="shared" si="0"/>
        <v>-75968.990000000005</v>
      </c>
    </row>
    <row r="10" spans="1:8">
      <c r="A10" s="85">
        <v>45573</v>
      </c>
      <c r="B10" s="97" t="s">
        <v>375</v>
      </c>
      <c r="C10" s="97"/>
      <c r="D10" s="75"/>
      <c r="E10" s="75">
        <v>-17500</v>
      </c>
      <c r="F10" s="75"/>
      <c r="G10" s="75">
        <v>-17500</v>
      </c>
      <c r="H10" s="74">
        <f t="shared" si="0"/>
        <v>-93468.99</v>
      </c>
    </row>
    <row r="11" spans="1:8">
      <c r="A11" s="85">
        <v>45573</v>
      </c>
      <c r="B11" s="97" t="s">
        <v>376</v>
      </c>
      <c r="C11" s="97"/>
      <c r="D11" s="75"/>
      <c r="E11" s="75"/>
      <c r="F11" s="75"/>
      <c r="G11" s="75">
        <v>-7080.3</v>
      </c>
      <c r="H11" s="74">
        <f t="shared" si="0"/>
        <v>-100549.29000000001</v>
      </c>
    </row>
    <row r="12" spans="1:8">
      <c r="A12" s="85">
        <v>45574</v>
      </c>
      <c r="B12" s="159" t="s">
        <v>377</v>
      </c>
      <c r="C12" s="97" t="s">
        <v>378</v>
      </c>
      <c r="E12" s="75"/>
      <c r="F12" s="75">
        <v>15000</v>
      </c>
      <c r="H12" s="74">
        <f t="shared" si="0"/>
        <v>-85549.290000000008</v>
      </c>
    </row>
    <row r="13" spans="1:8">
      <c r="B13" s="97"/>
      <c r="C13" s="97"/>
      <c r="E13" s="75"/>
      <c r="H13" s="74">
        <f t="shared" si="0"/>
        <v>-85549.290000000008</v>
      </c>
    </row>
    <row r="14" spans="1:8">
      <c r="A14" s="85">
        <v>45580</v>
      </c>
      <c r="B14" s="155" t="s">
        <v>379</v>
      </c>
      <c r="C14" s="97"/>
      <c r="E14" s="75"/>
      <c r="F14" s="74">
        <v>30000</v>
      </c>
      <c r="H14" s="74">
        <f t="shared" si="0"/>
        <v>-55549.290000000008</v>
      </c>
    </row>
    <row r="15" spans="1:8">
      <c r="A15" s="85">
        <v>45595</v>
      </c>
      <c r="B15" s="97" t="s">
        <v>72</v>
      </c>
      <c r="C15" s="97"/>
      <c r="D15" s="75"/>
      <c r="E15" s="75">
        <v>-400</v>
      </c>
      <c r="F15" s="75"/>
      <c r="G15" s="75">
        <v>-435</v>
      </c>
      <c r="H15" s="74">
        <f t="shared" si="0"/>
        <v>-55984.290000000008</v>
      </c>
    </row>
    <row r="16" spans="1:8">
      <c r="A16" s="85">
        <v>45595</v>
      </c>
      <c r="B16" s="97" t="s">
        <v>73</v>
      </c>
      <c r="C16" s="97"/>
      <c r="D16" s="75"/>
      <c r="E16" s="75">
        <v>-500</v>
      </c>
      <c r="F16" s="75"/>
      <c r="G16" s="75">
        <v>-785</v>
      </c>
      <c r="H16" s="74">
        <f t="shared" si="0"/>
        <v>-56769.290000000008</v>
      </c>
    </row>
    <row r="17" spans="1:8">
      <c r="A17" s="85">
        <v>45579</v>
      </c>
      <c r="B17" s="97" t="s">
        <v>380</v>
      </c>
      <c r="D17" s="75"/>
      <c r="E17" s="75"/>
      <c r="F17" s="75"/>
      <c r="G17" s="75">
        <v>-65</v>
      </c>
      <c r="H17" s="74">
        <f t="shared" si="0"/>
        <v>-56834.290000000008</v>
      </c>
    </row>
    <row r="18" spans="1:8">
      <c r="B18" s="97" t="s">
        <v>67</v>
      </c>
      <c r="C18" s="97" t="s">
        <v>315</v>
      </c>
      <c r="D18" s="75"/>
      <c r="E18" s="75">
        <v>-150</v>
      </c>
      <c r="F18" s="75"/>
      <c r="G18" s="75"/>
      <c r="H18" s="74">
        <f t="shared" si="0"/>
        <v>-56834.290000000008</v>
      </c>
    </row>
    <row r="19" spans="1:8">
      <c r="A19" s="85">
        <v>45582</v>
      </c>
      <c r="B19" s="102" t="s">
        <v>65</v>
      </c>
      <c r="C19" s="102" t="s">
        <v>315</v>
      </c>
      <c r="D19" s="75"/>
      <c r="E19" s="75">
        <v>-300</v>
      </c>
      <c r="F19" s="75"/>
      <c r="G19" s="75">
        <v>-78</v>
      </c>
      <c r="H19" s="74">
        <f t="shared" si="0"/>
        <v>-56912.290000000008</v>
      </c>
    </row>
    <row r="20" spans="1:8">
      <c r="A20" s="85">
        <v>45582</v>
      </c>
      <c r="B20" s="102" t="s">
        <v>66</v>
      </c>
      <c r="C20" s="102" t="s">
        <v>315</v>
      </c>
      <c r="D20" s="75"/>
      <c r="E20" s="75">
        <v>-100</v>
      </c>
      <c r="F20" s="75"/>
      <c r="G20" s="75">
        <v>-43</v>
      </c>
      <c r="H20" s="74">
        <f t="shared" si="0"/>
        <v>-56955.290000000008</v>
      </c>
    </row>
    <row r="21" spans="1:8">
      <c r="B21" s="97"/>
      <c r="C21" s="97"/>
      <c r="D21" s="75"/>
      <c r="E21" s="75"/>
      <c r="F21" s="75"/>
      <c r="G21" s="75"/>
      <c r="H21" s="74">
        <f t="shared" si="0"/>
        <v>-56955.290000000008</v>
      </c>
    </row>
    <row r="22" spans="1:8">
      <c r="B22" t="s">
        <v>381</v>
      </c>
      <c r="C22" s="75"/>
      <c r="E22" s="75"/>
      <c r="F22" s="75"/>
      <c r="G22" s="75"/>
      <c r="H22" s="74">
        <f t="shared" si="0"/>
        <v>-56955.290000000008</v>
      </c>
    </row>
    <row r="23" spans="1:8">
      <c r="A23" s="85">
        <v>45594</v>
      </c>
      <c r="B23" s="8" t="s">
        <v>90</v>
      </c>
      <c r="C23" s="8" t="s">
        <v>306</v>
      </c>
      <c r="D23" s="75" t="s">
        <v>382</v>
      </c>
      <c r="E23" s="75">
        <v>-1380</v>
      </c>
      <c r="F23" s="75"/>
      <c r="G23" s="75">
        <v>-1380</v>
      </c>
      <c r="H23" s="74">
        <f t="shared" si="0"/>
        <v>-58335.290000000008</v>
      </c>
    </row>
    <row r="24" spans="1:8">
      <c r="A24" s="85">
        <v>45595</v>
      </c>
      <c r="B24" s="8" t="s">
        <v>383</v>
      </c>
      <c r="D24" s="75"/>
      <c r="E24" s="75">
        <v>-197.4</v>
      </c>
      <c r="F24" s="75"/>
      <c r="G24" s="75">
        <v>-206.3</v>
      </c>
      <c r="H24" s="74">
        <f t="shared" si="0"/>
        <v>-58541.590000000011</v>
      </c>
    </row>
    <row r="25" spans="1:8">
      <c r="A25" s="85">
        <v>45593</v>
      </c>
      <c r="B25" s="8" t="s">
        <v>69</v>
      </c>
      <c r="D25" s="75"/>
      <c r="E25" s="75">
        <v>-6500</v>
      </c>
      <c r="F25" s="75"/>
      <c r="G25" s="75">
        <v>-6500</v>
      </c>
      <c r="H25" s="74">
        <f t="shared" si="0"/>
        <v>-65041.590000000011</v>
      </c>
    </row>
    <row r="26" spans="1:8">
      <c r="A26" s="85">
        <v>45593</v>
      </c>
      <c r="B26" s="8" t="s">
        <v>70</v>
      </c>
      <c r="D26" s="75"/>
      <c r="E26" s="75">
        <v>-6500</v>
      </c>
      <c r="F26" s="75"/>
      <c r="G26" s="75">
        <v>-6500</v>
      </c>
      <c r="H26" s="74">
        <f t="shared" si="0"/>
        <v>-71541.590000000011</v>
      </c>
    </row>
    <row r="27" spans="1:8">
      <c r="B27" t="s">
        <v>71</v>
      </c>
      <c r="D27" s="75"/>
      <c r="E27" s="75">
        <v>-6500</v>
      </c>
      <c r="F27" s="75"/>
      <c r="G27" s="75">
        <v>-6500</v>
      </c>
      <c r="H27" s="74">
        <f t="shared" si="0"/>
        <v>-78041.590000000011</v>
      </c>
    </row>
    <row r="28" spans="1:8">
      <c r="D28" s="75"/>
      <c r="E28" s="75"/>
      <c r="F28" s="75"/>
      <c r="G28" s="75"/>
      <c r="H28" s="74">
        <f t="shared" si="0"/>
        <v>-78041.590000000011</v>
      </c>
    </row>
    <row r="29" spans="1:8">
      <c r="A29" s="85">
        <v>45592</v>
      </c>
      <c r="B29" s="8" t="s">
        <v>68</v>
      </c>
      <c r="D29" s="75">
        <v>12984.15</v>
      </c>
      <c r="E29" s="75"/>
      <c r="F29" s="75">
        <v>13006.38</v>
      </c>
      <c r="G29" s="75"/>
      <c r="H29" s="74">
        <f t="shared" si="0"/>
        <v>-65035.210000000014</v>
      </c>
    </row>
    <row r="30" spans="1:8">
      <c r="A30" s="96">
        <v>45590</v>
      </c>
      <c r="B30" s="79" t="s">
        <v>384</v>
      </c>
      <c r="F30" s="74">
        <v>6000</v>
      </c>
      <c r="H30" s="74">
        <f t="shared" si="0"/>
        <v>-59035.210000000014</v>
      </c>
    </row>
    <row r="31" spans="1:8">
      <c r="A31" s="96"/>
      <c r="B31" s="159" t="s">
        <v>346</v>
      </c>
      <c r="C31" s="159"/>
      <c r="D31" s="104">
        <v>15000</v>
      </c>
      <c r="H31" s="74">
        <f t="shared" si="0"/>
        <v>-59035.210000000014</v>
      </c>
    </row>
    <row r="32" spans="1:8">
      <c r="A32" s="96"/>
      <c r="H32" s="74">
        <f t="shared" si="0"/>
        <v>-59035.210000000014</v>
      </c>
    </row>
    <row r="33" spans="1:8">
      <c r="B33" t="s">
        <v>385</v>
      </c>
      <c r="C33" s="160">
        <v>0.234011</v>
      </c>
      <c r="H33" s="74">
        <f t="shared" si="0"/>
        <v>-59035.210000000014</v>
      </c>
    </row>
    <row r="34" spans="1:8">
      <c r="B34" s="159" t="s">
        <v>386</v>
      </c>
      <c r="C34" s="159"/>
      <c r="D34" s="104"/>
      <c r="E34" s="104">
        <v>-10000</v>
      </c>
    </row>
    <row r="35" spans="1:8" ht="15.75">
      <c r="B35" s="168"/>
    </row>
    <row r="37" spans="1:8">
      <c r="B37" t="s">
        <v>317</v>
      </c>
    </row>
    <row r="38" spans="1:8">
      <c r="A38" s="99" t="s">
        <v>318</v>
      </c>
      <c r="B38" s="99"/>
      <c r="C38" s="99"/>
    </row>
    <row r="39" spans="1:8">
      <c r="A39" s="96"/>
      <c r="C39" s="160"/>
    </row>
    <row r="40" spans="1:8">
      <c r="A40" s="161">
        <v>44929</v>
      </c>
      <c r="B40" s="162" t="s">
        <v>319</v>
      </c>
      <c r="C40" s="99"/>
      <c r="D40" s="74">
        <f>SUM(D41:D46)</f>
        <v>0</v>
      </c>
      <c r="E40" s="74">
        <f>SUM(E41:E46)</f>
        <v>0</v>
      </c>
    </row>
    <row r="41" spans="1:8">
      <c r="A41" s="96"/>
      <c r="B41" s="102" t="s">
        <v>320</v>
      </c>
    </row>
    <row r="42" spans="1:8">
      <c r="B42" t="s">
        <v>321</v>
      </c>
    </row>
    <row r="43" spans="1:8">
      <c r="B43" t="s">
        <v>322</v>
      </c>
    </row>
    <row r="44" spans="1:8">
      <c r="B44" t="s">
        <v>323</v>
      </c>
    </row>
    <row r="45" spans="1:8">
      <c r="B45" t="s">
        <v>324</v>
      </c>
    </row>
    <row r="46" spans="1:8">
      <c r="B46" t="s">
        <v>325</v>
      </c>
      <c r="C46" s="102"/>
    </row>
    <row r="47" spans="1:8">
      <c r="C47" s="102"/>
    </row>
    <row r="49" spans="1:5">
      <c r="B49" s="14"/>
    </row>
    <row r="50" spans="1:5">
      <c r="B50" s="98"/>
    </row>
    <row r="51" spans="1:5">
      <c r="A51" s="99"/>
      <c r="B51" s="100" t="s">
        <v>75</v>
      </c>
      <c r="C51" s="99"/>
      <c r="E51" s="74">
        <f>SUM(E52:E63)</f>
        <v>-3066.5699999999997</v>
      </c>
    </row>
    <row r="53" spans="1:5">
      <c r="A53" s="85">
        <v>45373</v>
      </c>
      <c r="B53" s="8" t="s">
        <v>326</v>
      </c>
      <c r="C53">
        <v>10176.39</v>
      </c>
      <c r="D53" s="74" t="s">
        <v>387</v>
      </c>
      <c r="E53" s="74">
        <v>-1130.71</v>
      </c>
    </row>
    <row r="54" spans="1:5">
      <c r="A54" s="85">
        <v>45375</v>
      </c>
      <c r="B54" s="8" t="s">
        <v>328</v>
      </c>
      <c r="C54">
        <v>5999</v>
      </c>
      <c r="D54" s="74" t="s">
        <v>387</v>
      </c>
      <c r="E54" s="74">
        <v>-666.56</v>
      </c>
    </row>
    <row r="55" spans="1:5">
      <c r="A55" s="85"/>
      <c r="B55" s="8" t="s">
        <v>388</v>
      </c>
      <c r="E55" s="74">
        <v>-363.83</v>
      </c>
    </row>
    <row r="56" spans="1:5">
      <c r="B56" t="s">
        <v>389</v>
      </c>
      <c r="E56" s="74">
        <v>-905.47</v>
      </c>
    </row>
    <row r="57" spans="1:5">
      <c r="B57" t="s">
        <v>121</v>
      </c>
      <c r="C57">
        <v>8037.9</v>
      </c>
    </row>
    <row r="58" spans="1:5" ht="15">
      <c r="A58" s="96"/>
      <c r="B58" s="102"/>
      <c r="C58" s="102"/>
      <c r="D58" s="101" t="s">
        <v>76</v>
      </c>
    </row>
    <row r="59" spans="1:5">
      <c r="A59" s="96"/>
      <c r="B59" s="102"/>
      <c r="C59" s="102"/>
    </row>
    <row r="60" spans="1:5">
      <c r="A60" s="96"/>
      <c r="B60" s="103"/>
      <c r="C60" s="102"/>
    </row>
    <row r="61" spans="1:5">
      <c r="A61" s="96"/>
      <c r="B61" s="103"/>
      <c r="C61" s="102"/>
    </row>
    <row r="62" spans="1:5">
      <c r="A62" s="96"/>
      <c r="B62" s="103"/>
    </row>
    <row r="63" spans="1:5">
      <c r="A63" s="96"/>
      <c r="B63" s="103"/>
      <c r="C63" s="102"/>
    </row>
    <row r="64" spans="1:5">
      <c r="A64" s="96"/>
      <c r="B64" s="3"/>
    </row>
    <row r="65" spans="1:5">
      <c r="A65" s="96"/>
      <c r="B65" s="102"/>
      <c r="C65" s="102"/>
    </row>
    <row r="66" spans="1:5">
      <c r="A66" s="99"/>
      <c r="B66" s="100" t="s">
        <v>77</v>
      </c>
      <c r="C66" s="99"/>
      <c r="E66" s="74">
        <f>SUM(E67:E104)</f>
        <v>-71389.3</v>
      </c>
    </row>
    <row r="67" spans="1:5">
      <c r="A67" s="96"/>
      <c r="B67" s="102"/>
      <c r="C67" s="102"/>
    </row>
    <row r="68" spans="1:5">
      <c r="A68" s="96"/>
      <c r="B68" s="102" t="s">
        <v>118</v>
      </c>
      <c r="C68" s="102"/>
      <c r="E68" s="74">
        <v>-3177.5</v>
      </c>
    </row>
    <row r="69" spans="1:5">
      <c r="A69" s="96"/>
      <c r="B69" s="3"/>
      <c r="C69" s="102"/>
      <c r="E69" s="74">
        <v>-56373.38</v>
      </c>
    </row>
    <row r="70" spans="1:5">
      <c r="A70" s="96"/>
      <c r="B70" s="3"/>
      <c r="C70" s="102"/>
      <c r="E70" s="74">
        <v>-256.58999999999997</v>
      </c>
    </row>
    <row r="71" spans="1:5">
      <c r="A71" s="96"/>
      <c r="B71" s="3"/>
      <c r="C71" s="102"/>
    </row>
    <row r="72" spans="1:5">
      <c r="A72" s="96"/>
      <c r="B72" s="3" t="s">
        <v>390</v>
      </c>
      <c r="C72" s="102"/>
      <c r="E72" s="74">
        <v>-1500</v>
      </c>
    </row>
    <row r="73" spans="1:5">
      <c r="A73" s="96"/>
      <c r="B73" s="3" t="s">
        <v>391</v>
      </c>
      <c r="C73" s="102"/>
      <c r="E73" s="74">
        <v>-385</v>
      </c>
    </row>
    <row r="74" spans="1:5">
      <c r="A74" s="96"/>
      <c r="B74" s="3" t="s">
        <v>392</v>
      </c>
      <c r="C74" s="102"/>
      <c r="E74" s="74">
        <v>-195</v>
      </c>
    </row>
    <row r="75" spans="1:5">
      <c r="A75" s="96"/>
      <c r="B75" s="3">
        <v>322.04000000000002</v>
      </c>
      <c r="C75" s="102"/>
      <c r="E75" s="74">
        <v>-322.04000000000002</v>
      </c>
    </row>
    <row r="76" spans="1:5">
      <c r="A76" s="96"/>
      <c r="B76" s="3" t="s">
        <v>393</v>
      </c>
      <c r="C76" s="102"/>
      <c r="E76" s="74">
        <v>-1865</v>
      </c>
    </row>
    <row r="77" spans="1:5">
      <c r="A77" s="96"/>
      <c r="B77" s="3" t="s">
        <v>394</v>
      </c>
      <c r="C77" s="102"/>
      <c r="E77" s="74">
        <v>-80</v>
      </c>
    </row>
    <row r="78" spans="1:5">
      <c r="A78" s="96"/>
      <c r="B78" s="3" t="s">
        <v>395</v>
      </c>
      <c r="C78" s="102"/>
      <c r="E78" s="74">
        <v>-19.5</v>
      </c>
    </row>
    <row r="79" spans="1:5">
      <c r="A79" s="96"/>
      <c r="B79" s="3" t="s">
        <v>396</v>
      </c>
      <c r="C79" s="102"/>
      <c r="E79" s="74">
        <v>-706.97</v>
      </c>
    </row>
    <row r="80" spans="1:5">
      <c r="A80" s="96"/>
      <c r="B80" s="3" t="s">
        <v>397</v>
      </c>
      <c r="C80" s="102"/>
      <c r="E80" s="74">
        <v>-299.99</v>
      </c>
    </row>
    <row r="81" spans="1:5">
      <c r="A81" s="96"/>
      <c r="B81" s="3" t="s">
        <v>398</v>
      </c>
      <c r="C81" s="102"/>
      <c r="E81" s="74">
        <v>-1620</v>
      </c>
    </row>
    <row r="82" spans="1:5">
      <c r="A82" s="96"/>
      <c r="B82" s="3" t="s">
        <v>399</v>
      </c>
      <c r="C82" s="102"/>
      <c r="E82" s="74">
        <v>-66.7</v>
      </c>
    </row>
    <row r="83" spans="1:5">
      <c r="A83" s="96"/>
      <c r="B83" s="3" t="s">
        <v>400</v>
      </c>
      <c r="C83" s="102"/>
      <c r="E83" s="74">
        <v>-45</v>
      </c>
    </row>
    <row r="84" spans="1:5">
      <c r="A84" s="96"/>
      <c r="B84" s="3" t="s">
        <v>401</v>
      </c>
      <c r="C84" s="102">
        <v>69</v>
      </c>
      <c r="E84" s="74">
        <v>-69.66</v>
      </c>
    </row>
    <row r="85" spans="1:5">
      <c r="A85" s="96"/>
      <c r="B85" s="3" t="s">
        <v>402</v>
      </c>
      <c r="C85" s="102">
        <v>250</v>
      </c>
      <c r="E85" s="74">
        <v>-250</v>
      </c>
    </row>
    <row r="86" spans="1:5">
      <c r="A86" s="96"/>
      <c r="B86" s="3" t="s">
        <v>403</v>
      </c>
      <c r="C86" s="102">
        <v>145</v>
      </c>
      <c r="E86" s="74">
        <v>-145</v>
      </c>
    </row>
    <row r="87" spans="1:5">
      <c r="A87" s="96"/>
      <c r="B87" s="3" t="s">
        <v>401</v>
      </c>
      <c r="C87" s="102">
        <v>80</v>
      </c>
      <c r="E87" s="74">
        <v>-79.58</v>
      </c>
    </row>
    <row r="88" spans="1:5">
      <c r="A88" s="96"/>
      <c r="B88" s="3" t="s">
        <v>402</v>
      </c>
      <c r="C88" s="102">
        <v>300</v>
      </c>
      <c r="E88" s="74">
        <v>-300</v>
      </c>
    </row>
    <row r="89" spans="1:5">
      <c r="A89" s="96"/>
      <c r="B89" s="3" t="s">
        <v>121</v>
      </c>
      <c r="C89" s="102"/>
      <c r="D89" s="74">
        <v>21576.400000000001</v>
      </c>
    </row>
    <row r="90" spans="1:5">
      <c r="A90" s="96"/>
      <c r="B90" s="3" t="s">
        <v>401</v>
      </c>
      <c r="C90" s="102">
        <v>50</v>
      </c>
      <c r="E90" s="74">
        <v>-49.3</v>
      </c>
    </row>
    <row r="91" spans="1:5">
      <c r="A91" s="96"/>
      <c r="B91" s="3" t="s">
        <v>404</v>
      </c>
      <c r="C91" s="102"/>
      <c r="E91" s="74">
        <v>-190</v>
      </c>
    </row>
    <row r="92" spans="1:5">
      <c r="A92" s="96"/>
      <c r="B92" s="3" t="s">
        <v>401</v>
      </c>
      <c r="C92" s="102"/>
      <c r="E92" s="74">
        <v>-375.55</v>
      </c>
    </row>
    <row r="93" spans="1:5">
      <c r="A93" s="96"/>
      <c r="B93" s="3" t="s">
        <v>402</v>
      </c>
      <c r="C93" s="102">
        <v>260</v>
      </c>
      <c r="E93" s="74">
        <v>-260</v>
      </c>
    </row>
    <row r="94" spans="1:5">
      <c r="A94" s="96"/>
      <c r="B94" s="3" t="s">
        <v>401</v>
      </c>
      <c r="C94" s="102">
        <v>65.790000000000006</v>
      </c>
      <c r="E94" s="74">
        <v>-65.790000000000006</v>
      </c>
    </row>
    <row r="95" spans="1:5">
      <c r="A95" s="96"/>
      <c r="B95" s="3" t="s">
        <v>402</v>
      </c>
      <c r="C95" s="102">
        <v>330</v>
      </c>
      <c r="E95" s="74">
        <v>-330</v>
      </c>
    </row>
    <row r="96" spans="1:5">
      <c r="A96" s="96"/>
      <c r="B96" s="3" t="s">
        <v>403</v>
      </c>
      <c r="C96" s="102">
        <v>225</v>
      </c>
      <c r="E96" s="74">
        <v>-225</v>
      </c>
    </row>
    <row r="97" spans="1:5">
      <c r="A97" s="96"/>
      <c r="B97" s="3" t="s">
        <v>405</v>
      </c>
      <c r="C97" s="102"/>
      <c r="E97" s="74">
        <v>-410</v>
      </c>
    </row>
    <row r="98" spans="1:5">
      <c r="B98" s="3" t="s">
        <v>406</v>
      </c>
      <c r="E98" s="74">
        <v>-27.25</v>
      </c>
    </row>
    <row r="99" spans="1:5">
      <c r="B99" s="3" t="s">
        <v>407</v>
      </c>
      <c r="E99" s="74">
        <v>-70</v>
      </c>
    </row>
    <row r="100" spans="1:5">
      <c r="B100" s="3" t="s">
        <v>408</v>
      </c>
      <c r="E100" s="74">
        <v>-350</v>
      </c>
    </row>
    <row r="101" spans="1:5">
      <c r="B101" s="3" t="s">
        <v>404</v>
      </c>
      <c r="E101" s="74">
        <v>-420</v>
      </c>
    </row>
    <row r="102" spans="1:5">
      <c r="B102" s="3" t="s">
        <v>409</v>
      </c>
      <c r="E102" s="74">
        <v>-154.5</v>
      </c>
    </row>
    <row r="103" spans="1:5">
      <c r="B103" s="3" t="s">
        <v>404</v>
      </c>
      <c r="E103" s="74">
        <v>-290</v>
      </c>
    </row>
    <row r="104" spans="1:5">
      <c r="B104" s="3" t="s">
        <v>402</v>
      </c>
      <c r="C104">
        <v>415</v>
      </c>
      <c r="E104" s="74">
        <v>-415</v>
      </c>
    </row>
    <row r="105" spans="1:5">
      <c r="B105" s="32" t="s">
        <v>410</v>
      </c>
      <c r="C105" s="8">
        <f>SUM(C81:C104)</f>
        <v>2189.79</v>
      </c>
    </row>
    <row r="106" spans="1:5" ht="15">
      <c r="D106" s="101" t="s">
        <v>76</v>
      </c>
    </row>
    <row r="111" spans="1:5">
      <c r="A111" s="109" t="s">
        <v>411</v>
      </c>
      <c r="B111" s="100" t="s">
        <v>128</v>
      </c>
      <c r="C111" s="99">
        <v>2024</v>
      </c>
      <c r="D111" s="147"/>
      <c r="E111" s="148">
        <f>SUM(E112:E133)</f>
        <v>726058.6</v>
      </c>
    </row>
    <row r="112" spans="1:5">
      <c r="A112" s="149">
        <v>45565</v>
      </c>
      <c r="B112" s="8" t="s">
        <v>69</v>
      </c>
      <c r="C112" s="2"/>
      <c r="D112" s="2"/>
      <c r="E112" s="2">
        <v>0</v>
      </c>
    </row>
    <row r="113" spans="1:5">
      <c r="A113" s="149">
        <f>A112</f>
        <v>45565</v>
      </c>
      <c r="B113" s="8" t="s">
        <v>370</v>
      </c>
      <c r="C113" s="2"/>
      <c r="D113" s="2"/>
      <c r="E113" s="2">
        <v>0</v>
      </c>
    </row>
    <row r="114" spans="1:5">
      <c r="A114" s="149"/>
      <c r="B114" s="8" t="s">
        <v>1726</v>
      </c>
      <c r="C114" s="471">
        <v>407100</v>
      </c>
      <c r="D114" s="2">
        <v>41600</v>
      </c>
      <c r="E114" s="2">
        <f>C114-D114</f>
        <v>365500</v>
      </c>
    </row>
    <row r="115" spans="1:5">
      <c r="A115" s="149">
        <f>A113</f>
        <v>45565</v>
      </c>
      <c r="B115" s="8" t="s">
        <v>131</v>
      </c>
      <c r="C115" s="2"/>
      <c r="D115" s="2"/>
      <c r="E115" s="14">
        <v>1492</v>
      </c>
    </row>
    <row r="116" spans="1:5">
      <c r="A116" s="149">
        <f>A113</f>
        <v>45565</v>
      </c>
      <c r="B116" s="8" t="s">
        <v>133</v>
      </c>
      <c r="C116" s="2">
        <v>40</v>
      </c>
      <c r="D116" s="163">
        <v>852</v>
      </c>
      <c r="E116" s="14">
        <f t="shared" ref="E116:E122" si="1">D116*C116</f>
        <v>34080</v>
      </c>
    </row>
    <row r="117" spans="1:5">
      <c r="A117" s="149">
        <f>A122</f>
        <v>45565</v>
      </c>
      <c r="B117" s="8" t="s">
        <v>372</v>
      </c>
      <c r="C117" s="2">
        <v>30.96</v>
      </c>
      <c r="D117" s="2">
        <v>4000</v>
      </c>
      <c r="E117" s="14">
        <f t="shared" si="1"/>
        <v>123840</v>
      </c>
    </row>
    <row r="118" spans="1:5">
      <c r="A118" s="149">
        <f>A115</f>
        <v>45565</v>
      </c>
      <c r="B118" s="8" t="s">
        <v>135</v>
      </c>
      <c r="C118" s="164">
        <v>125000</v>
      </c>
      <c r="D118" s="163">
        <v>0.77300000000000002</v>
      </c>
      <c r="E118" s="14">
        <f t="shared" si="1"/>
        <v>96625</v>
      </c>
    </row>
    <row r="119" spans="1:5">
      <c r="A119" s="149">
        <f>A116</f>
        <v>45565</v>
      </c>
      <c r="B119" s="8" t="s">
        <v>136</v>
      </c>
      <c r="C119" s="2">
        <v>10</v>
      </c>
      <c r="D119" s="2">
        <v>124.8</v>
      </c>
      <c r="E119" s="14">
        <f t="shared" si="1"/>
        <v>1248</v>
      </c>
    </row>
    <row r="120" spans="1:5">
      <c r="A120" s="149">
        <f>A119</f>
        <v>45565</v>
      </c>
      <c r="B120" s="8" t="s">
        <v>137</v>
      </c>
      <c r="C120" s="2">
        <v>38</v>
      </c>
      <c r="D120" s="2">
        <v>19.22</v>
      </c>
      <c r="E120" s="14">
        <f t="shared" si="1"/>
        <v>730.3599999999999</v>
      </c>
    </row>
    <row r="121" spans="1:5">
      <c r="A121" s="149">
        <f>A120</f>
        <v>45565</v>
      </c>
      <c r="B121" s="8" t="s">
        <v>138</v>
      </c>
      <c r="C121" s="2">
        <v>26</v>
      </c>
      <c r="D121" s="2">
        <v>24.74</v>
      </c>
      <c r="E121" s="14">
        <f t="shared" si="1"/>
        <v>643.24</v>
      </c>
    </row>
    <row r="122" spans="1:5">
      <c r="A122" s="149">
        <f>A121</f>
        <v>45565</v>
      </c>
      <c r="B122" s="8" t="s">
        <v>132</v>
      </c>
      <c r="C122" s="2"/>
      <c r="D122" s="2"/>
      <c r="E122" s="14">
        <f t="shared" si="1"/>
        <v>0</v>
      </c>
    </row>
    <row r="124" spans="1:5">
      <c r="A124" s="149">
        <f>A117</f>
        <v>45565</v>
      </c>
      <c r="C124" s="2"/>
      <c r="D124" s="2"/>
      <c r="E124" s="14">
        <f>D124*C124</f>
        <v>0</v>
      </c>
    </row>
    <row r="125" spans="1:5">
      <c r="A125" s="149">
        <f>A124</f>
        <v>45565</v>
      </c>
      <c r="C125" s="2"/>
      <c r="D125" s="2"/>
      <c r="E125" s="14">
        <f>D125*C125</f>
        <v>0</v>
      </c>
    </row>
    <row r="126" spans="1:5">
      <c r="A126" s="149">
        <f>A125</f>
        <v>45565</v>
      </c>
      <c r="B126" s="8" t="s">
        <v>412</v>
      </c>
      <c r="C126" s="2">
        <v>2900</v>
      </c>
      <c r="D126" s="2">
        <v>1</v>
      </c>
      <c r="E126" s="14">
        <f>D126*C126</f>
        <v>2900</v>
      </c>
    </row>
    <row r="127" spans="1:5">
      <c r="A127" s="149">
        <f>A126</f>
        <v>45565</v>
      </c>
      <c r="B127" s="8" t="s">
        <v>413</v>
      </c>
      <c r="C127" s="2">
        <v>4900</v>
      </c>
      <c r="D127" s="2">
        <v>16</v>
      </c>
      <c r="E127" s="14">
        <f>D127*C127</f>
        <v>78400</v>
      </c>
    </row>
    <row r="128" spans="1:5">
      <c r="A128" s="149">
        <f>A127</f>
        <v>45565</v>
      </c>
      <c r="B128" s="8" t="s">
        <v>414</v>
      </c>
      <c r="C128" s="2">
        <v>19600</v>
      </c>
      <c r="D128" s="2">
        <v>1</v>
      </c>
      <c r="E128" s="14">
        <f>D128*C128</f>
        <v>19600</v>
      </c>
    </row>
    <row r="129" spans="1:5">
      <c r="A129" s="149">
        <f>A128</f>
        <v>45565</v>
      </c>
      <c r="C129" s="2"/>
      <c r="D129" s="2"/>
      <c r="E129" s="14"/>
    </row>
    <row r="130" spans="1:5">
      <c r="A130" s="149">
        <f>A126</f>
        <v>45565</v>
      </c>
      <c r="B130" s="8" t="s">
        <v>142</v>
      </c>
      <c r="C130" s="116">
        <v>33.250599999999999</v>
      </c>
      <c r="D130" s="2"/>
      <c r="E130" s="14"/>
    </row>
    <row r="131" spans="1:5">
      <c r="A131" s="149">
        <f>A130</f>
        <v>45565</v>
      </c>
      <c r="B131" s="8" t="s">
        <v>143</v>
      </c>
      <c r="C131" s="116">
        <v>36.854999999999997</v>
      </c>
      <c r="D131" s="2"/>
      <c r="E131" s="14">
        <f>D131*C131</f>
        <v>0</v>
      </c>
    </row>
    <row r="132" spans="1:5">
      <c r="A132" s="149">
        <f>A131</f>
        <v>45565</v>
      </c>
      <c r="B132" s="8" t="s">
        <v>144</v>
      </c>
      <c r="C132" s="2"/>
      <c r="D132" s="2"/>
      <c r="E132" s="14">
        <v>0</v>
      </c>
    </row>
    <row r="133" spans="1:5">
      <c r="A133" s="149">
        <f>A132</f>
        <v>45565</v>
      </c>
      <c r="B133" s="8" t="s">
        <v>145</v>
      </c>
      <c r="C133" s="2"/>
      <c r="D133" s="2"/>
      <c r="E133" s="14">
        <v>1000</v>
      </c>
    </row>
    <row r="134" spans="1:5">
      <c r="E134" s="165"/>
    </row>
    <row r="135" spans="1:5">
      <c r="C135" s="120"/>
      <c r="D135" s="3"/>
      <c r="E135" s="120"/>
    </row>
    <row r="136" spans="1:5">
      <c r="C136" s="120"/>
      <c r="D136" s="15" t="s">
        <v>147</v>
      </c>
      <c r="E136" s="9">
        <f>SUM(E112:E133)</f>
        <v>726058.6</v>
      </c>
    </row>
    <row r="137" spans="1:5">
      <c r="C137" s="121" t="str">
        <f>A111</f>
        <v>EKİMe</v>
      </c>
      <c r="D137" s="122" t="s">
        <v>148</v>
      </c>
      <c r="E137" s="123">
        <f>H12</f>
        <v>-85549.290000000008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2F0D9"/>
  </sheetPr>
  <dimension ref="A1:H127"/>
  <sheetViews>
    <sheetView zoomScale="145" zoomScaleNormal="145" workbookViewId="0">
      <selection activeCell="E112" sqref="E1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415</v>
      </c>
      <c r="C2" s="76" t="s">
        <v>59</v>
      </c>
      <c r="D2" s="74">
        <f>SUM(D4:D28)</f>
        <v>36484.15</v>
      </c>
      <c r="E2" s="74">
        <f>SUM(E4:E28)</f>
        <v>-81364.900000000009</v>
      </c>
      <c r="F2" s="74">
        <f>SUM(F4:F28)</f>
        <v>98006.38</v>
      </c>
      <c r="G2" s="74">
        <f>SUM(G4:G28)</f>
        <v>-69863.539999999994</v>
      </c>
      <c r="H2" s="74">
        <f>F2+G2</f>
        <v>28142.840000000011</v>
      </c>
    </row>
    <row r="3" spans="1:8">
      <c r="B3" s="15"/>
    </row>
    <row r="4" spans="1:8">
      <c r="A4" s="85">
        <v>45534</v>
      </c>
      <c r="B4" s="38" t="s">
        <v>416</v>
      </c>
      <c r="D4" s="75"/>
      <c r="E4" s="75">
        <v>-152</v>
      </c>
      <c r="F4" s="75"/>
      <c r="G4" s="75">
        <v>-162.11000000000001</v>
      </c>
      <c r="H4" s="74">
        <f t="shared" ref="H4:H30" si="0">H3+F4+G4</f>
        <v>-162.11000000000001</v>
      </c>
    </row>
    <row r="5" spans="1:8">
      <c r="A5" s="85"/>
      <c r="B5" s="97" t="s">
        <v>417</v>
      </c>
      <c r="C5" s="97" t="s">
        <v>344</v>
      </c>
      <c r="E5" s="75">
        <v>-250</v>
      </c>
      <c r="F5" s="75"/>
      <c r="G5" s="75"/>
      <c r="H5" s="74">
        <f t="shared" si="0"/>
        <v>-162.11000000000001</v>
      </c>
    </row>
    <row r="6" spans="1:8">
      <c r="A6" s="154">
        <v>45538</v>
      </c>
      <c r="B6" s="166" t="s">
        <v>61</v>
      </c>
      <c r="D6" s="75"/>
      <c r="E6" s="75">
        <f>E61</f>
        <v>-21576.400000000001</v>
      </c>
      <c r="F6" s="75"/>
      <c r="G6" s="75">
        <f>E6</f>
        <v>-21576.400000000001</v>
      </c>
      <c r="H6" s="74">
        <f t="shared" si="0"/>
        <v>-21738.510000000002</v>
      </c>
    </row>
    <row r="7" spans="1:8">
      <c r="A7" s="85">
        <v>45539</v>
      </c>
      <c r="B7" s="166" t="s">
        <v>60</v>
      </c>
      <c r="D7" s="75"/>
      <c r="E7" s="75">
        <f>E46</f>
        <v>-8037.9</v>
      </c>
      <c r="F7" s="75"/>
      <c r="G7" s="75">
        <f>E7</f>
        <v>-8037.9</v>
      </c>
      <c r="H7" s="74">
        <f t="shared" si="0"/>
        <v>-29776.410000000003</v>
      </c>
    </row>
    <row r="8" spans="1:8">
      <c r="A8" s="85"/>
      <c r="B8" s="97" t="s">
        <v>62</v>
      </c>
      <c r="C8" s="97"/>
      <c r="E8" s="75">
        <v>-1500</v>
      </c>
      <c r="F8" s="75"/>
      <c r="G8" s="75">
        <v>-1514.73</v>
      </c>
      <c r="H8" s="74">
        <f t="shared" si="0"/>
        <v>-31291.140000000003</v>
      </c>
    </row>
    <row r="9" spans="1:8">
      <c r="A9" s="85"/>
      <c r="B9" s="97" t="s">
        <v>418</v>
      </c>
      <c r="C9" s="97"/>
      <c r="E9" s="75">
        <v>-17500</v>
      </c>
      <c r="F9" s="75"/>
      <c r="G9" s="75">
        <v>-17500</v>
      </c>
      <c r="H9" s="74">
        <f t="shared" si="0"/>
        <v>-48791.14</v>
      </c>
    </row>
    <row r="10" spans="1:8">
      <c r="A10" s="85"/>
      <c r="B10" s="102" t="s">
        <v>64</v>
      </c>
      <c r="E10" s="74">
        <f>E41*-1</f>
        <v>0</v>
      </c>
      <c r="F10" s="75"/>
      <c r="G10" s="75">
        <v>-5</v>
      </c>
      <c r="H10" s="74">
        <f t="shared" si="0"/>
        <v>-48796.14</v>
      </c>
    </row>
    <row r="11" spans="1:8">
      <c r="A11" s="85">
        <v>45544</v>
      </c>
      <c r="B11" s="8" t="s">
        <v>419</v>
      </c>
      <c r="C11" s="8" t="s">
        <v>420</v>
      </c>
      <c r="E11" s="75"/>
      <c r="F11" s="75">
        <v>15000</v>
      </c>
      <c r="G11" s="75"/>
      <c r="H11" s="74">
        <f t="shared" si="0"/>
        <v>-33796.14</v>
      </c>
    </row>
    <row r="12" spans="1:8">
      <c r="A12" s="85">
        <v>45551</v>
      </c>
      <c r="B12" s="102" t="s">
        <v>65</v>
      </c>
      <c r="C12" s="102" t="s">
        <v>315</v>
      </c>
      <c r="E12" s="75">
        <v>-300</v>
      </c>
      <c r="F12" s="75"/>
      <c r="G12" s="75">
        <v>-76</v>
      </c>
      <c r="H12" s="74">
        <f t="shared" si="0"/>
        <v>-33872.14</v>
      </c>
    </row>
    <row r="13" spans="1:8">
      <c r="A13" s="85">
        <v>45551</v>
      </c>
      <c r="B13" s="102" t="s">
        <v>66</v>
      </c>
      <c r="C13" s="102" t="s">
        <v>315</v>
      </c>
      <c r="E13" s="75">
        <v>-100</v>
      </c>
      <c r="F13" s="75"/>
      <c r="G13" s="75">
        <v>-34</v>
      </c>
      <c r="H13" s="74">
        <f t="shared" si="0"/>
        <v>-33906.14</v>
      </c>
    </row>
    <row r="14" spans="1:8">
      <c r="A14" s="85">
        <v>45552</v>
      </c>
      <c r="B14" s="8" t="s">
        <v>421</v>
      </c>
      <c r="F14" s="75">
        <v>34000</v>
      </c>
      <c r="H14" s="74">
        <f t="shared" si="0"/>
        <v>93.860000000000582</v>
      </c>
    </row>
    <row r="15" spans="1:8">
      <c r="A15" s="85">
        <v>45550</v>
      </c>
      <c r="B15" s="79" t="s">
        <v>422</v>
      </c>
      <c r="F15" s="74">
        <v>30000</v>
      </c>
      <c r="H15" s="74">
        <f t="shared" si="0"/>
        <v>30093.86</v>
      </c>
    </row>
    <row r="16" spans="1:8">
      <c r="B16" t="s">
        <v>69</v>
      </c>
      <c r="E16" s="75">
        <v>-6500</v>
      </c>
      <c r="F16" s="75"/>
      <c r="G16" s="75">
        <v>-6500</v>
      </c>
      <c r="H16" s="74">
        <f t="shared" si="0"/>
        <v>23593.86</v>
      </c>
    </row>
    <row r="17" spans="1:8">
      <c r="B17" t="s">
        <v>70</v>
      </c>
      <c r="E17" s="75">
        <v>-6500</v>
      </c>
      <c r="F17" s="75"/>
      <c r="G17" s="75">
        <v>-6500</v>
      </c>
      <c r="H17" s="74">
        <f t="shared" si="0"/>
        <v>17093.86</v>
      </c>
    </row>
    <row r="18" spans="1:8">
      <c r="B18" t="s">
        <v>71</v>
      </c>
      <c r="E18" s="75">
        <v>-6500</v>
      </c>
      <c r="F18" s="75"/>
      <c r="G18" s="75">
        <v>-6500</v>
      </c>
      <c r="H18" s="74">
        <f t="shared" si="0"/>
        <v>10593.86</v>
      </c>
    </row>
    <row r="19" spans="1:8">
      <c r="B19" t="s">
        <v>68</v>
      </c>
      <c r="D19" s="75">
        <v>12984.15</v>
      </c>
      <c r="E19" s="75"/>
      <c r="F19" s="75">
        <v>13006.38</v>
      </c>
      <c r="H19" s="74">
        <f t="shared" si="0"/>
        <v>23600.239999999998</v>
      </c>
    </row>
    <row r="20" spans="1:8">
      <c r="A20" s="96"/>
      <c r="B20" s="97" t="s">
        <v>72</v>
      </c>
      <c r="C20" s="97"/>
      <c r="E20" s="75">
        <v>-400</v>
      </c>
      <c r="F20" s="75"/>
      <c r="G20" s="75">
        <v>-455</v>
      </c>
      <c r="H20" s="74">
        <f t="shared" si="0"/>
        <v>23145.239999999998</v>
      </c>
    </row>
    <row r="21" spans="1:8">
      <c r="A21" s="96">
        <v>45565</v>
      </c>
      <c r="B21" s="97" t="s">
        <v>73</v>
      </c>
      <c r="C21" s="97"/>
      <c r="E21" s="75">
        <v>-500</v>
      </c>
      <c r="F21" s="75"/>
      <c r="G21" s="75">
        <v>-805</v>
      </c>
      <c r="H21" s="74">
        <f t="shared" si="0"/>
        <v>22340.239999999998</v>
      </c>
    </row>
    <row r="22" spans="1:8">
      <c r="A22" s="85">
        <v>45564</v>
      </c>
      <c r="B22" s="8" t="s">
        <v>90</v>
      </c>
      <c r="C22" s="8" t="s">
        <v>423</v>
      </c>
      <c r="D22" s="75" t="s">
        <v>424</v>
      </c>
      <c r="E22" s="74">
        <v>-1398.6</v>
      </c>
      <c r="H22" s="74">
        <f t="shared" si="0"/>
        <v>22340.239999999998</v>
      </c>
    </row>
    <row r="23" spans="1:8">
      <c r="A23" s="85">
        <v>45564</v>
      </c>
      <c r="B23" s="79" t="s">
        <v>425</v>
      </c>
      <c r="D23" s="75"/>
      <c r="F23" s="74">
        <v>6000</v>
      </c>
      <c r="H23" s="74">
        <f t="shared" si="0"/>
        <v>28340.239999999998</v>
      </c>
    </row>
    <row r="24" spans="1:8">
      <c r="A24" s="85">
        <v>45565</v>
      </c>
      <c r="B24" s="8" t="s">
        <v>426</v>
      </c>
      <c r="G24" s="75">
        <v>-197.4</v>
      </c>
      <c r="H24" s="74">
        <f t="shared" si="0"/>
        <v>28142.839999999997</v>
      </c>
    </row>
    <row r="25" spans="1:8">
      <c r="B25" s="159" t="s">
        <v>427</v>
      </c>
      <c r="C25" s="159"/>
      <c r="D25" s="169">
        <v>8500</v>
      </c>
      <c r="H25" s="74">
        <f t="shared" si="0"/>
        <v>28142.839999999997</v>
      </c>
    </row>
    <row r="26" spans="1:8">
      <c r="A26" s="85">
        <v>45574</v>
      </c>
      <c r="B26" s="159" t="s">
        <v>377</v>
      </c>
      <c r="C26" s="159"/>
      <c r="D26" s="80">
        <v>15000</v>
      </c>
      <c r="H26" s="74">
        <f t="shared" si="0"/>
        <v>28142.839999999997</v>
      </c>
    </row>
    <row r="27" spans="1:8">
      <c r="B27" s="159" t="s">
        <v>386</v>
      </c>
      <c r="C27" s="159"/>
      <c r="D27" s="104"/>
      <c r="E27" s="104">
        <v>-10000</v>
      </c>
      <c r="H27" s="74">
        <f t="shared" si="0"/>
        <v>28142.839999999997</v>
      </c>
    </row>
    <row r="28" spans="1:8">
      <c r="B28" s="97" t="s">
        <v>67</v>
      </c>
      <c r="C28" s="97" t="s">
        <v>315</v>
      </c>
      <c r="E28" s="74">
        <v>-150</v>
      </c>
      <c r="H28" s="74">
        <f t="shared" si="0"/>
        <v>28142.839999999997</v>
      </c>
    </row>
    <row r="29" spans="1:8">
      <c r="A29" s="85">
        <v>45574</v>
      </c>
      <c r="B29" s="103" t="s">
        <v>428</v>
      </c>
      <c r="G29" s="75">
        <v>-10000</v>
      </c>
      <c r="H29" s="74">
        <f t="shared" si="0"/>
        <v>18142.839999999997</v>
      </c>
    </row>
    <row r="30" spans="1:8">
      <c r="B30" t="s">
        <v>429</v>
      </c>
      <c r="C30" s="160">
        <v>0.234011</v>
      </c>
      <c r="D30" s="74">
        <v>144000</v>
      </c>
      <c r="H30" s="74">
        <f t="shared" si="0"/>
        <v>18142.839999999997</v>
      </c>
    </row>
    <row r="31" spans="1:8">
      <c r="C31" s="160"/>
    </row>
    <row r="32" spans="1:8">
      <c r="B32" t="s">
        <v>317</v>
      </c>
    </row>
    <row r="33" spans="1:5">
      <c r="A33" s="99" t="s">
        <v>318</v>
      </c>
      <c r="B33" s="99"/>
      <c r="C33" s="99"/>
    </row>
    <row r="34" spans="1:5">
      <c r="A34" s="96"/>
      <c r="C34" s="160"/>
    </row>
    <row r="35" spans="1:5">
      <c r="A35" s="161">
        <v>44929</v>
      </c>
      <c r="B35" s="162" t="s">
        <v>319</v>
      </c>
      <c r="C35" s="99"/>
      <c r="D35" s="74">
        <f>SUM(D36:D41)</f>
        <v>0</v>
      </c>
      <c r="E35" s="74">
        <f>SUM(E36:E41)</f>
        <v>0</v>
      </c>
    </row>
    <row r="36" spans="1:5">
      <c r="A36" s="96"/>
      <c r="B36" s="102" t="s">
        <v>320</v>
      </c>
    </row>
    <row r="37" spans="1:5">
      <c r="B37" t="s">
        <v>321</v>
      </c>
    </row>
    <row r="38" spans="1:5">
      <c r="B38" t="s">
        <v>322</v>
      </c>
    </row>
    <row r="39" spans="1:5">
      <c r="B39" t="s">
        <v>323</v>
      </c>
    </row>
    <row r="40" spans="1:5">
      <c r="B40" t="s">
        <v>324</v>
      </c>
    </row>
    <row r="41" spans="1:5">
      <c r="B41" t="s">
        <v>325</v>
      </c>
      <c r="C41" s="102"/>
    </row>
    <row r="42" spans="1:5">
      <c r="C42" s="102"/>
    </row>
    <row r="44" spans="1:5">
      <c r="B44" s="14"/>
    </row>
    <row r="45" spans="1:5">
      <c r="B45" s="98"/>
    </row>
    <row r="46" spans="1:5">
      <c r="A46" s="99"/>
      <c r="B46" s="100" t="s">
        <v>75</v>
      </c>
      <c r="C46" s="99"/>
      <c r="E46" s="74">
        <f>SUM(E47:E58)</f>
        <v>-8037.9</v>
      </c>
    </row>
    <row r="48" spans="1:5">
      <c r="A48" s="85">
        <v>45348</v>
      </c>
      <c r="B48" s="8" t="s">
        <v>430</v>
      </c>
      <c r="C48">
        <v>1406</v>
      </c>
      <c r="D48" s="74" t="s">
        <v>431</v>
      </c>
      <c r="E48" s="74">
        <v>-234.35</v>
      </c>
    </row>
    <row r="49" spans="1:5">
      <c r="A49" s="85">
        <v>45373</v>
      </c>
      <c r="B49" s="8" t="s">
        <v>326</v>
      </c>
      <c r="C49">
        <v>10176.39</v>
      </c>
      <c r="D49" s="74" t="s">
        <v>432</v>
      </c>
      <c r="E49" s="74">
        <v>-1130.71</v>
      </c>
    </row>
    <row r="50" spans="1:5">
      <c r="A50" s="85">
        <v>45375</v>
      </c>
      <c r="B50" s="8" t="s">
        <v>328</v>
      </c>
      <c r="C50">
        <v>5999</v>
      </c>
      <c r="D50" s="74" t="s">
        <v>432</v>
      </c>
      <c r="E50" s="74">
        <v>-666.56</v>
      </c>
    </row>
    <row r="51" spans="1:5">
      <c r="A51" s="85">
        <v>45358</v>
      </c>
      <c r="B51" s="8" t="s">
        <v>433</v>
      </c>
      <c r="C51">
        <v>2273</v>
      </c>
      <c r="D51" s="74" t="s">
        <v>431</v>
      </c>
      <c r="E51" s="74">
        <v>-378.87</v>
      </c>
    </row>
    <row r="52" spans="1:5">
      <c r="A52" s="85">
        <v>45371</v>
      </c>
      <c r="B52" s="8" t="s">
        <v>434</v>
      </c>
      <c r="D52" s="74" t="s">
        <v>431</v>
      </c>
      <c r="E52" s="74">
        <v>101.79</v>
      </c>
    </row>
    <row r="53" spans="1:5">
      <c r="A53" s="96">
        <v>45456</v>
      </c>
      <c r="B53" s="103" t="s">
        <v>435</v>
      </c>
      <c r="C53" s="102"/>
      <c r="D53" s="74" t="s">
        <v>436</v>
      </c>
      <c r="E53" s="74">
        <v>-3923.34</v>
      </c>
    </row>
    <row r="54" spans="1:5">
      <c r="A54" s="96"/>
      <c r="B54" s="102"/>
      <c r="C54" s="102"/>
    </row>
    <row r="55" spans="1:5">
      <c r="A55" s="96"/>
      <c r="B55" s="103" t="s">
        <v>121</v>
      </c>
      <c r="C55" s="102">
        <v>8154.2</v>
      </c>
    </row>
    <row r="56" spans="1:5">
      <c r="A56" s="96"/>
      <c r="B56" s="103" t="s">
        <v>437</v>
      </c>
      <c r="C56" s="102"/>
      <c r="E56" s="74">
        <v>-1805.86</v>
      </c>
    </row>
    <row r="57" spans="1:5" ht="15">
      <c r="A57" s="96"/>
      <c r="B57" s="103"/>
      <c r="C57" s="101" t="s">
        <v>76</v>
      </c>
    </row>
    <row r="58" spans="1:5">
      <c r="A58" s="96"/>
      <c r="B58" s="103"/>
      <c r="C58" s="102"/>
    </row>
    <row r="59" spans="1:5">
      <c r="A59" s="96"/>
      <c r="B59" s="3"/>
    </row>
    <row r="60" spans="1:5">
      <c r="A60" s="96"/>
      <c r="B60" s="102"/>
      <c r="C60" s="102"/>
    </row>
    <row r="61" spans="1:5">
      <c r="A61" s="99"/>
      <c r="B61" s="100" t="s">
        <v>77</v>
      </c>
      <c r="C61" s="99"/>
      <c r="E61" s="74">
        <f>SUM(E62:E70)</f>
        <v>-21576.400000000001</v>
      </c>
    </row>
    <row r="62" spans="1:5">
      <c r="A62" s="96"/>
      <c r="B62" s="102"/>
      <c r="C62" s="102"/>
    </row>
    <row r="63" spans="1:5">
      <c r="A63" s="96"/>
      <c r="B63" s="102"/>
      <c r="C63" s="102"/>
      <c r="E63" s="74">
        <v>-21576.400000000001</v>
      </c>
    </row>
    <row r="64" spans="1:5" ht="15">
      <c r="A64" s="96"/>
      <c r="B64" s="3"/>
      <c r="C64" s="101" t="s">
        <v>76</v>
      </c>
    </row>
    <row r="65" spans="1:3">
      <c r="A65" s="96"/>
      <c r="B65" s="3"/>
      <c r="C65" s="102"/>
    </row>
    <row r="66" spans="1:3">
      <c r="A66" s="96"/>
      <c r="B66" s="3"/>
      <c r="C66" s="102"/>
    </row>
    <row r="67" spans="1:3">
      <c r="A67" s="96"/>
      <c r="B67" s="3"/>
      <c r="C67" s="102"/>
    </row>
    <row r="68" spans="1:3">
      <c r="A68" s="96"/>
      <c r="B68" s="3"/>
      <c r="C68" s="102"/>
    </row>
    <row r="69" spans="1:3">
      <c r="A69" s="96"/>
      <c r="B69" s="3"/>
      <c r="C69" s="102"/>
    </row>
    <row r="70" spans="1:3">
      <c r="A70" s="96"/>
      <c r="B70" s="3"/>
      <c r="C70" s="102"/>
    </row>
    <row r="71" spans="1:3">
      <c r="A71" s="96"/>
      <c r="B71" s="3"/>
      <c r="C71" s="102"/>
    </row>
    <row r="72" spans="1:3">
      <c r="A72" s="96"/>
      <c r="B72" s="3"/>
      <c r="C72" s="102"/>
    </row>
    <row r="73" spans="1:3">
      <c r="A73" s="96"/>
      <c r="B73" s="3"/>
      <c r="C73" s="102"/>
    </row>
    <row r="74" spans="1:3">
      <c r="A74" s="96"/>
      <c r="B74" s="3"/>
      <c r="C74" s="102"/>
    </row>
    <row r="75" spans="1:3">
      <c r="A75" s="96"/>
      <c r="B75" s="3"/>
      <c r="C75" s="102"/>
    </row>
    <row r="76" spans="1:3">
      <c r="A76" s="96"/>
      <c r="B76" s="3"/>
      <c r="C76" s="102"/>
    </row>
    <row r="77" spans="1:3">
      <c r="A77" s="96"/>
      <c r="B77" s="3"/>
      <c r="C77" s="102"/>
    </row>
    <row r="78" spans="1:3">
      <c r="A78" s="96"/>
      <c r="B78" s="3"/>
      <c r="C78" s="102"/>
    </row>
    <row r="79" spans="1:3">
      <c r="A79" s="96"/>
      <c r="B79" s="3"/>
      <c r="C79" s="102"/>
    </row>
    <row r="80" spans="1:3">
      <c r="A80" s="96"/>
      <c r="B80" s="3"/>
      <c r="C80" s="102"/>
    </row>
    <row r="81" spans="1:3">
      <c r="A81" s="96"/>
      <c r="B81" s="3"/>
      <c r="C81" s="102"/>
    </row>
    <row r="82" spans="1:3">
      <c r="A82" s="96"/>
      <c r="B82" s="3"/>
      <c r="C82" s="102"/>
    </row>
    <row r="83" spans="1:3">
      <c r="A83" s="96"/>
      <c r="B83" s="3"/>
      <c r="C83" s="102"/>
    </row>
    <row r="84" spans="1:3">
      <c r="A84" s="96"/>
      <c r="B84" s="3"/>
      <c r="C84" s="102"/>
    </row>
    <row r="85" spans="1:3">
      <c r="A85" s="96"/>
      <c r="B85" s="3"/>
      <c r="C85" s="102"/>
    </row>
    <row r="86" spans="1:3">
      <c r="A86" s="96"/>
      <c r="B86" s="3"/>
      <c r="C86" s="102"/>
    </row>
    <row r="87" spans="1:3">
      <c r="A87" s="96"/>
      <c r="B87" s="3"/>
      <c r="C87" s="102"/>
    </row>
    <row r="88" spans="1:3">
      <c r="A88" s="96"/>
      <c r="B88" s="3"/>
      <c r="C88" s="102"/>
    </row>
    <row r="89" spans="1:3">
      <c r="A89" s="96"/>
      <c r="B89" s="3"/>
      <c r="C89" s="102"/>
    </row>
    <row r="90" spans="1:3">
      <c r="A90" s="96"/>
      <c r="B90" s="3"/>
      <c r="C90" s="102"/>
    </row>
    <row r="91" spans="1:3">
      <c r="A91" s="96"/>
      <c r="B91" s="3"/>
      <c r="C91" s="102"/>
    </row>
    <row r="92" spans="1:3">
      <c r="A92" s="96"/>
      <c r="B92" s="3"/>
      <c r="C92" s="102"/>
    </row>
    <row r="101" spans="1:5">
      <c r="A101" s="109" t="s">
        <v>438</v>
      </c>
      <c r="B101" s="100" t="s">
        <v>128</v>
      </c>
      <c r="C101" s="99">
        <v>2024</v>
      </c>
      <c r="D101" s="147"/>
      <c r="E101" s="148">
        <f>SUM(E102:E123)</f>
        <v>749196.59931999992</v>
      </c>
    </row>
    <row r="102" spans="1:5">
      <c r="A102" s="149">
        <v>45534</v>
      </c>
      <c r="B102" s="8" t="s">
        <v>69</v>
      </c>
      <c r="C102" s="2"/>
      <c r="D102" s="2"/>
      <c r="E102" s="2">
        <v>0</v>
      </c>
    </row>
    <row r="103" spans="1:5">
      <c r="A103" s="149">
        <f>A102</f>
        <v>45534</v>
      </c>
      <c r="B103" s="8" t="s">
        <v>370</v>
      </c>
      <c r="C103" s="2"/>
      <c r="D103" s="2"/>
      <c r="E103" s="2">
        <v>0</v>
      </c>
    </row>
    <row r="104" spans="1:5">
      <c r="A104" s="149"/>
      <c r="B104" s="8" t="s">
        <v>439</v>
      </c>
      <c r="C104" s="2"/>
      <c r="D104" s="2"/>
      <c r="E104" s="2">
        <v>407100</v>
      </c>
    </row>
    <row r="105" spans="1:5">
      <c r="A105" s="149">
        <f>A103</f>
        <v>45534</v>
      </c>
      <c r="B105" s="8" t="s">
        <v>131</v>
      </c>
      <c r="C105" s="2"/>
      <c r="D105" s="2"/>
      <c r="E105" s="14">
        <v>5105.2299999999996</v>
      </c>
    </row>
    <row r="106" spans="1:5">
      <c r="A106" s="149">
        <f>A103</f>
        <v>45534</v>
      </c>
      <c r="B106" s="8" t="s">
        <v>133</v>
      </c>
      <c r="C106" s="2">
        <v>40</v>
      </c>
      <c r="D106" s="163">
        <v>732.60648300000003</v>
      </c>
      <c r="E106" s="14">
        <f t="shared" ref="E106:E118" si="1">D106*C106</f>
        <v>29304.259320000001</v>
      </c>
    </row>
    <row r="107" spans="1:5">
      <c r="A107" s="149">
        <f>A112</f>
        <v>45534</v>
      </c>
      <c r="B107" s="8" t="s">
        <v>372</v>
      </c>
      <c r="C107" s="2">
        <v>28.5</v>
      </c>
      <c r="D107" s="2">
        <v>4000</v>
      </c>
      <c r="E107" s="14">
        <f t="shared" si="1"/>
        <v>114000</v>
      </c>
    </row>
    <row r="108" spans="1:5">
      <c r="A108" s="149">
        <f>A105</f>
        <v>45534</v>
      </c>
      <c r="B108" s="8" t="s">
        <v>135</v>
      </c>
      <c r="C108" s="164">
        <v>125000</v>
      </c>
      <c r="D108" s="163">
        <v>0.77971599999999996</v>
      </c>
      <c r="E108" s="14">
        <f t="shared" si="1"/>
        <v>97464.5</v>
      </c>
    </row>
    <row r="109" spans="1:5">
      <c r="A109" s="149">
        <f>A106</f>
        <v>45534</v>
      </c>
      <c r="B109" s="8" t="s">
        <v>136</v>
      </c>
      <c r="C109" s="2">
        <v>10</v>
      </c>
      <c r="D109" s="2">
        <v>103.7</v>
      </c>
      <c r="E109" s="14">
        <f t="shared" si="1"/>
        <v>1037</v>
      </c>
    </row>
    <row r="110" spans="1:5">
      <c r="A110" s="149">
        <f>A109</f>
        <v>45534</v>
      </c>
      <c r="B110" s="8" t="s">
        <v>137</v>
      </c>
      <c r="C110" s="2">
        <v>38</v>
      </c>
      <c r="D110" s="2">
        <v>21.42</v>
      </c>
      <c r="E110" s="14">
        <f t="shared" si="1"/>
        <v>813.96</v>
      </c>
    </row>
    <row r="111" spans="1:5">
      <c r="A111" s="149">
        <f>A110</f>
        <v>45534</v>
      </c>
      <c r="B111" s="8" t="s">
        <v>138</v>
      </c>
      <c r="C111" s="2">
        <v>26</v>
      </c>
      <c r="D111" s="2">
        <v>25.92</v>
      </c>
      <c r="E111" s="14">
        <f t="shared" si="1"/>
        <v>673.92000000000007</v>
      </c>
    </row>
    <row r="112" spans="1:5">
      <c r="A112" s="149">
        <f>A111</f>
        <v>45534</v>
      </c>
      <c r="B112" s="8" t="s">
        <v>132</v>
      </c>
      <c r="C112" s="2"/>
      <c r="D112" s="2"/>
      <c r="E112" s="14">
        <f t="shared" si="1"/>
        <v>0</v>
      </c>
    </row>
    <row r="113" spans="1:5">
      <c r="E113" s="14">
        <f t="shared" si="1"/>
        <v>0</v>
      </c>
    </row>
    <row r="114" spans="1:5">
      <c r="A114" s="149">
        <f>A107</f>
        <v>45534</v>
      </c>
      <c r="C114" s="2"/>
      <c r="D114" s="2"/>
      <c r="E114" s="14">
        <f t="shared" si="1"/>
        <v>0</v>
      </c>
    </row>
    <row r="115" spans="1:5">
      <c r="A115" s="149">
        <f>A114</f>
        <v>45534</v>
      </c>
      <c r="C115" s="2"/>
      <c r="D115" s="2"/>
      <c r="E115" s="14">
        <f t="shared" si="1"/>
        <v>0</v>
      </c>
    </row>
    <row r="116" spans="1:5">
      <c r="A116" s="149">
        <f>A115</f>
        <v>45534</v>
      </c>
      <c r="B116" s="8" t="s">
        <v>337</v>
      </c>
      <c r="C116" s="2">
        <v>2697.73</v>
      </c>
      <c r="D116" s="2">
        <v>1</v>
      </c>
      <c r="E116" s="14">
        <f t="shared" si="1"/>
        <v>2697.73</v>
      </c>
    </row>
    <row r="117" spans="1:5">
      <c r="A117" s="149">
        <f>A116</f>
        <v>45534</v>
      </c>
      <c r="B117" s="8" t="s">
        <v>140</v>
      </c>
      <c r="C117" s="2">
        <v>4500</v>
      </c>
      <c r="D117" s="2">
        <v>16</v>
      </c>
      <c r="E117" s="14">
        <f t="shared" si="1"/>
        <v>72000</v>
      </c>
    </row>
    <row r="118" spans="1:5">
      <c r="A118" s="149">
        <f>A117</f>
        <v>45534</v>
      </c>
      <c r="B118" s="8" t="s">
        <v>141</v>
      </c>
      <c r="C118" s="2">
        <v>18000</v>
      </c>
      <c r="D118" s="2">
        <v>1</v>
      </c>
      <c r="E118" s="14">
        <f t="shared" si="1"/>
        <v>18000</v>
      </c>
    </row>
    <row r="119" spans="1:5">
      <c r="A119" s="149">
        <f>A118</f>
        <v>45534</v>
      </c>
      <c r="C119" s="2"/>
      <c r="D119" s="2"/>
      <c r="E119" s="14"/>
    </row>
    <row r="120" spans="1:5">
      <c r="A120" s="149">
        <f>A116</f>
        <v>45534</v>
      </c>
      <c r="B120" s="8" t="s">
        <v>142</v>
      </c>
      <c r="C120" s="116">
        <v>33.250599999999999</v>
      </c>
      <c r="D120" s="2"/>
      <c r="E120" s="14"/>
    </row>
    <row r="121" spans="1:5">
      <c r="A121" s="149">
        <f>A120</f>
        <v>45534</v>
      </c>
      <c r="B121" s="8" t="s">
        <v>143</v>
      </c>
      <c r="C121" s="116">
        <v>36.854999999999997</v>
      </c>
      <c r="D121" s="2"/>
      <c r="E121" s="14"/>
    </row>
    <row r="122" spans="1:5">
      <c r="A122" s="149">
        <f>A121</f>
        <v>45534</v>
      </c>
      <c r="B122" s="8" t="s">
        <v>144</v>
      </c>
      <c r="C122" s="2"/>
      <c r="D122" s="2"/>
      <c r="E122" s="14">
        <v>0</v>
      </c>
    </row>
    <row r="123" spans="1:5">
      <c r="A123" s="149">
        <f>A122</f>
        <v>45534</v>
      </c>
      <c r="B123" s="8" t="s">
        <v>145</v>
      </c>
      <c r="C123" s="2"/>
      <c r="D123" s="2"/>
      <c r="E123" s="14">
        <v>1000</v>
      </c>
    </row>
    <row r="124" spans="1:5">
      <c r="E124" s="165"/>
    </row>
    <row r="125" spans="1:5">
      <c r="C125" s="120"/>
      <c r="D125" s="3"/>
      <c r="E125" s="120"/>
    </row>
    <row r="126" spans="1:5">
      <c r="C126" s="120"/>
      <c r="D126" s="15" t="s">
        <v>147</v>
      </c>
      <c r="E126" s="9">
        <f>SUM(E102:E123)</f>
        <v>749196.59931999992</v>
      </c>
    </row>
    <row r="127" spans="1:5">
      <c r="C127" s="121" t="str">
        <f>A101</f>
        <v>EYLÜLe</v>
      </c>
      <c r="D127" s="122" t="s">
        <v>148</v>
      </c>
      <c r="E127" s="123">
        <f>H2</f>
        <v>28142.840000000011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2F0D9"/>
  </sheetPr>
  <dimension ref="A1:H150"/>
  <sheetViews>
    <sheetView topLeftCell="A5" zoomScale="145" zoomScaleNormal="145" workbookViewId="0">
      <selection activeCell="B15" sqref="B15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440</v>
      </c>
      <c r="C2" s="76" t="s">
        <v>59</v>
      </c>
      <c r="D2" s="74">
        <f>SUM(D4:D46)</f>
        <v>195484.15</v>
      </c>
      <c r="E2" s="74">
        <f>SUM(E4:E46)</f>
        <v>-88440.670000000013</v>
      </c>
      <c r="F2" s="74">
        <f>SUM(F4:F47)</f>
        <v>28006.379999999997</v>
      </c>
      <c r="G2" s="74">
        <f>SUM(G4:G47)</f>
        <v>-88381.87</v>
      </c>
      <c r="H2" s="74">
        <f>F2+G2</f>
        <v>-60375.49</v>
      </c>
    </row>
    <row r="3" spans="1:8">
      <c r="B3" s="32"/>
      <c r="D3" s="75"/>
      <c r="E3" s="75"/>
      <c r="F3" s="75"/>
      <c r="G3" s="75"/>
      <c r="H3" s="75"/>
    </row>
    <row r="4" spans="1:8">
      <c r="A4" s="85">
        <v>45500</v>
      </c>
      <c r="B4" s="38" t="s">
        <v>416</v>
      </c>
      <c r="C4" s="8" t="s">
        <v>441</v>
      </c>
      <c r="D4" s="75"/>
      <c r="E4" s="75">
        <v>-152</v>
      </c>
      <c r="F4" s="75"/>
      <c r="G4" s="75">
        <v>-166.9</v>
      </c>
      <c r="H4" s="75">
        <f t="shared" ref="H4:H47" si="0">H3+F4+G4</f>
        <v>-166.9</v>
      </c>
    </row>
    <row r="5" spans="1:8">
      <c r="B5" s="97" t="s">
        <v>442</v>
      </c>
      <c r="C5" s="97" t="s">
        <v>344</v>
      </c>
      <c r="D5" s="75"/>
      <c r="E5" s="75">
        <v>-250</v>
      </c>
      <c r="F5" s="75"/>
      <c r="G5" s="75"/>
      <c r="H5" s="75">
        <f t="shared" si="0"/>
        <v>-166.9</v>
      </c>
    </row>
    <row r="6" spans="1:8">
      <c r="A6" s="85">
        <v>45509</v>
      </c>
      <c r="B6" s="97" t="s">
        <v>62</v>
      </c>
      <c r="C6" s="97"/>
      <c r="D6" s="75"/>
      <c r="E6" s="75">
        <v>-1500</v>
      </c>
      <c r="F6" s="75"/>
      <c r="G6" s="75">
        <v>-1532.3</v>
      </c>
      <c r="H6" s="75">
        <f t="shared" si="0"/>
        <v>-1699.2</v>
      </c>
    </row>
    <row r="7" spans="1:8">
      <c r="A7" s="85">
        <v>45509</v>
      </c>
      <c r="B7" s="166" t="s">
        <v>60</v>
      </c>
      <c r="D7" s="75"/>
      <c r="E7" s="75">
        <f>E63</f>
        <v>-8154.2</v>
      </c>
      <c r="F7" s="75"/>
      <c r="G7" s="75">
        <v>-8154.2</v>
      </c>
      <c r="H7" s="75">
        <f t="shared" si="0"/>
        <v>-9853.4</v>
      </c>
    </row>
    <row r="8" spans="1:8">
      <c r="A8" s="154">
        <v>45509</v>
      </c>
      <c r="B8" s="166" t="s">
        <v>61</v>
      </c>
      <c r="D8" s="75"/>
      <c r="E8" s="75">
        <f>E78</f>
        <v>-21980.090000000004</v>
      </c>
      <c r="F8" s="75"/>
      <c r="G8" s="75">
        <v>-21980.09</v>
      </c>
      <c r="H8" s="75">
        <f t="shared" si="0"/>
        <v>-31833.489999999998</v>
      </c>
    </row>
    <row r="9" spans="1:8">
      <c r="A9" s="154"/>
      <c r="B9" s="166" t="s">
        <v>443</v>
      </c>
      <c r="D9" s="75"/>
      <c r="E9" s="75"/>
      <c r="F9" s="75"/>
      <c r="G9" s="75">
        <v>-10000</v>
      </c>
      <c r="H9" s="75">
        <f t="shared" si="0"/>
        <v>-41833.49</v>
      </c>
    </row>
    <row r="10" spans="1:8">
      <c r="A10" s="154"/>
      <c r="B10" s="78"/>
      <c r="D10" s="75"/>
      <c r="E10" s="75"/>
      <c r="F10" s="75"/>
      <c r="G10" s="75"/>
      <c r="H10" s="75">
        <f t="shared" si="0"/>
        <v>-41833.49</v>
      </c>
    </row>
    <row r="11" spans="1:8">
      <c r="A11" s="154">
        <v>45510</v>
      </c>
      <c r="B11" s="8" t="s">
        <v>444</v>
      </c>
      <c r="D11" s="75">
        <v>15000</v>
      </c>
      <c r="E11" s="75"/>
      <c r="F11" s="75">
        <v>15000</v>
      </c>
      <c r="G11" s="75"/>
      <c r="H11" s="75">
        <f t="shared" si="0"/>
        <v>-26833.489999999998</v>
      </c>
    </row>
    <row r="12" spans="1:8">
      <c r="A12" s="96">
        <v>45511</v>
      </c>
      <c r="B12" s="97" t="s">
        <v>445</v>
      </c>
      <c r="C12" s="97"/>
      <c r="D12" s="75"/>
      <c r="E12" s="75">
        <v>-17500</v>
      </c>
      <c r="F12" s="75"/>
      <c r="G12" s="75">
        <v>-17500</v>
      </c>
      <c r="H12" s="75">
        <f t="shared" si="0"/>
        <v>-44333.49</v>
      </c>
    </row>
    <row r="13" spans="1:8">
      <c r="A13" s="96"/>
      <c r="B13" s="167" t="s">
        <v>64</v>
      </c>
      <c r="E13" s="74">
        <f>E58*-1</f>
        <v>0</v>
      </c>
      <c r="G13" s="74">
        <v>-50</v>
      </c>
      <c r="H13" s="75">
        <f t="shared" si="0"/>
        <v>-44383.49</v>
      </c>
    </row>
    <row r="14" spans="1:8">
      <c r="A14" s="96">
        <v>45519</v>
      </c>
      <c r="B14" s="155" t="s">
        <v>446</v>
      </c>
      <c r="C14" s="97"/>
      <c r="D14" s="75"/>
      <c r="E14" s="75"/>
      <c r="F14" s="75"/>
      <c r="G14" s="75"/>
      <c r="H14" s="75">
        <f t="shared" si="0"/>
        <v>-44383.49</v>
      </c>
    </row>
    <row r="15" spans="1:8">
      <c r="A15" s="96">
        <v>45520</v>
      </c>
      <c r="B15" s="97" t="s">
        <v>447</v>
      </c>
      <c r="C15" s="97"/>
      <c r="D15" s="75"/>
      <c r="E15" s="75"/>
      <c r="F15" s="75"/>
      <c r="G15" s="75">
        <v>-95</v>
      </c>
      <c r="H15" s="75">
        <f t="shared" si="0"/>
        <v>-44478.49</v>
      </c>
    </row>
    <row r="16" spans="1:8">
      <c r="A16" s="85">
        <v>45523</v>
      </c>
      <c r="B16" s="102" t="s">
        <v>65</v>
      </c>
      <c r="C16" s="102" t="s">
        <v>315</v>
      </c>
      <c r="D16" s="75"/>
      <c r="E16" s="75">
        <v>-300</v>
      </c>
      <c r="F16" s="75"/>
      <c r="G16" s="75">
        <v>-56</v>
      </c>
      <c r="H16" s="75">
        <f t="shared" si="0"/>
        <v>-44534.49</v>
      </c>
    </row>
    <row r="17" spans="1:8">
      <c r="A17" s="85">
        <v>45523</v>
      </c>
      <c r="B17" s="102" t="s">
        <v>66</v>
      </c>
      <c r="C17" s="102" t="s">
        <v>315</v>
      </c>
      <c r="D17" s="75"/>
      <c r="E17" s="75">
        <v>-100</v>
      </c>
      <c r="F17" s="75"/>
      <c r="G17" s="75">
        <v>-28</v>
      </c>
      <c r="H17" s="75">
        <f t="shared" si="0"/>
        <v>-44562.49</v>
      </c>
    </row>
    <row r="18" spans="1:8">
      <c r="A18" s="85">
        <v>45533</v>
      </c>
      <c r="B18" s="97" t="s">
        <v>72</v>
      </c>
      <c r="C18" s="97"/>
      <c r="D18" s="75"/>
      <c r="E18" s="75">
        <v>-400</v>
      </c>
      <c r="F18" s="75"/>
      <c r="G18" s="75">
        <v>-500</v>
      </c>
      <c r="H18" s="75">
        <f t="shared" si="0"/>
        <v>-45062.49</v>
      </c>
    </row>
    <row r="19" spans="1:8">
      <c r="A19" s="85">
        <v>45533</v>
      </c>
      <c r="B19" s="97" t="s">
        <v>73</v>
      </c>
      <c r="C19" s="97"/>
      <c r="D19" s="75"/>
      <c r="E19" s="75">
        <v>-500</v>
      </c>
      <c r="F19" s="75"/>
      <c r="G19" s="75">
        <v>-865</v>
      </c>
      <c r="H19" s="75">
        <f t="shared" si="0"/>
        <v>-45927.49</v>
      </c>
    </row>
    <row r="20" spans="1:8">
      <c r="B20" t="s">
        <v>69</v>
      </c>
      <c r="D20" s="75"/>
      <c r="E20" s="75"/>
      <c r="F20" s="75"/>
      <c r="G20" s="75"/>
      <c r="H20" s="75">
        <f t="shared" si="0"/>
        <v>-45927.49</v>
      </c>
    </row>
    <row r="21" spans="1:8">
      <c r="B21" t="s">
        <v>69</v>
      </c>
      <c r="D21" s="75"/>
      <c r="E21" s="75">
        <v>-6500</v>
      </c>
      <c r="F21" s="75"/>
      <c r="G21" s="75">
        <v>-6500</v>
      </c>
      <c r="H21" s="75">
        <f t="shared" si="0"/>
        <v>-52427.49</v>
      </c>
    </row>
    <row r="22" spans="1:8">
      <c r="B22" t="s">
        <v>70</v>
      </c>
      <c r="D22" s="75"/>
      <c r="E22" s="75">
        <v>-6500</v>
      </c>
      <c r="F22" s="75"/>
      <c r="G22" s="75">
        <v>-6500</v>
      </c>
      <c r="H22" s="75">
        <f t="shared" si="0"/>
        <v>-58927.49</v>
      </c>
    </row>
    <row r="23" spans="1:8">
      <c r="B23" t="s">
        <v>71</v>
      </c>
      <c r="D23" s="75"/>
      <c r="E23" s="75">
        <v>-6500</v>
      </c>
      <c r="F23" s="75"/>
      <c r="G23" s="75">
        <v>-6500</v>
      </c>
      <c r="H23" s="75">
        <f t="shared" si="0"/>
        <v>-65427.49</v>
      </c>
    </row>
    <row r="24" spans="1:8">
      <c r="H24" s="75">
        <f t="shared" si="0"/>
        <v>-65427.49</v>
      </c>
    </row>
    <row r="25" spans="1:8">
      <c r="A25" s="96"/>
      <c r="B25" s="8" t="s">
        <v>68</v>
      </c>
      <c r="D25" s="74">
        <v>12984.15</v>
      </c>
      <c r="F25" s="74">
        <v>13006.38</v>
      </c>
      <c r="H25" s="75">
        <f t="shared" si="0"/>
        <v>-52421.11</v>
      </c>
    </row>
    <row r="26" spans="1:8">
      <c r="A26" s="96"/>
      <c r="H26" s="75">
        <f t="shared" si="0"/>
        <v>-52421.11</v>
      </c>
    </row>
    <row r="27" spans="1:8">
      <c r="H27" s="75">
        <f t="shared" si="0"/>
        <v>-52421.11</v>
      </c>
    </row>
    <row r="28" spans="1:8">
      <c r="A28" s="85">
        <v>45531</v>
      </c>
      <c r="B28" s="8" t="s">
        <v>448</v>
      </c>
      <c r="C28" s="160"/>
      <c r="D28" s="74" t="s">
        <v>449</v>
      </c>
      <c r="E28" s="75">
        <v>-750</v>
      </c>
      <c r="F28" s="75"/>
      <c r="G28" s="75">
        <f t="shared" ref="G28:G33" si="1">E28</f>
        <v>-750</v>
      </c>
      <c r="H28" s="75">
        <f t="shared" si="0"/>
        <v>-53171.11</v>
      </c>
    </row>
    <row r="29" spans="1:8">
      <c r="A29" s="85">
        <v>45531</v>
      </c>
      <c r="B29" s="8" t="s">
        <v>450</v>
      </c>
      <c r="C29" s="160"/>
      <c r="D29" s="74" t="s">
        <v>449</v>
      </c>
      <c r="E29" s="75">
        <v>-2137.5</v>
      </c>
      <c r="F29" s="75"/>
      <c r="G29" s="75">
        <f t="shared" si="1"/>
        <v>-2137.5</v>
      </c>
      <c r="H29" s="75">
        <f t="shared" si="0"/>
        <v>-55308.61</v>
      </c>
    </row>
    <row r="30" spans="1:8">
      <c r="A30" s="85">
        <v>45531</v>
      </c>
      <c r="B30" s="8" t="s">
        <v>451</v>
      </c>
      <c r="C30" s="160"/>
      <c r="D30" s="74" t="s">
        <v>449</v>
      </c>
      <c r="E30" s="75">
        <v>-925</v>
      </c>
      <c r="F30" s="75"/>
      <c r="G30" s="75">
        <f t="shared" si="1"/>
        <v>-925</v>
      </c>
      <c r="H30" s="75">
        <f t="shared" si="0"/>
        <v>-56233.61</v>
      </c>
    </row>
    <row r="31" spans="1:8">
      <c r="A31" s="85">
        <v>45531</v>
      </c>
      <c r="B31" s="8" t="s">
        <v>452</v>
      </c>
      <c r="C31" s="160"/>
      <c r="D31" s="74" t="s">
        <v>449</v>
      </c>
      <c r="E31" s="75">
        <v>-625</v>
      </c>
      <c r="F31" s="75"/>
      <c r="G31" s="75">
        <f t="shared" si="1"/>
        <v>-625</v>
      </c>
      <c r="H31" s="75">
        <f t="shared" si="0"/>
        <v>-56858.61</v>
      </c>
    </row>
    <row r="32" spans="1:8">
      <c r="A32" s="85">
        <v>45531</v>
      </c>
      <c r="B32" s="8" t="s">
        <v>453</v>
      </c>
      <c r="C32" s="160"/>
      <c r="D32" s="74" t="s">
        <v>449</v>
      </c>
      <c r="E32" s="75">
        <v>-1075</v>
      </c>
      <c r="F32" s="75"/>
      <c r="G32" s="75">
        <f t="shared" si="1"/>
        <v>-1075</v>
      </c>
      <c r="H32" s="75">
        <f t="shared" si="0"/>
        <v>-57933.61</v>
      </c>
    </row>
    <row r="33" spans="1:8">
      <c r="A33" s="85">
        <v>45531</v>
      </c>
      <c r="B33" s="8" t="s">
        <v>454</v>
      </c>
      <c r="C33" s="160"/>
      <c r="D33" s="74" t="s">
        <v>449</v>
      </c>
      <c r="E33" s="75">
        <v>-1825</v>
      </c>
      <c r="F33" s="75"/>
      <c r="G33" s="75">
        <f t="shared" si="1"/>
        <v>-1825</v>
      </c>
      <c r="H33" s="75">
        <f t="shared" si="0"/>
        <v>-59758.61</v>
      </c>
    </row>
    <row r="34" spans="1:8">
      <c r="A34" s="85"/>
      <c r="C34" s="160"/>
      <c r="E34" s="75"/>
      <c r="F34" s="75"/>
      <c r="G34" s="75"/>
      <c r="H34" s="75">
        <f t="shared" si="0"/>
        <v>-59758.61</v>
      </c>
    </row>
    <row r="35" spans="1:8">
      <c r="A35" s="85">
        <v>45531</v>
      </c>
      <c r="B35" s="8" t="s">
        <v>455</v>
      </c>
      <c r="C35" s="74" t="s">
        <v>449</v>
      </c>
      <c r="D35" s="75" t="s">
        <v>456</v>
      </c>
      <c r="E35" s="75">
        <v>-136.08000000000001</v>
      </c>
      <c r="F35" s="75"/>
      <c r="G35" s="75">
        <v>-136.08000000000001</v>
      </c>
      <c r="H35" s="75">
        <f t="shared" si="0"/>
        <v>-59894.69</v>
      </c>
    </row>
    <row r="36" spans="1:8">
      <c r="A36" s="85">
        <v>45531</v>
      </c>
      <c r="B36" s="8" t="s">
        <v>457</v>
      </c>
      <c r="C36" s="74" t="s">
        <v>449</v>
      </c>
      <c r="D36" s="75" t="s">
        <v>456</v>
      </c>
      <c r="E36" s="75">
        <v>-258.61</v>
      </c>
      <c r="F36" s="75"/>
      <c r="G36" s="75">
        <v>-258.61</v>
      </c>
      <c r="H36" s="75">
        <f t="shared" si="0"/>
        <v>-60153.3</v>
      </c>
    </row>
    <row r="37" spans="1:8">
      <c r="A37" s="85">
        <v>45531</v>
      </c>
      <c r="B37" s="8" t="s">
        <v>458</v>
      </c>
      <c r="C37" s="74" t="s">
        <v>449</v>
      </c>
      <c r="D37" s="75" t="s">
        <v>456</v>
      </c>
      <c r="E37" s="75">
        <v>-119.07</v>
      </c>
      <c r="F37" s="75"/>
      <c r="G37" s="75">
        <v>-119.07</v>
      </c>
      <c r="H37" s="75">
        <f t="shared" si="0"/>
        <v>-60272.37</v>
      </c>
    </row>
    <row r="38" spans="1:8">
      <c r="A38" s="85">
        <v>45531</v>
      </c>
      <c r="B38" s="8" t="s">
        <v>459</v>
      </c>
      <c r="C38" s="74" t="s">
        <v>449</v>
      </c>
      <c r="D38" s="75" t="s">
        <v>456</v>
      </c>
      <c r="E38" s="75">
        <v>-103.12</v>
      </c>
      <c r="F38" s="75"/>
      <c r="G38" s="75">
        <v>-103.12</v>
      </c>
      <c r="H38" s="75">
        <f t="shared" si="0"/>
        <v>-60375.490000000005</v>
      </c>
    </row>
    <row r="39" spans="1:8">
      <c r="C39" s="160"/>
      <c r="H39" s="75">
        <f t="shared" si="0"/>
        <v>-60375.490000000005</v>
      </c>
    </row>
    <row r="40" spans="1:8">
      <c r="A40" s="85">
        <v>45535</v>
      </c>
      <c r="B40" s="155" t="s">
        <v>460</v>
      </c>
      <c r="C40" s="160"/>
      <c r="H40" s="75">
        <f t="shared" si="0"/>
        <v>-60375.490000000005</v>
      </c>
    </row>
    <row r="41" spans="1:8">
      <c r="H41" s="75">
        <f t="shared" si="0"/>
        <v>-60375.490000000005</v>
      </c>
    </row>
    <row r="42" spans="1:8">
      <c r="B42" s="159" t="s">
        <v>419</v>
      </c>
      <c r="C42" s="159"/>
      <c r="D42" s="80">
        <v>15000</v>
      </c>
      <c r="H42" s="75">
        <f t="shared" si="0"/>
        <v>-60375.490000000005</v>
      </c>
    </row>
    <row r="43" spans="1:8">
      <c r="B43" s="159" t="s">
        <v>427</v>
      </c>
      <c r="C43" s="159"/>
      <c r="D43" s="169">
        <v>8500</v>
      </c>
      <c r="H43" s="75">
        <f t="shared" si="0"/>
        <v>-60375.490000000005</v>
      </c>
    </row>
    <row r="44" spans="1:8">
      <c r="B44" s="159" t="s">
        <v>386</v>
      </c>
      <c r="C44" s="159"/>
      <c r="D44" s="104"/>
      <c r="E44" s="104">
        <v>-10000</v>
      </c>
      <c r="H44" s="75">
        <f t="shared" si="0"/>
        <v>-60375.490000000005</v>
      </c>
    </row>
    <row r="45" spans="1:8">
      <c r="B45" t="s">
        <v>461</v>
      </c>
      <c r="C45" s="160">
        <v>0.234011</v>
      </c>
      <c r="D45" s="74">
        <v>144000</v>
      </c>
      <c r="H45" s="75">
        <f t="shared" si="0"/>
        <v>-60375.490000000005</v>
      </c>
    </row>
    <row r="46" spans="1:8">
      <c r="B46" s="97" t="s">
        <v>67</v>
      </c>
      <c r="C46" s="97" t="s">
        <v>315</v>
      </c>
      <c r="E46" s="74">
        <v>-150</v>
      </c>
      <c r="H46" s="75">
        <f t="shared" si="0"/>
        <v>-60375.490000000005</v>
      </c>
    </row>
    <row r="47" spans="1:8">
      <c r="H47" s="75">
        <f t="shared" si="0"/>
        <v>-60375.490000000005</v>
      </c>
    </row>
    <row r="49" spans="1:5">
      <c r="B49" t="s">
        <v>317</v>
      </c>
    </row>
    <row r="50" spans="1:5">
      <c r="A50" s="99" t="s">
        <v>318</v>
      </c>
      <c r="B50" s="99"/>
      <c r="C50" s="99"/>
    </row>
    <row r="51" spans="1:5">
      <c r="A51" s="96"/>
      <c r="C51" s="160"/>
    </row>
    <row r="52" spans="1:5">
      <c r="A52" s="161">
        <v>44929</v>
      </c>
      <c r="B52" s="162" t="s">
        <v>319</v>
      </c>
      <c r="C52" s="99"/>
      <c r="D52" s="74">
        <f>SUM(D53:D58)</f>
        <v>0</v>
      </c>
      <c r="E52" s="74">
        <f>SUM(E53:E58)</f>
        <v>0</v>
      </c>
    </row>
    <row r="53" spans="1:5">
      <c r="A53" s="96"/>
      <c r="B53" s="102" t="s">
        <v>320</v>
      </c>
    </row>
    <row r="54" spans="1:5">
      <c r="B54" t="s">
        <v>321</v>
      </c>
    </row>
    <row r="55" spans="1:5">
      <c r="B55" t="s">
        <v>322</v>
      </c>
    </row>
    <row r="56" spans="1:5">
      <c r="B56" t="s">
        <v>323</v>
      </c>
    </row>
    <row r="57" spans="1:5">
      <c r="B57" t="s">
        <v>324</v>
      </c>
    </row>
    <row r="58" spans="1:5">
      <c r="B58" t="s">
        <v>325</v>
      </c>
      <c r="C58" s="102"/>
    </row>
    <row r="59" spans="1:5">
      <c r="C59" s="102"/>
    </row>
    <row r="61" spans="1:5">
      <c r="B61" s="14"/>
    </row>
    <row r="62" spans="1:5">
      <c r="B62" s="98"/>
    </row>
    <row r="63" spans="1:5">
      <c r="A63" s="99"/>
      <c r="B63" s="100" t="s">
        <v>75</v>
      </c>
      <c r="C63" s="99"/>
      <c r="E63" s="74">
        <f>SUM(E64:E75)</f>
        <v>-8154.2</v>
      </c>
    </row>
    <row r="65" spans="1:6">
      <c r="A65" s="85">
        <v>45348</v>
      </c>
      <c r="B65" s="8" t="s">
        <v>430</v>
      </c>
      <c r="C65">
        <v>1406</v>
      </c>
      <c r="D65" s="74" t="s">
        <v>462</v>
      </c>
      <c r="E65" s="74">
        <v>-234.33</v>
      </c>
      <c r="F65" s="74">
        <v>0</v>
      </c>
    </row>
    <row r="66" spans="1:6">
      <c r="A66" s="85">
        <v>45373</v>
      </c>
      <c r="B66" s="8" t="s">
        <v>326</v>
      </c>
      <c r="C66">
        <v>10176.39</v>
      </c>
      <c r="D66" s="74" t="s">
        <v>463</v>
      </c>
      <c r="E66" s="74">
        <v>-1130.71</v>
      </c>
      <c r="F66" s="74">
        <v>0</v>
      </c>
    </row>
    <row r="67" spans="1:6">
      <c r="A67" s="85">
        <v>45375</v>
      </c>
      <c r="B67" s="8" t="s">
        <v>328</v>
      </c>
      <c r="C67">
        <v>5999</v>
      </c>
      <c r="D67" s="74" t="s">
        <v>463</v>
      </c>
      <c r="E67" s="74">
        <v>-666.56</v>
      </c>
      <c r="F67" s="74">
        <v>0</v>
      </c>
    </row>
    <row r="68" spans="1:6">
      <c r="A68" s="85">
        <v>45358</v>
      </c>
      <c r="B68" s="8" t="s">
        <v>433</v>
      </c>
      <c r="C68">
        <v>2273</v>
      </c>
      <c r="D68" s="74" t="s">
        <v>462</v>
      </c>
      <c r="E68" s="74">
        <v>-378.87</v>
      </c>
      <c r="F68" s="74">
        <v>0</v>
      </c>
    </row>
    <row r="69" spans="1:6">
      <c r="A69" s="85">
        <v>45371</v>
      </c>
      <c r="B69" s="8" t="s">
        <v>434</v>
      </c>
      <c r="D69" s="74" t="s">
        <v>462</v>
      </c>
      <c r="E69" s="74">
        <v>101.77</v>
      </c>
      <c r="F69" s="74">
        <v>0</v>
      </c>
    </row>
    <row r="70" spans="1:6">
      <c r="A70" s="96">
        <v>45442</v>
      </c>
      <c r="B70" s="170" t="s">
        <v>464</v>
      </c>
      <c r="C70" s="102"/>
      <c r="D70" s="74" t="s">
        <v>465</v>
      </c>
      <c r="E70" s="74">
        <v>-1054.1400000000001</v>
      </c>
      <c r="F70" s="74">
        <v>0</v>
      </c>
    </row>
    <row r="71" spans="1:6">
      <c r="A71" s="96">
        <v>45456</v>
      </c>
      <c r="B71" s="103" t="s">
        <v>435</v>
      </c>
      <c r="C71" s="102"/>
      <c r="D71" s="74" t="s">
        <v>466</v>
      </c>
      <c r="E71" s="74">
        <v>-3923.33</v>
      </c>
      <c r="F71" s="74">
        <v>0</v>
      </c>
    </row>
    <row r="72" spans="1:6">
      <c r="A72" s="96">
        <v>45470</v>
      </c>
      <c r="B72" s="103" t="s">
        <v>467</v>
      </c>
      <c r="C72" s="102"/>
      <c r="E72" s="74">
        <v>-868.03</v>
      </c>
    </row>
    <row r="73" spans="1:6">
      <c r="A73" s="96">
        <v>45478</v>
      </c>
      <c r="B73" s="103" t="s">
        <v>121</v>
      </c>
      <c r="C73" s="102"/>
      <c r="D73" s="74">
        <v>2700.47</v>
      </c>
    </row>
    <row r="74" spans="1:6" ht="15">
      <c r="A74" s="96">
        <v>45478</v>
      </c>
      <c r="B74" s="103" t="s">
        <v>121</v>
      </c>
      <c r="D74" s="74">
        <v>6244.07</v>
      </c>
      <c r="E74" s="101" t="s">
        <v>76</v>
      </c>
    </row>
    <row r="75" spans="1:6">
      <c r="A75" s="96"/>
      <c r="B75" s="103"/>
      <c r="C75" s="102"/>
    </row>
    <row r="76" spans="1:6">
      <c r="A76" s="96"/>
      <c r="B76" s="3"/>
    </row>
    <row r="77" spans="1:6">
      <c r="A77" s="96"/>
      <c r="B77" s="102"/>
      <c r="C77" s="102"/>
    </row>
    <row r="78" spans="1:6">
      <c r="A78" s="99"/>
      <c r="B78" s="100" t="s">
        <v>77</v>
      </c>
      <c r="C78" s="99"/>
      <c r="E78" s="74">
        <f>SUM(E79:E121)</f>
        <v>-21980.090000000004</v>
      </c>
    </row>
    <row r="79" spans="1:6">
      <c r="A79" s="96"/>
      <c r="B79" s="102"/>
      <c r="C79" s="102"/>
    </row>
    <row r="80" spans="1:6">
      <c r="A80" s="96"/>
      <c r="B80" s="3" t="s">
        <v>468</v>
      </c>
      <c r="C80" s="102"/>
      <c r="D80" s="74" t="s">
        <v>469</v>
      </c>
      <c r="E80" s="74">
        <v>-649.79999999999995</v>
      </c>
    </row>
    <row r="81" spans="1:5">
      <c r="A81" s="96"/>
      <c r="B81" s="3" t="s">
        <v>470</v>
      </c>
      <c r="C81" s="102">
        <v>50</v>
      </c>
      <c r="D81" s="74" t="s">
        <v>469</v>
      </c>
    </row>
    <row r="82" spans="1:5">
      <c r="A82" s="96"/>
      <c r="B82" s="3"/>
      <c r="C82" s="102"/>
    </row>
    <row r="83" spans="1:5">
      <c r="A83" s="96">
        <v>45456</v>
      </c>
      <c r="B83" s="8" t="s">
        <v>471</v>
      </c>
      <c r="C83" s="102"/>
      <c r="D83" s="74" t="s">
        <v>465</v>
      </c>
      <c r="E83" s="74">
        <v>-5875</v>
      </c>
    </row>
    <row r="84" spans="1:5">
      <c r="A84" s="96">
        <v>45456</v>
      </c>
      <c r="B84" s="8" t="s">
        <v>472</v>
      </c>
      <c r="C84" s="102"/>
      <c r="D84" s="74" t="s">
        <v>465</v>
      </c>
      <c r="E84" s="74">
        <v>-4300</v>
      </c>
    </row>
    <row r="85" spans="1:5">
      <c r="A85" s="96">
        <v>45475</v>
      </c>
      <c r="B85" s="3" t="s">
        <v>473</v>
      </c>
      <c r="C85" s="102"/>
      <c r="E85" s="74">
        <v>-1129.5</v>
      </c>
    </row>
    <row r="86" spans="1:5">
      <c r="A86" s="96">
        <v>45478</v>
      </c>
      <c r="B86" s="3" t="s">
        <v>474</v>
      </c>
      <c r="C86" s="102"/>
      <c r="E86" s="74">
        <v>-1060</v>
      </c>
    </row>
    <row r="87" spans="1:5">
      <c r="A87" s="96"/>
      <c r="B87" s="3"/>
      <c r="C87" s="102"/>
    </row>
    <row r="88" spans="1:5">
      <c r="A88" s="96">
        <v>45467</v>
      </c>
      <c r="B88" s="3" t="s">
        <v>475</v>
      </c>
      <c r="C88" s="102">
        <v>120</v>
      </c>
      <c r="E88" s="74">
        <v>-120</v>
      </c>
    </row>
    <row r="89" spans="1:5">
      <c r="A89" s="96">
        <v>45467</v>
      </c>
      <c r="B89" s="3" t="s">
        <v>476</v>
      </c>
      <c r="C89" s="102"/>
      <c r="E89" s="74">
        <v>-70</v>
      </c>
    </row>
    <row r="90" spans="1:5">
      <c r="A90" s="96">
        <v>45467</v>
      </c>
      <c r="B90" s="3" t="s">
        <v>477</v>
      </c>
      <c r="C90" s="102"/>
      <c r="E90" s="74">
        <v>-1400</v>
      </c>
    </row>
    <row r="91" spans="1:5">
      <c r="A91" s="96">
        <v>45468</v>
      </c>
      <c r="B91" s="3" t="s">
        <v>475</v>
      </c>
      <c r="C91" s="102">
        <v>150</v>
      </c>
      <c r="E91" s="74">
        <v>-150</v>
      </c>
    </row>
    <row r="92" spans="1:5">
      <c r="A92" s="96">
        <v>45468</v>
      </c>
      <c r="B92" s="3" t="s">
        <v>478</v>
      </c>
      <c r="C92" s="102"/>
      <c r="E92" s="74">
        <v>-230</v>
      </c>
    </row>
    <row r="93" spans="1:5">
      <c r="A93" s="96">
        <v>45469</v>
      </c>
      <c r="B93" s="3" t="s">
        <v>475</v>
      </c>
      <c r="C93" s="102">
        <v>250</v>
      </c>
      <c r="E93" s="74">
        <v>-250</v>
      </c>
    </row>
    <row r="94" spans="1:5">
      <c r="A94" s="96">
        <v>45470</v>
      </c>
      <c r="B94" s="3" t="s">
        <v>479</v>
      </c>
      <c r="C94" s="102"/>
      <c r="E94" s="74">
        <v>-130</v>
      </c>
    </row>
    <row r="95" spans="1:5">
      <c r="A95" s="96">
        <v>45470</v>
      </c>
      <c r="B95" s="3" t="s">
        <v>406</v>
      </c>
      <c r="C95" s="102"/>
      <c r="E95" s="74">
        <v>-48.99</v>
      </c>
    </row>
    <row r="96" spans="1:5">
      <c r="A96" s="96">
        <v>45470</v>
      </c>
      <c r="B96" s="3" t="s">
        <v>480</v>
      </c>
      <c r="C96" s="102"/>
      <c r="E96" s="74">
        <v>-169.5</v>
      </c>
    </row>
    <row r="97" spans="1:5">
      <c r="A97" s="96">
        <v>45471</v>
      </c>
      <c r="B97" s="3" t="s">
        <v>481</v>
      </c>
      <c r="C97" s="102"/>
      <c r="E97" s="74">
        <v>-80</v>
      </c>
    </row>
    <row r="98" spans="1:5">
      <c r="A98" s="96">
        <v>45473</v>
      </c>
      <c r="B98" s="3" t="s">
        <v>119</v>
      </c>
      <c r="C98" s="102"/>
      <c r="E98" s="74">
        <v>-50</v>
      </c>
    </row>
    <row r="99" spans="1:5">
      <c r="A99" s="96">
        <v>45474</v>
      </c>
      <c r="B99" s="3" t="s">
        <v>476</v>
      </c>
      <c r="C99" s="102"/>
      <c r="E99" s="74">
        <v>-70</v>
      </c>
    </row>
    <row r="100" spans="1:5">
      <c r="A100" s="96">
        <v>45475</v>
      </c>
      <c r="B100" s="3" t="s">
        <v>475</v>
      </c>
      <c r="C100" s="102">
        <v>440</v>
      </c>
      <c r="E100" s="74">
        <v>-440</v>
      </c>
    </row>
    <row r="101" spans="1:5">
      <c r="A101" s="96">
        <v>45475</v>
      </c>
      <c r="B101" s="3" t="s">
        <v>482</v>
      </c>
      <c r="E101" s="74">
        <v>-1673</v>
      </c>
    </row>
    <row r="102" spans="1:5">
      <c r="A102" s="96">
        <v>45475</v>
      </c>
      <c r="B102" s="3" t="s">
        <v>479</v>
      </c>
      <c r="C102" s="102"/>
      <c r="E102" s="74">
        <v>-150</v>
      </c>
    </row>
    <row r="103" spans="1:5">
      <c r="A103" s="96">
        <v>45476</v>
      </c>
      <c r="B103" s="3" t="s">
        <v>476</v>
      </c>
      <c r="C103" s="102"/>
      <c r="E103" s="74">
        <v>-140</v>
      </c>
    </row>
    <row r="104" spans="1:5">
      <c r="A104" s="96">
        <v>45477</v>
      </c>
      <c r="B104" s="3" t="s">
        <v>483</v>
      </c>
      <c r="C104" s="102">
        <v>10597.81</v>
      </c>
    </row>
    <row r="105" spans="1:5">
      <c r="A105" s="96">
        <v>45478</v>
      </c>
      <c r="B105" s="3" t="s">
        <v>484</v>
      </c>
      <c r="C105" s="102"/>
      <c r="E105" s="74">
        <v>-300</v>
      </c>
    </row>
    <row r="106" spans="1:5">
      <c r="A106" s="96">
        <v>45478</v>
      </c>
      <c r="B106" s="3" t="s">
        <v>121</v>
      </c>
      <c r="C106" s="102">
        <v>15971.71</v>
      </c>
    </row>
    <row r="107" spans="1:5">
      <c r="A107" s="96">
        <v>45479</v>
      </c>
      <c r="B107" s="3" t="s">
        <v>485</v>
      </c>
      <c r="C107" s="102"/>
      <c r="E107" s="74">
        <v>-325</v>
      </c>
    </row>
    <row r="108" spans="1:5">
      <c r="A108" s="96">
        <v>45479</v>
      </c>
      <c r="B108" s="3" t="s">
        <v>486</v>
      </c>
      <c r="C108" s="102"/>
      <c r="E108" s="74">
        <v>-629</v>
      </c>
    </row>
    <row r="109" spans="1:5">
      <c r="A109" s="96"/>
      <c r="B109" s="3" t="s">
        <v>487</v>
      </c>
      <c r="C109" s="102"/>
      <c r="E109" s="74">
        <v>-800</v>
      </c>
    </row>
    <row r="110" spans="1:5">
      <c r="E110" s="74">
        <v>-119.74</v>
      </c>
    </row>
    <row r="111" spans="1:5">
      <c r="E111" s="74">
        <v>-215.98</v>
      </c>
    </row>
    <row r="112" spans="1:5">
      <c r="E112" s="74">
        <v>-104</v>
      </c>
    </row>
    <row r="113" spans="1:5">
      <c r="E113" s="74">
        <v>-81.37</v>
      </c>
    </row>
    <row r="114" spans="1:5">
      <c r="E114" s="74">
        <v>-65.67</v>
      </c>
    </row>
    <row r="115" spans="1:5">
      <c r="E115" s="74">
        <v>-260</v>
      </c>
    </row>
    <row r="116" spans="1:5">
      <c r="E116" s="74">
        <v>-270</v>
      </c>
    </row>
    <row r="117" spans="1:5">
      <c r="E117" s="74">
        <v>-300</v>
      </c>
    </row>
    <row r="118" spans="1:5">
      <c r="B118" s="32" t="s">
        <v>410</v>
      </c>
      <c r="C118" s="102">
        <f>SUM(C88:C100)</f>
        <v>960</v>
      </c>
      <c r="E118" s="74">
        <v>-37.33</v>
      </c>
    </row>
    <row r="119" spans="1:5">
      <c r="E119" s="74">
        <v>-37.33</v>
      </c>
    </row>
    <row r="120" spans="1:5">
      <c r="E120" s="74">
        <v>-72.63</v>
      </c>
    </row>
    <row r="121" spans="1:5" ht="15">
      <c r="D121" s="101" t="s">
        <v>76</v>
      </c>
      <c r="E121" s="74">
        <v>-176.25</v>
      </c>
    </row>
    <row r="122" spans="1:5" ht="15">
      <c r="D122" s="171"/>
    </row>
    <row r="123" spans="1:5" ht="15">
      <c r="D123" s="171"/>
    </row>
    <row r="125" spans="1:5">
      <c r="A125" s="109" t="s">
        <v>488</v>
      </c>
      <c r="B125" s="100" t="s">
        <v>128</v>
      </c>
      <c r="C125" s="99">
        <v>2024</v>
      </c>
      <c r="D125" s="147"/>
      <c r="E125" s="148">
        <f>SUM(E126:E146)</f>
        <v>981303.72722800006</v>
      </c>
    </row>
    <row r="126" spans="1:5">
      <c r="A126" s="149">
        <v>45505</v>
      </c>
      <c r="B126" s="8" t="s">
        <v>69</v>
      </c>
      <c r="C126" s="2"/>
      <c r="D126" s="2"/>
      <c r="E126" s="2">
        <v>64000</v>
      </c>
    </row>
    <row r="127" spans="1:5">
      <c r="A127" s="149">
        <f t="shared" ref="A127:A146" si="2">A126</f>
        <v>45505</v>
      </c>
      <c r="B127" s="8" t="s">
        <v>370</v>
      </c>
      <c r="C127" s="2"/>
      <c r="D127" s="2"/>
      <c r="E127" s="2">
        <v>150845</v>
      </c>
    </row>
    <row r="128" spans="1:5">
      <c r="A128" s="149">
        <f t="shared" si="2"/>
        <v>45505</v>
      </c>
      <c r="B128" s="8" t="s">
        <v>292</v>
      </c>
      <c r="C128" s="2"/>
      <c r="D128" s="2"/>
      <c r="E128" s="14">
        <v>12712.47</v>
      </c>
    </row>
    <row r="129" spans="1:5">
      <c r="A129" s="149">
        <f t="shared" si="2"/>
        <v>45505</v>
      </c>
      <c r="B129" s="8" t="s">
        <v>293</v>
      </c>
      <c r="C129" s="2"/>
      <c r="D129" s="2"/>
      <c r="E129" s="14">
        <v>0</v>
      </c>
    </row>
    <row r="130" spans="1:5">
      <c r="A130" s="149">
        <f t="shared" si="2"/>
        <v>45505</v>
      </c>
      <c r="B130" s="8" t="s">
        <v>489</v>
      </c>
      <c r="C130" s="2"/>
      <c r="D130" s="2"/>
      <c r="E130" s="14">
        <v>0</v>
      </c>
    </row>
    <row r="131" spans="1:5">
      <c r="A131" s="149">
        <f t="shared" si="2"/>
        <v>45505</v>
      </c>
      <c r="B131" s="8" t="s">
        <v>294</v>
      </c>
      <c r="C131" s="120"/>
      <c r="D131" s="2"/>
      <c r="E131" s="14">
        <v>0</v>
      </c>
    </row>
    <row r="132" spans="1:5">
      <c r="A132" s="149">
        <f t="shared" si="2"/>
        <v>45505</v>
      </c>
      <c r="B132" s="8" t="s">
        <v>228</v>
      </c>
      <c r="C132" s="2">
        <v>74</v>
      </c>
      <c r="D132" s="163">
        <v>677.53942199999995</v>
      </c>
      <c r="E132" s="14">
        <f t="shared" ref="E132:E144" si="3">D132*C132</f>
        <v>50137.917227999998</v>
      </c>
    </row>
    <row r="133" spans="1:5">
      <c r="A133" s="149">
        <f t="shared" si="2"/>
        <v>45505</v>
      </c>
      <c r="B133" s="8" t="s">
        <v>490</v>
      </c>
      <c r="C133" s="164">
        <v>125000</v>
      </c>
      <c r="D133" s="163">
        <v>0.83506999999999998</v>
      </c>
      <c r="E133" s="14">
        <f t="shared" si="3"/>
        <v>104383.75</v>
      </c>
    </row>
    <row r="134" spans="1:5">
      <c r="A134" s="149">
        <f t="shared" si="2"/>
        <v>45505</v>
      </c>
      <c r="B134" s="8" t="s">
        <v>491</v>
      </c>
      <c r="C134" s="2">
        <v>10</v>
      </c>
      <c r="D134" s="2">
        <v>123.7</v>
      </c>
      <c r="E134" s="14">
        <f t="shared" si="3"/>
        <v>1237</v>
      </c>
    </row>
    <row r="135" spans="1:5">
      <c r="A135" s="149">
        <f t="shared" si="2"/>
        <v>45505</v>
      </c>
      <c r="B135" s="8" t="s">
        <v>492</v>
      </c>
      <c r="C135" s="2">
        <v>38</v>
      </c>
      <c r="D135" s="2">
        <v>22.78</v>
      </c>
      <c r="E135" s="14">
        <f t="shared" si="3"/>
        <v>865.6400000000001</v>
      </c>
    </row>
    <row r="136" spans="1:5">
      <c r="A136" s="149">
        <f t="shared" si="2"/>
        <v>45505</v>
      </c>
      <c r="B136" s="8" t="s">
        <v>493</v>
      </c>
      <c r="C136" s="2">
        <v>26</v>
      </c>
      <c r="D136" s="2">
        <v>27.26</v>
      </c>
      <c r="E136" s="14">
        <f t="shared" si="3"/>
        <v>708.76</v>
      </c>
    </row>
    <row r="137" spans="1:5">
      <c r="A137" s="149">
        <f t="shared" si="2"/>
        <v>45505</v>
      </c>
      <c r="B137" s="8" t="s">
        <v>132</v>
      </c>
      <c r="C137" s="2"/>
      <c r="D137" s="2"/>
      <c r="E137" s="14">
        <f t="shared" si="3"/>
        <v>0</v>
      </c>
    </row>
    <row r="138" spans="1:5">
      <c r="A138" s="149">
        <f t="shared" si="2"/>
        <v>45505</v>
      </c>
      <c r="B138" s="8" t="s">
        <v>372</v>
      </c>
      <c r="C138" s="2">
        <v>7500</v>
      </c>
      <c r="D138" s="2">
        <v>24.5</v>
      </c>
      <c r="E138" s="14">
        <f t="shared" si="3"/>
        <v>183750</v>
      </c>
    </row>
    <row r="139" spans="1:5">
      <c r="A139" s="149">
        <f t="shared" si="2"/>
        <v>45505</v>
      </c>
      <c r="C139" s="2"/>
      <c r="D139" s="2"/>
      <c r="E139" s="14">
        <f t="shared" si="3"/>
        <v>0</v>
      </c>
    </row>
    <row r="140" spans="1:5">
      <c r="A140" s="149">
        <f t="shared" si="2"/>
        <v>45505</v>
      </c>
      <c r="C140" s="2"/>
      <c r="D140" s="2"/>
      <c r="E140" s="14">
        <f t="shared" si="3"/>
        <v>0</v>
      </c>
    </row>
    <row r="141" spans="1:5">
      <c r="A141" s="149">
        <f t="shared" si="2"/>
        <v>45505</v>
      </c>
      <c r="B141" s="8" t="s">
        <v>494</v>
      </c>
      <c r="C141" s="2">
        <v>2375.02</v>
      </c>
      <c r="D141" s="2">
        <v>156</v>
      </c>
      <c r="E141" s="14">
        <f t="shared" si="3"/>
        <v>370503.12</v>
      </c>
    </row>
    <row r="142" spans="1:5">
      <c r="A142" s="149">
        <f t="shared" si="2"/>
        <v>45505</v>
      </c>
      <c r="B142" s="8" t="s">
        <v>495</v>
      </c>
      <c r="C142" s="151">
        <v>31.963699999999999</v>
      </c>
      <c r="D142" s="2">
        <v>850</v>
      </c>
      <c r="E142" s="14">
        <f t="shared" si="3"/>
        <v>27169.145</v>
      </c>
    </row>
    <row r="143" spans="1:5">
      <c r="A143" s="149">
        <f t="shared" si="2"/>
        <v>45505</v>
      </c>
      <c r="B143" s="8" t="s">
        <v>496</v>
      </c>
      <c r="C143" s="151">
        <f>C142</f>
        <v>31.963699999999999</v>
      </c>
      <c r="D143" s="2">
        <v>250</v>
      </c>
      <c r="E143" s="14">
        <f t="shared" si="3"/>
        <v>7990.9250000000002</v>
      </c>
    </row>
    <row r="144" spans="1:5">
      <c r="A144" s="149">
        <f t="shared" si="2"/>
        <v>45505</v>
      </c>
      <c r="B144" s="8" t="s">
        <v>497</v>
      </c>
      <c r="C144" s="151">
        <v>34.412100000000002</v>
      </c>
      <c r="D144" s="2">
        <v>0</v>
      </c>
      <c r="E144" s="14">
        <f t="shared" si="3"/>
        <v>0</v>
      </c>
    </row>
    <row r="145" spans="1:5">
      <c r="A145" s="149">
        <f t="shared" si="2"/>
        <v>45505</v>
      </c>
      <c r="B145" s="8" t="s">
        <v>144</v>
      </c>
      <c r="C145" s="2"/>
      <c r="D145" s="2"/>
      <c r="E145" s="14">
        <v>3000</v>
      </c>
    </row>
    <row r="146" spans="1:5">
      <c r="A146" s="149">
        <f t="shared" si="2"/>
        <v>45505</v>
      </c>
      <c r="B146" s="8" t="s">
        <v>145</v>
      </c>
      <c r="C146" s="2"/>
      <c r="D146" s="2"/>
      <c r="E146" s="14">
        <v>4000</v>
      </c>
    </row>
    <row r="147" spans="1:5">
      <c r="E147" s="165"/>
    </row>
    <row r="148" spans="1:5">
      <c r="C148" s="120"/>
      <c r="D148" s="3"/>
      <c r="E148" s="120"/>
    </row>
    <row r="149" spans="1:5">
      <c r="C149" s="120"/>
      <c r="D149" s="15" t="s">
        <v>147</v>
      </c>
      <c r="E149" s="9">
        <f>SUM(E126:E146)</f>
        <v>981303.72722800006</v>
      </c>
    </row>
    <row r="150" spans="1:5">
      <c r="C150" s="121" t="str">
        <f>A125</f>
        <v>AĞUSTOSa</v>
      </c>
      <c r="D150" s="122" t="s">
        <v>148</v>
      </c>
      <c r="E150" s="123">
        <f>H2</f>
        <v>-60375.49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2F0D9"/>
  </sheetPr>
  <dimension ref="A1:H158"/>
  <sheetViews>
    <sheetView topLeftCell="A7" zoomScale="170" zoomScaleNormal="170" workbookViewId="0">
      <selection activeCell="A118" sqref="A11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style="74" customWidth="1"/>
    <col min="5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498</v>
      </c>
      <c r="C2" s="76" t="s">
        <v>59</v>
      </c>
      <c r="D2" s="74">
        <f>SUM(D4:D39)</f>
        <v>51000</v>
      </c>
      <c r="E2" s="74">
        <f>SUM(E4:E39)</f>
        <v>-85166.06</v>
      </c>
      <c r="F2" s="74">
        <f>SUM(F4:F39)</f>
        <v>27984.15</v>
      </c>
      <c r="G2" s="74">
        <f>SUM(G4:G39)</f>
        <v>-87971.62</v>
      </c>
      <c r="H2" s="74">
        <f>F2+G2</f>
        <v>-59987.469999999994</v>
      </c>
    </row>
    <row r="3" spans="1:8">
      <c r="B3" s="15"/>
    </row>
    <row r="4" spans="1:8">
      <c r="A4" s="85">
        <v>45468</v>
      </c>
      <c r="B4" s="38" t="s">
        <v>416</v>
      </c>
      <c r="D4" s="75"/>
      <c r="E4" s="75">
        <v>-152</v>
      </c>
      <c r="F4" s="75"/>
      <c r="G4" s="75">
        <v>-167</v>
      </c>
      <c r="H4" s="75">
        <f t="shared" ref="H4:H38" si="0">H3+F4+G4</f>
        <v>-167</v>
      </c>
    </row>
    <row r="5" spans="1:8">
      <c r="D5" s="75"/>
      <c r="E5" s="75"/>
      <c r="F5" s="75"/>
      <c r="G5" s="75"/>
      <c r="H5" s="75">
        <f t="shared" si="0"/>
        <v>-167</v>
      </c>
    </row>
    <row r="6" spans="1:8">
      <c r="A6" s="85">
        <v>45474</v>
      </c>
      <c r="B6" s="97" t="s">
        <v>72</v>
      </c>
      <c r="C6" s="97"/>
      <c r="D6" s="75"/>
      <c r="E6" s="75">
        <v>-400</v>
      </c>
      <c r="F6" s="75"/>
      <c r="G6" s="75">
        <v>-275</v>
      </c>
      <c r="H6" s="75">
        <f t="shared" si="0"/>
        <v>-442</v>
      </c>
    </row>
    <row r="7" spans="1:8">
      <c r="A7" s="85">
        <v>45474</v>
      </c>
      <c r="B7" s="97" t="s">
        <v>73</v>
      </c>
      <c r="C7" s="97"/>
      <c r="D7" s="75"/>
      <c r="E7" s="75">
        <v>-500</v>
      </c>
      <c r="F7" s="75"/>
      <c r="G7" s="75">
        <v>-520</v>
      </c>
      <c r="H7" s="75">
        <f t="shared" si="0"/>
        <v>-962</v>
      </c>
    </row>
    <row r="8" spans="1:8">
      <c r="B8" s="97" t="s">
        <v>499</v>
      </c>
      <c r="C8" s="97" t="s">
        <v>344</v>
      </c>
      <c r="D8" s="75"/>
      <c r="E8" s="75">
        <v>-250</v>
      </c>
      <c r="F8" s="75"/>
      <c r="G8" s="75"/>
      <c r="H8" s="75">
        <f t="shared" si="0"/>
        <v>-962</v>
      </c>
    </row>
    <row r="9" spans="1:8">
      <c r="A9" s="85">
        <v>45478</v>
      </c>
      <c r="B9" s="166" t="s">
        <v>60</v>
      </c>
      <c r="D9" s="75"/>
      <c r="E9" s="75">
        <f>E55</f>
        <v>-8944.5400000000009</v>
      </c>
      <c r="F9" s="75"/>
      <c r="G9" s="75">
        <f>E9</f>
        <v>-8944.5400000000009</v>
      </c>
      <c r="H9" s="75">
        <f t="shared" si="0"/>
        <v>-9906.5400000000009</v>
      </c>
    </row>
    <row r="10" spans="1:8">
      <c r="A10" s="154">
        <v>45478</v>
      </c>
      <c r="B10" s="166" t="s">
        <v>61</v>
      </c>
      <c r="D10" s="75"/>
      <c r="E10" s="75">
        <f>E72</f>
        <v>-26619.52</v>
      </c>
      <c r="F10" s="75"/>
      <c r="G10" s="75">
        <f>E10</f>
        <v>-26619.52</v>
      </c>
      <c r="H10" s="75">
        <f t="shared" si="0"/>
        <v>-36526.06</v>
      </c>
    </row>
    <row r="11" spans="1:8">
      <c r="A11" s="96">
        <v>45481</v>
      </c>
      <c r="B11" s="8" t="s">
        <v>500</v>
      </c>
      <c r="D11" s="75">
        <v>15000</v>
      </c>
      <c r="E11" s="75"/>
      <c r="F11" s="75">
        <v>15000</v>
      </c>
      <c r="G11" s="75"/>
      <c r="H11" s="75">
        <f t="shared" si="0"/>
        <v>-21526.059999999998</v>
      </c>
    </row>
    <row r="12" spans="1:8">
      <c r="A12" s="85">
        <v>45481</v>
      </c>
      <c r="B12" s="97" t="s">
        <v>501</v>
      </c>
      <c r="C12" s="97"/>
      <c r="D12" s="75"/>
      <c r="E12" s="75">
        <v>-17500</v>
      </c>
      <c r="F12" s="75"/>
      <c r="G12" s="75">
        <v>-17500</v>
      </c>
      <c r="H12" s="75">
        <f t="shared" si="0"/>
        <v>-39026.06</v>
      </c>
    </row>
    <row r="13" spans="1:8">
      <c r="A13" s="85">
        <v>45481</v>
      </c>
      <c r="B13" s="97" t="s">
        <v>62</v>
      </c>
      <c r="C13" s="97"/>
      <c r="D13" s="75"/>
      <c r="E13" s="75">
        <v>-1500</v>
      </c>
      <c r="F13" s="75"/>
      <c r="G13" s="75">
        <v>-1519.7</v>
      </c>
      <c r="H13" s="75">
        <f t="shared" si="0"/>
        <v>-40545.759999999995</v>
      </c>
    </row>
    <row r="14" spans="1:8">
      <c r="B14" s="97" t="s">
        <v>67</v>
      </c>
      <c r="C14" s="97" t="s">
        <v>315</v>
      </c>
      <c r="D14" s="75"/>
      <c r="E14" s="75">
        <v>-150</v>
      </c>
      <c r="F14" s="75"/>
      <c r="G14" s="75"/>
      <c r="H14" s="75">
        <f t="shared" si="0"/>
        <v>-40545.759999999995</v>
      </c>
    </row>
    <row r="15" spans="1:8">
      <c r="A15" s="85">
        <v>45481</v>
      </c>
      <c r="B15" s="8" t="s">
        <v>386</v>
      </c>
      <c r="C15" s="97"/>
      <c r="D15" s="75"/>
      <c r="E15" s="75">
        <v>-10000</v>
      </c>
      <c r="F15" s="75"/>
      <c r="G15" s="75">
        <v>-10000</v>
      </c>
      <c r="H15" s="75">
        <f t="shared" si="0"/>
        <v>-50545.759999999995</v>
      </c>
    </row>
    <row r="16" spans="1:8">
      <c r="B16" s="97"/>
      <c r="C16" s="97"/>
      <c r="D16" s="75"/>
      <c r="E16" s="75"/>
      <c r="F16" s="75"/>
      <c r="G16" s="75"/>
      <c r="H16" s="75">
        <f t="shared" si="0"/>
        <v>-50545.759999999995</v>
      </c>
    </row>
    <row r="17" spans="1:8">
      <c r="B17" s="97"/>
      <c r="C17" s="97"/>
      <c r="D17" s="75"/>
      <c r="E17" s="75"/>
      <c r="F17" s="75"/>
      <c r="G17" s="75"/>
      <c r="H17" s="75">
        <f t="shared" si="0"/>
        <v>-50545.759999999995</v>
      </c>
    </row>
    <row r="18" spans="1:8">
      <c r="D18" s="75"/>
      <c r="E18" s="75"/>
      <c r="F18" s="75"/>
      <c r="G18" s="75"/>
      <c r="H18" s="75">
        <f t="shared" si="0"/>
        <v>-50545.759999999995</v>
      </c>
    </row>
    <row r="19" spans="1:8">
      <c r="A19" s="85">
        <v>45489</v>
      </c>
      <c r="B19" s="102" t="s">
        <v>65</v>
      </c>
      <c r="C19" s="102" t="s">
        <v>315</v>
      </c>
      <c r="D19" s="75"/>
      <c r="E19" s="75">
        <v>-300</v>
      </c>
      <c r="F19" s="75"/>
      <c r="G19" s="75">
        <v>-33</v>
      </c>
      <c r="H19" s="75">
        <f t="shared" si="0"/>
        <v>-50578.759999999995</v>
      </c>
    </row>
    <row r="20" spans="1:8">
      <c r="A20" s="85">
        <v>45489</v>
      </c>
      <c r="B20" s="102" t="s">
        <v>66</v>
      </c>
      <c r="C20" s="102" t="s">
        <v>315</v>
      </c>
      <c r="D20" s="75"/>
      <c r="E20" s="75">
        <v>-100</v>
      </c>
      <c r="F20" s="75"/>
      <c r="G20" s="75">
        <v>-27</v>
      </c>
      <c r="H20" s="75">
        <f t="shared" si="0"/>
        <v>-50605.759999999995</v>
      </c>
    </row>
    <row r="21" spans="1:8">
      <c r="B21" s="97"/>
      <c r="C21" s="97"/>
      <c r="D21" s="75"/>
      <c r="E21" s="75"/>
      <c r="F21" s="75"/>
      <c r="G21" s="75"/>
      <c r="H21" s="75">
        <f t="shared" si="0"/>
        <v>-50605.759999999995</v>
      </c>
    </row>
    <row r="22" spans="1:8">
      <c r="B22" s="166" t="s">
        <v>64</v>
      </c>
      <c r="D22" s="75"/>
      <c r="E22" s="75">
        <f>F50*-1</f>
        <v>0</v>
      </c>
      <c r="F22" s="75"/>
      <c r="G22" s="75"/>
      <c r="H22" s="75">
        <f t="shared" si="0"/>
        <v>-50605.759999999995</v>
      </c>
    </row>
    <row r="23" spans="1:8">
      <c r="A23" s="85"/>
      <c r="D23" s="75"/>
      <c r="E23" s="75"/>
      <c r="F23" s="75"/>
      <c r="G23" s="75"/>
      <c r="H23" s="75">
        <f t="shared" si="0"/>
        <v>-50605.759999999995</v>
      </c>
    </row>
    <row r="24" spans="1:8">
      <c r="D24" s="75"/>
      <c r="E24" s="75"/>
      <c r="F24" s="75"/>
      <c r="G24" s="75"/>
      <c r="H24" s="75">
        <f t="shared" si="0"/>
        <v>-50605.759999999995</v>
      </c>
    </row>
    <row r="25" spans="1:8">
      <c r="D25" s="75"/>
      <c r="E25" s="75"/>
      <c r="F25" s="75"/>
      <c r="G25" s="75"/>
      <c r="H25" s="75">
        <f t="shared" si="0"/>
        <v>-50605.759999999995</v>
      </c>
    </row>
    <row r="26" spans="1:8">
      <c r="A26" s="85">
        <v>45500</v>
      </c>
      <c r="B26" s="8" t="s">
        <v>69</v>
      </c>
      <c r="D26" s="75"/>
      <c r="E26" s="75">
        <v>-6250</v>
      </c>
      <c r="F26" s="75"/>
      <c r="G26" s="75">
        <v>-6500</v>
      </c>
      <c r="H26" s="75">
        <f t="shared" si="0"/>
        <v>-57105.759999999995</v>
      </c>
    </row>
    <row r="27" spans="1:8">
      <c r="A27" s="85">
        <v>45500</v>
      </c>
      <c r="B27" s="8" t="s">
        <v>70</v>
      </c>
      <c r="D27" s="75"/>
      <c r="E27" s="75">
        <v>-6250</v>
      </c>
      <c r="F27" s="75"/>
      <c r="G27" s="75">
        <v>-6500</v>
      </c>
      <c r="H27" s="75">
        <f t="shared" si="0"/>
        <v>-63605.759999999995</v>
      </c>
    </row>
    <row r="28" spans="1:8">
      <c r="B28" t="s">
        <v>71</v>
      </c>
      <c r="D28" s="75"/>
      <c r="E28" s="75">
        <v>-6250</v>
      </c>
      <c r="F28" s="75"/>
      <c r="G28" s="75">
        <v>-6500</v>
      </c>
      <c r="H28" s="75">
        <f t="shared" si="0"/>
        <v>-70105.759999999995</v>
      </c>
    </row>
    <row r="29" spans="1:8">
      <c r="D29" s="75"/>
      <c r="E29" s="75"/>
      <c r="F29" s="75"/>
      <c r="G29" s="75"/>
      <c r="H29" s="75">
        <f t="shared" si="0"/>
        <v>-70105.759999999995</v>
      </c>
    </row>
    <row r="30" spans="1:8">
      <c r="B30" t="s">
        <v>68</v>
      </c>
      <c r="D30" s="75">
        <v>12500</v>
      </c>
      <c r="E30" s="75"/>
      <c r="F30" s="75">
        <v>12984.15</v>
      </c>
      <c r="G30" s="75"/>
      <c r="H30" s="75">
        <f t="shared" si="0"/>
        <v>-57121.609999999993</v>
      </c>
    </row>
    <row r="31" spans="1:8">
      <c r="A31" s="96"/>
      <c r="D31" s="75"/>
      <c r="E31" s="75"/>
      <c r="F31" s="75"/>
      <c r="G31" s="75"/>
      <c r="H31" s="75">
        <f t="shared" si="0"/>
        <v>-57121.609999999993</v>
      </c>
    </row>
    <row r="32" spans="1:8">
      <c r="A32" s="96"/>
      <c r="B32" s="159" t="s">
        <v>427</v>
      </c>
      <c r="C32" s="159"/>
      <c r="D32" s="172">
        <v>8500</v>
      </c>
      <c r="E32" s="75"/>
      <c r="F32" s="75"/>
      <c r="G32" s="75"/>
      <c r="H32" s="75">
        <f t="shared" si="0"/>
        <v>-57121.609999999993</v>
      </c>
    </row>
    <row r="33" spans="1:8">
      <c r="A33" s="96"/>
      <c r="B33" s="159" t="s">
        <v>444</v>
      </c>
      <c r="C33" s="159"/>
      <c r="D33" s="156">
        <v>15000</v>
      </c>
      <c r="E33" s="75"/>
      <c r="F33" s="75"/>
      <c r="G33" s="75"/>
      <c r="H33" s="75">
        <f t="shared" si="0"/>
        <v>-57121.609999999993</v>
      </c>
    </row>
    <row r="34" spans="1:8">
      <c r="A34" s="96">
        <v>45502</v>
      </c>
      <c r="B34" s="97" t="s">
        <v>72</v>
      </c>
      <c r="D34" s="75"/>
      <c r="E34" s="75"/>
      <c r="F34" s="75"/>
      <c r="G34" s="75">
        <v>-350</v>
      </c>
      <c r="H34" s="75">
        <f t="shared" si="0"/>
        <v>-57471.609999999993</v>
      </c>
    </row>
    <row r="35" spans="1:8">
      <c r="A35" s="96">
        <v>45502</v>
      </c>
      <c r="B35" s="97" t="s">
        <v>73</v>
      </c>
      <c r="D35" s="75"/>
      <c r="E35" s="75"/>
      <c r="F35" s="75"/>
      <c r="G35" s="75">
        <v>-710</v>
      </c>
      <c r="H35" s="75">
        <f t="shared" si="0"/>
        <v>-58181.609999999993</v>
      </c>
    </row>
    <row r="36" spans="1:8">
      <c r="A36" s="96">
        <v>45504</v>
      </c>
      <c r="B36" s="8" t="s">
        <v>502</v>
      </c>
      <c r="D36" s="75"/>
      <c r="E36" s="75"/>
      <c r="F36" s="75"/>
      <c r="G36" s="75">
        <v>-1805.86</v>
      </c>
      <c r="H36" s="75">
        <f t="shared" si="0"/>
        <v>-59987.469999999994</v>
      </c>
    </row>
    <row r="37" spans="1:8">
      <c r="D37" s="75"/>
      <c r="E37" s="75"/>
      <c r="F37" s="75"/>
      <c r="G37" s="75"/>
      <c r="H37" s="75">
        <f t="shared" si="0"/>
        <v>-59987.469999999994</v>
      </c>
    </row>
    <row r="38" spans="1:8">
      <c r="D38" s="75"/>
      <c r="E38" s="75"/>
      <c r="F38" s="75"/>
      <c r="G38" s="75"/>
      <c r="H38" s="75">
        <f t="shared" si="0"/>
        <v>-59987.469999999994</v>
      </c>
    </row>
    <row r="39" spans="1:8" ht="15.75">
      <c r="B39" s="168"/>
    </row>
    <row r="41" spans="1:8">
      <c r="B41" t="s">
        <v>317</v>
      </c>
    </row>
    <row r="42" spans="1:8">
      <c r="A42" s="99" t="s">
        <v>318</v>
      </c>
      <c r="B42" s="99"/>
      <c r="C42" s="99"/>
    </row>
    <row r="43" spans="1:8">
      <c r="A43" s="96"/>
      <c r="C43" s="160"/>
    </row>
    <row r="44" spans="1:8">
      <c r="A44" s="161">
        <v>44929</v>
      </c>
      <c r="B44" s="162" t="s">
        <v>319</v>
      </c>
      <c r="C44" s="99"/>
      <c r="D44" s="74">
        <f>SUM(D45:D50)</f>
        <v>0</v>
      </c>
      <c r="E44" s="74">
        <f>SUM(E45:E51)</f>
        <v>0</v>
      </c>
    </row>
    <row r="45" spans="1:8">
      <c r="A45" s="96"/>
      <c r="B45" s="102" t="s">
        <v>320</v>
      </c>
    </row>
    <row r="46" spans="1:8">
      <c r="B46" t="s">
        <v>321</v>
      </c>
    </row>
    <row r="47" spans="1:8">
      <c r="B47" t="s">
        <v>322</v>
      </c>
    </row>
    <row r="48" spans="1:8">
      <c r="B48" t="s">
        <v>323</v>
      </c>
      <c r="D48" s="74" t="s">
        <v>503</v>
      </c>
    </row>
    <row r="49" spans="1:5">
      <c r="B49" t="s">
        <v>324</v>
      </c>
      <c r="D49" s="74" t="s">
        <v>504</v>
      </c>
    </row>
    <row r="50" spans="1:5">
      <c r="B50" t="s">
        <v>325</v>
      </c>
      <c r="C50" s="102"/>
    </row>
    <row r="51" spans="1:5">
      <c r="C51" s="102"/>
    </row>
    <row r="53" spans="1:5">
      <c r="B53" s="14"/>
    </row>
    <row r="54" spans="1:5">
      <c r="B54" s="98"/>
    </row>
    <row r="55" spans="1:5">
      <c r="A55" s="99"/>
      <c r="B55" s="100" t="s">
        <v>75</v>
      </c>
      <c r="C55" s="99"/>
      <c r="E55" s="74">
        <f>SUM(E56:E68)</f>
        <v>-8944.5400000000009</v>
      </c>
    </row>
    <row r="57" spans="1:5">
      <c r="A57" s="85">
        <v>45348</v>
      </c>
      <c r="B57" s="8" t="s">
        <v>430</v>
      </c>
      <c r="C57">
        <v>1406</v>
      </c>
      <c r="D57" s="74" t="s">
        <v>505</v>
      </c>
      <c r="E57" s="74">
        <v>-234.33</v>
      </c>
    </row>
    <row r="58" spans="1:5">
      <c r="A58" s="85">
        <v>45373</v>
      </c>
      <c r="B58" s="8" t="s">
        <v>326</v>
      </c>
      <c r="C58">
        <v>10176.39</v>
      </c>
      <c r="D58" s="74" t="s">
        <v>506</v>
      </c>
      <c r="E58" s="74">
        <v>-1130.71</v>
      </c>
    </row>
    <row r="59" spans="1:5">
      <c r="A59" s="85">
        <v>45375</v>
      </c>
      <c r="B59" s="8" t="s">
        <v>328</v>
      </c>
      <c r="C59">
        <v>5999</v>
      </c>
      <c r="D59" s="74" t="s">
        <v>506</v>
      </c>
      <c r="E59" s="74">
        <v>-666.56</v>
      </c>
    </row>
    <row r="60" spans="1:5">
      <c r="A60" s="85">
        <v>45358</v>
      </c>
      <c r="B60" s="8" t="s">
        <v>433</v>
      </c>
      <c r="C60">
        <v>2273</v>
      </c>
      <c r="D60" s="74" t="s">
        <v>505</v>
      </c>
      <c r="E60" s="74">
        <v>-378.87</v>
      </c>
    </row>
    <row r="61" spans="1:5">
      <c r="A61" s="85">
        <v>45371</v>
      </c>
      <c r="B61" s="8" t="s">
        <v>434</v>
      </c>
      <c r="D61" s="74" t="s">
        <v>507</v>
      </c>
      <c r="E61" s="74">
        <v>101.77</v>
      </c>
    </row>
    <row r="62" spans="1:5">
      <c r="A62" s="85"/>
    </row>
    <row r="63" spans="1:5">
      <c r="A63" s="96">
        <v>45442</v>
      </c>
      <c r="B63" s="170" t="s">
        <v>464</v>
      </c>
      <c r="C63" s="102"/>
      <c r="D63" s="74" t="s">
        <v>508</v>
      </c>
      <c r="E63" s="74">
        <v>-1054.1400000000001</v>
      </c>
    </row>
    <row r="64" spans="1:5">
      <c r="A64" s="96">
        <v>45456</v>
      </c>
      <c r="B64" s="103" t="s">
        <v>435</v>
      </c>
      <c r="C64" s="102"/>
      <c r="D64" s="74" t="s">
        <v>509</v>
      </c>
      <c r="E64" s="74">
        <v>-3923.33</v>
      </c>
    </row>
    <row r="65" spans="1:5">
      <c r="A65" s="96">
        <v>45442</v>
      </c>
      <c r="B65" s="102" t="s">
        <v>510</v>
      </c>
      <c r="C65" s="102"/>
      <c r="E65" s="74">
        <v>-278.97000000000003</v>
      </c>
    </row>
    <row r="67" spans="1:5">
      <c r="A67" s="96">
        <v>45444</v>
      </c>
      <c r="B67" s="103" t="s">
        <v>511</v>
      </c>
      <c r="C67" s="102"/>
      <c r="E67" s="74">
        <v>-1379.4</v>
      </c>
    </row>
    <row r="68" spans="1:5" ht="15">
      <c r="A68" s="96">
        <v>45447</v>
      </c>
      <c r="B68" s="103" t="s">
        <v>121</v>
      </c>
      <c r="D68" s="74">
        <v>4300</v>
      </c>
      <c r="E68" s="101" t="s">
        <v>76</v>
      </c>
    </row>
    <row r="70" spans="1:5">
      <c r="A70" s="96"/>
      <c r="B70" s="3"/>
    </row>
    <row r="71" spans="1:5">
      <c r="A71" s="96"/>
      <c r="B71" s="102"/>
      <c r="C71" s="102"/>
    </row>
    <row r="72" spans="1:5">
      <c r="A72" s="99"/>
      <c r="B72" s="100" t="s">
        <v>77</v>
      </c>
      <c r="C72" s="99"/>
      <c r="E72" s="74">
        <f>SUM(E73:E130)</f>
        <v>-26619.52</v>
      </c>
    </row>
    <row r="73" spans="1:5">
      <c r="A73" s="96"/>
      <c r="B73" s="102"/>
      <c r="C73" s="102"/>
    </row>
    <row r="74" spans="1:5">
      <c r="A74" s="154">
        <v>45285</v>
      </c>
      <c r="B74" s="102" t="s">
        <v>512</v>
      </c>
      <c r="C74" s="102"/>
      <c r="D74" s="74" t="s">
        <v>513</v>
      </c>
      <c r="E74" s="74">
        <v>-3551.68</v>
      </c>
    </row>
    <row r="75" spans="1:5">
      <c r="A75" s="96"/>
      <c r="B75" s="3" t="s">
        <v>468</v>
      </c>
      <c r="C75" s="102"/>
      <c r="D75" s="74" t="s">
        <v>514</v>
      </c>
      <c r="E75" s="74">
        <v>-649.78</v>
      </c>
    </row>
    <row r="76" spans="1:5">
      <c r="A76" s="96"/>
      <c r="B76" s="3" t="s">
        <v>470</v>
      </c>
      <c r="C76" s="102"/>
      <c r="D76" s="74" t="s">
        <v>515</v>
      </c>
    </row>
    <row r="77" spans="1:5">
      <c r="A77" s="96"/>
      <c r="B77" s="3"/>
      <c r="C77" s="102"/>
    </row>
    <row r="78" spans="1:5">
      <c r="A78" s="96">
        <v>45456</v>
      </c>
      <c r="B78" s="8" t="s">
        <v>471</v>
      </c>
      <c r="C78" s="102"/>
      <c r="D78" s="74" t="s">
        <v>508</v>
      </c>
      <c r="E78" s="74">
        <v>-5875</v>
      </c>
    </row>
    <row r="79" spans="1:5">
      <c r="A79" s="96">
        <v>45456</v>
      </c>
      <c r="B79" s="8" t="s">
        <v>472</v>
      </c>
      <c r="C79" s="102"/>
      <c r="D79" s="74" t="s">
        <v>508</v>
      </c>
      <c r="E79" s="74">
        <v>-4300</v>
      </c>
    </row>
    <row r="80" spans="1:5">
      <c r="A80" s="96">
        <v>45465</v>
      </c>
      <c r="B80" s="3" t="s">
        <v>510</v>
      </c>
      <c r="C80" s="102"/>
      <c r="E80" s="74">
        <v>-483.01</v>
      </c>
    </row>
    <row r="81" spans="1:5">
      <c r="A81" s="96">
        <v>45436</v>
      </c>
      <c r="B81" s="3" t="s">
        <v>516</v>
      </c>
      <c r="C81" s="102"/>
      <c r="E81" s="74">
        <v>-80</v>
      </c>
    </row>
    <row r="82" spans="1:5">
      <c r="A82" s="96">
        <v>45436</v>
      </c>
      <c r="B82" s="3" t="s">
        <v>517</v>
      </c>
      <c r="C82" s="102"/>
      <c r="E82" s="74">
        <v>-1000</v>
      </c>
    </row>
    <row r="83" spans="1:5">
      <c r="A83" s="96">
        <v>45437</v>
      </c>
      <c r="B83" s="3" t="s">
        <v>518</v>
      </c>
      <c r="C83" s="102"/>
      <c r="E83" s="74">
        <v>-70</v>
      </c>
    </row>
    <row r="84" spans="1:5">
      <c r="A84" s="96">
        <v>45438</v>
      </c>
      <c r="B84" s="3" t="s">
        <v>401</v>
      </c>
      <c r="C84" s="102"/>
      <c r="E84" s="74">
        <v>-232.27</v>
      </c>
    </row>
    <row r="85" spans="1:5">
      <c r="A85" s="96">
        <v>45438</v>
      </c>
      <c r="B85" s="3" t="s">
        <v>519</v>
      </c>
      <c r="C85" s="102"/>
      <c r="E85" s="74">
        <v>-130</v>
      </c>
    </row>
    <row r="86" spans="1:5">
      <c r="A86" s="96">
        <v>45469</v>
      </c>
      <c r="B86" s="3" t="s">
        <v>520</v>
      </c>
      <c r="C86" s="102"/>
      <c r="E86" s="74">
        <v>-246.8</v>
      </c>
    </row>
    <row r="87" spans="1:5">
      <c r="A87" s="96">
        <v>45439</v>
      </c>
      <c r="B87" s="3" t="s">
        <v>518</v>
      </c>
      <c r="C87" s="102"/>
      <c r="E87" s="74">
        <v>-70</v>
      </c>
    </row>
    <row r="88" spans="1:5">
      <c r="A88" s="96">
        <v>45440</v>
      </c>
      <c r="B88" s="3" t="s">
        <v>475</v>
      </c>
      <c r="C88" s="102">
        <v>300</v>
      </c>
      <c r="E88" s="74">
        <v>-300</v>
      </c>
    </row>
    <row r="89" spans="1:5">
      <c r="A89" s="96">
        <v>45440</v>
      </c>
      <c r="B89" s="3" t="s">
        <v>521</v>
      </c>
      <c r="C89" s="102"/>
      <c r="E89" s="74">
        <v>-460</v>
      </c>
    </row>
    <row r="90" spans="1:5">
      <c r="A90" s="96">
        <v>45441</v>
      </c>
      <c r="B90" s="3" t="s">
        <v>401</v>
      </c>
      <c r="C90" s="102"/>
      <c r="E90" s="74">
        <v>-27.66</v>
      </c>
    </row>
    <row r="91" spans="1:5">
      <c r="A91" s="96">
        <v>45441</v>
      </c>
      <c r="B91" s="3" t="s">
        <v>475</v>
      </c>
      <c r="C91" s="102">
        <v>400</v>
      </c>
      <c r="E91" s="74">
        <v>-400</v>
      </c>
    </row>
    <row r="92" spans="1:5">
      <c r="A92" s="96">
        <v>45442</v>
      </c>
      <c r="B92" s="3" t="s">
        <v>475</v>
      </c>
      <c r="C92" s="102">
        <v>200</v>
      </c>
      <c r="E92" s="74">
        <v>-200</v>
      </c>
    </row>
    <row r="93" spans="1:5">
      <c r="A93" s="96">
        <v>45442</v>
      </c>
      <c r="B93" s="3" t="s">
        <v>522</v>
      </c>
      <c r="C93" s="102"/>
      <c r="E93" s="74">
        <v>-80</v>
      </c>
    </row>
    <row r="94" spans="1:5">
      <c r="A94" s="96">
        <v>45444</v>
      </c>
      <c r="B94" s="3" t="s">
        <v>523</v>
      </c>
      <c r="C94" s="102"/>
      <c r="E94" s="74">
        <v>-80</v>
      </c>
    </row>
    <row r="95" spans="1:5">
      <c r="A95" s="96">
        <v>45444</v>
      </c>
      <c r="B95" s="3" t="s">
        <v>401</v>
      </c>
      <c r="C95" s="102"/>
      <c r="E95" s="74">
        <v>-12.26</v>
      </c>
    </row>
    <row r="96" spans="1:5">
      <c r="A96" s="96">
        <v>45444</v>
      </c>
      <c r="B96" s="3" t="s">
        <v>475</v>
      </c>
      <c r="C96" s="102">
        <v>350</v>
      </c>
      <c r="E96" s="74">
        <v>-350</v>
      </c>
    </row>
    <row r="97" spans="1:5">
      <c r="A97" s="96">
        <v>45444</v>
      </c>
      <c r="B97" s="3" t="s">
        <v>524</v>
      </c>
      <c r="C97" s="102"/>
      <c r="E97" s="74">
        <v>-300</v>
      </c>
    </row>
    <row r="98" spans="1:5">
      <c r="A98" s="96">
        <v>45446</v>
      </c>
      <c r="B98" s="3" t="s">
        <v>171</v>
      </c>
      <c r="C98" s="102"/>
      <c r="E98" s="74">
        <v>-500</v>
      </c>
    </row>
    <row r="99" spans="1:5">
      <c r="A99" s="96">
        <v>45446</v>
      </c>
      <c r="B99" s="3" t="s">
        <v>518</v>
      </c>
      <c r="C99" s="102"/>
      <c r="E99" s="74">
        <v>-70</v>
      </c>
    </row>
    <row r="100" spans="1:5">
      <c r="A100" s="96">
        <v>45446</v>
      </c>
      <c r="B100" s="3" t="s">
        <v>121</v>
      </c>
      <c r="C100" s="102"/>
      <c r="D100" s="74">
        <v>7949.1</v>
      </c>
    </row>
    <row r="101" spans="1:5">
      <c r="A101" s="96">
        <v>45447</v>
      </c>
      <c r="B101" s="3" t="s">
        <v>475</v>
      </c>
      <c r="C101" s="102">
        <v>240</v>
      </c>
      <c r="E101" s="74">
        <v>-240</v>
      </c>
    </row>
    <row r="102" spans="1:5">
      <c r="A102" s="96">
        <v>45447</v>
      </c>
      <c r="B102" s="3" t="s">
        <v>518</v>
      </c>
      <c r="C102" s="102"/>
      <c r="E102" s="74">
        <v>-70</v>
      </c>
    </row>
    <row r="103" spans="1:5">
      <c r="A103" s="96">
        <v>45447</v>
      </c>
      <c r="B103" s="3" t="s">
        <v>121</v>
      </c>
      <c r="C103" s="102"/>
      <c r="D103" s="74">
        <v>11998.63</v>
      </c>
    </row>
    <row r="104" spans="1:5">
      <c r="A104" s="85">
        <v>45448</v>
      </c>
      <c r="B104" s="3" t="s">
        <v>475</v>
      </c>
      <c r="C104">
        <v>280</v>
      </c>
      <c r="E104" s="74">
        <v>-280</v>
      </c>
    </row>
    <row r="105" spans="1:5">
      <c r="A105" s="85">
        <v>45448</v>
      </c>
      <c r="B105" s="3" t="s">
        <v>525</v>
      </c>
    </row>
    <row r="106" spans="1:5">
      <c r="A106" s="85">
        <v>45449</v>
      </c>
      <c r="B106" s="3" t="s">
        <v>475</v>
      </c>
      <c r="C106">
        <v>300</v>
      </c>
      <c r="E106" s="74">
        <v>-300</v>
      </c>
    </row>
    <row r="107" spans="1:5">
      <c r="A107" s="85">
        <v>45449</v>
      </c>
      <c r="B107" s="3" t="s">
        <v>401</v>
      </c>
      <c r="E107" s="74">
        <v>-84.7</v>
      </c>
    </row>
    <row r="108" spans="1:5">
      <c r="A108" s="85">
        <v>45450</v>
      </c>
      <c r="B108" s="3" t="s">
        <v>475</v>
      </c>
      <c r="C108">
        <v>300</v>
      </c>
      <c r="E108" s="74">
        <v>-300</v>
      </c>
    </row>
    <row r="109" spans="1:5">
      <c r="A109" s="85">
        <v>45450</v>
      </c>
      <c r="B109" s="3" t="s">
        <v>523</v>
      </c>
      <c r="E109" s="74">
        <v>-80</v>
      </c>
    </row>
    <row r="110" spans="1:5">
      <c r="A110" s="85">
        <v>45451</v>
      </c>
      <c r="B110" s="3" t="s">
        <v>475</v>
      </c>
      <c r="C110">
        <v>250</v>
      </c>
      <c r="E110" s="74">
        <v>-250</v>
      </c>
    </row>
    <row r="111" spans="1:5">
      <c r="A111" s="85">
        <v>45451</v>
      </c>
      <c r="B111" s="3" t="s">
        <v>518</v>
      </c>
      <c r="E111" s="74">
        <v>-145</v>
      </c>
    </row>
    <row r="112" spans="1:5">
      <c r="A112" s="85">
        <v>45454</v>
      </c>
      <c r="B112" s="3" t="s">
        <v>475</v>
      </c>
      <c r="C112">
        <v>400</v>
      </c>
      <c r="E112" s="74">
        <v>-400</v>
      </c>
    </row>
    <row r="113" spans="1:5">
      <c r="A113" s="85">
        <v>45455</v>
      </c>
      <c r="B113" s="3" t="s">
        <v>526</v>
      </c>
      <c r="E113" s="74">
        <v>-300</v>
      </c>
    </row>
    <row r="114" spans="1:5">
      <c r="A114" s="85">
        <v>45456</v>
      </c>
      <c r="B114" s="3" t="s">
        <v>475</v>
      </c>
      <c r="C114">
        <v>300</v>
      </c>
      <c r="E114" s="74">
        <v>-300</v>
      </c>
    </row>
    <row r="115" spans="1:5">
      <c r="A115" s="85">
        <v>45456</v>
      </c>
      <c r="B115" s="3" t="s">
        <v>518</v>
      </c>
      <c r="E115" s="74">
        <v>-70</v>
      </c>
    </row>
    <row r="116" spans="1:5">
      <c r="A116" s="85">
        <v>45459</v>
      </c>
      <c r="B116" s="3" t="s">
        <v>523</v>
      </c>
      <c r="E116" s="74">
        <v>-80</v>
      </c>
    </row>
    <row r="117" spans="1:5">
      <c r="A117" s="85">
        <v>45460</v>
      </c>
      <c r="B117" s="3" t="s">
        <v>401</v>
      </c>
      <c r="E117" s="74">
        <v>-71.95</v>
      </c>
    </row>
    <row r="118" spans="1:5">
      <c r="A118" s="85">
        <v>45460</v>
      </c>
      <c r="B118" s="3" t="s">
        <v>171</v>
      </c>
      <c r="E118" s="74">
        <v>-500</v>
      </c>
    </row>
    <row r="119" spans="1:5">
      <c r="A119" s="85">
        <v>45463</v>
      </c>
      <c r="B119" s="3" t="s">
        <v>523</v>
      </c>
      <c r="E119" s="74">
        <v>-80</v>
      </c>
    </row>
    <row r="120" spans="1:5">
      <c r="A120" s="85">
        <v>45464</v>
      </c>
      <c r="B120" s="3" t="s">
        <v>527</v>
      </c>
      <c r="E120" s="74">
        <v>-105</v>
      </c>
    </row>
    <row r="121" spans="1:5">
      <c r="A121" s="85">
        <v>45464</v>
      </c>
      <c r="B121" s="3" t="s">
        <v>528</v>
      </c>
      <c r="E121" s="74">
        <v>-800</v>
      </c>
    </row>
    <row r="122" spans="1:5">
      <c r="A122" s="85">
        <v>45464</v>
      </c>
      <c r="B122" s="3" t="s">
        <v>529</v>
      </c>
      <c r="E122" s="74">
        <v>-277.5</v>
      </c>
    </row>
    <row r="123" spans="1:5">
      <c r="A123" s="85">
        <v>45465</v>
      </c>
      <c r="B123" s="3" t="s">
        <v>530</v>
      </c>
      <c r="E123" s="74">
        <v>-200</v>
      </c>
    </row>
    <row r="124" spans="1:5">
      <c r="A124" s="85">
        <v>45466</v>
      </c>
      <c r="B124" s="3" t="s">
        <v>531</v>
      </c>
      <c r="E124" s="74">
        <v>-689.5</v>
      </c>
    </row>
    <row r="125" spans="1:5">
      <c r="A125" s="85">
        <v>45466</v>
      </c>
      <c r="B125" s="3" t="s">
        <v>171</v>
      </c>
      <c r="E125" s="74">
        <v>-500</v>
      </c>
    </row>
    <row r="126" spans="1:5">
      <c r="A126" s="85">
        <v>45466</v>
      </c>
      <c r="B126" s="3" t="s">
        <v>532</v>
      </c>
      <c r="E126" s="74">
        <v>-650</v>
      </c>
    </row>
    <row r="127" spans="1:5">
      <c r="A127" s="85">
        <v>45466</v>
      </c>
      <c r="B127" s="3" t="s">
        <v>533</v>
      </c>
      <c r="E127" s="74">
        <v>-134.33000000000001</v>
      </c>
    </row>
    <row r="128" spans="1:5">
      <c r="A128" s="85">
        <v>45467</v>
      </c>
      <c r="B128" s="3" t="s">
        <v>534</v>
      </c>
      <c r="E128" s="74">
        <v>-28.05</v>
      </c>
    </row>
    <row r="129" spans="1:5">
      <c r="A129" s="85">
        <v>45467</v>
      </c>
      <c r="B129" s="3" t="s">
        <v>535</v>
      </c>
      <c r="E129" s="74">
        <v>-28.05</v>
      </c>
    </row>
    <row r="130" spans="1:5">
      <c r="A130" s="85">
        <v>45467</v>
      </c>
      <c r="B130" s="3" t="s">
        <v>536</v>
      </c>
      <c r="E130" s="74">
        <v>-186.98</v>
      </c>
    </row>
    <row r="131" spans="1:5" ht="15">
      <c r="B131" s="15" t="s">
        <v>410</v>
      </c>
      <c r="C131" s="3">
        <f>SUM(C86:C130)</f>
        <v>3320</v>
      </c>
      <c r="E131" s="101" t="s">
        <v>76</v>
      </c>
    </row>
    <row r="132" spans="1:5">
      <c r="B132" s="3" t="s">
        <v>537</v>
      </c>
    </row>
    <row r="133" spans="1:5">
      <c r="A133" s="109" t="s">
        <v>538</v>
      </c>
      <c r="B133" s="100" t="s">
        <v>128</v>
      </c>
      <c r="C133" s="99">
        <v>2024</v>
      </c>
      <c r="D133" s="147"/>
      <c r="E133" s="148">
        <f>SUM(E134:E154)</f>
        <v>981303.72722800006</v>
      </c>
    </row>
    <row r="134" spans="1:5">
      <c r="A134" s="149">
        <v>45474</v>
      </c>
      <c r="B134" s="8" t="s">
        <v>69</v>
      </c>
      <c r="C134" s="2"/>
      <c r="D134" s="2"/>
      <c r="E134" s="2">
        <v>64000</v>
      </c>
    </row>
    <row r="135" spans="1:5">
      <c r="A135" s="149">
        <f t="shared" ref="A135:A154" si="1">A134</f>
        <v>45474</v>
      </c>
      <c r="B135" s="8" t="s">
        <v>370</v>
      </c>
      <c r="C135" s="2"/>
      <c r="D135" s="2"/>
      <c r="E135" s="2">
        <v>150845</v>
      </c>
    </row>
    <row r="136" spans="1:5">
      <c r="A136" s="149">
        <f t="shared" si="1"/>
        <v>45474</v>
      </c>
      <c r="B136" s="8" t="s">
        <v>292</v>
      </c>
      <c r="C136" s="2"/>
      <c r="D136" s="2"/>
      <c r="E136" s="14">
        <v>12712.47</v>
      </c>
    </row>
    <row r="137" spans="1:5">
      <c r="A137" s="149">
        <f t="shared" si="1"/>
        <v>45474</v>
      </c>
      <c r="B137" s="8" t="s">
        <v>293</v>
      </c>
      <c r="C137" s="2"/>
      <c r="D137" s="2"/>
      <c r="E137" s="14">
        <v>0</v>
      </c>
    </row>
    <row r="138" spans="1:5">
      <c r="A138" s="149">
        <f t="shared" si="1"/>
        <v>45474</v>
      </c>
      <c r="B138" s="8" t="s">
        <v>489</v>
      </c>
      <c r="C138" s="2"/>
      <c r="D138" s="2"/>
      <c r="E138" s="14">
        <v>0</v>
      </c>
    </row>
    <row r="139" spans="1:5">
      <c r="A139" s="149">
        <f t="shared" si="1"/>
        <v>45474</v>
      </c>
      <c r="B139" s="8" t="s">
        <v>294</v>
      </c>
      <c r="C139" s="120"/>
      <c r="D139" s="2"/>
      <c r="E139" s="14">
        <v>0</v>
      </c>
    </row>
    <row r="140" spans="1:5">
      <c r="A140" s="149">
        <f t="shared" si="1"/>
        <v>45474</v>
      </c>
      <c r="B140" s="8" t="s">
        <v>228</v>
      </c>
      <c r="C140" s="2">
        <v>74</v>
      </c>
      <c r="D140" s="163">
        <v>677.53942199999995</v>
      </c>
      <c r="E140" s="14">
        <f t="shared" ref="E140:E152" si="2">D140*C140</f>
        <v>50137.917227999998</v>
      </c>
    </row>
    <row r="141" spans="1:5">
      <c r="A141" s="149">
        <f t="shared" si="1"/>
        <v>45474</v>
      </c>
      <c r="B141" s="8" t="s">
        <v>490</v>
      </c>
      <c r="C141" s="164">
        <v>125000</v>
      </c>
      <c r="D141" s="163">
        <v>0.83506999999999998</v>
      </c>
      <c r="E141" s="14">
        <f t="shared" si="2"/>
        <v>104383.75</v>
      </c>
    </row>
    <row r="142" spans="1:5">
      <c r="A142" s="149">
        <f t="shared" si="1"/>
        <v>45474</v>
      </c>
      <c r="B142" s="8" t="s">
        <v>491</v>
      </c>
      <c r="C142" s="2">
        <v>10</v>
      </c>
      <c r="D142" s="2">
        <v>123.7</v>
      </c>
      <c r="E142" s="14">
        <f t="shared" si="2"/>
        <v>1237</v>
      </c>
    </row>
    <row r="143" spans="1:5">
      <c r="A143" s="149">
        <f t="shared" si="1"/>
        <v>45474</v>
      </c>
      <c r="B143" s="8" t="s">
        <v>492</v>
      </c>
      <c r="C143" s="2">
        <v>38</v>
      </c>
      <c r="D143" s="2">
        <v>22.78</v>
      </c>
      <c r="E143" s="14">
        <f t="shared" si="2"/>
        <v>865.6400000000001</v>
      </c>
    </row>
    <row r="144" spans="1:5">
      <c r="A144" s="149">
        <f t="shared" si="1"/>
        <v>45474</v>
      </c>
      <c r="B144" s="8" t="s">
        <v>493</v>
      </c>
      <c r="C144" s="2">
        <v>26</v>
      </c>
      <c r="D144" s="2">
        <v>27.26</v>
      </c>
      <c r="E144" s="14">
        <f t="shared" si="2"/>
        <v>708.76</v>
      </c>
    </row>
    <row r="145" spans="1:5">
      <c r="A145" s="149">
        <f t="shared" si="1"/>
        <v>45474</v>
      </c>
      <c r="B145" s="8" t="s">
        <v>132</v>
      </c>
      <c r="C145" s="2"/>
      <c r="D145" s="2"/>
      <c r="E145" s="14">
        <f t="shared" si="2"/>
        <v>0</v>
      </c>
    </row>
    <row r="146" spans="1:5">
      <c r="A146" s="149">
        <f t="shared" si="1"/>
        <v>45474</v>
      </c>
      <c r="B146" s="8" t="s">
        <v>372</v>
      </c>
      <c r="C146" s="2">
        <v>7500</v>
      </c>
      <c r="D146" s="2">
        <v>24.5</v>
      </c>
      <c r="E146" s="14">
        <f t="shared" si="2"/>
        <v>183750</v>
      </c>
    </row>
    <row r="147" spans="1:5">
      <c r="A147" s="149">
        <f t="shared" si="1"/>
        <v>45474</v>
      </c>
      <c r="C147" s="2"/>
      <c r="D147" s="2"/>
      <c r="E147" s="14">
        <f t="shared" si="2"/>
        <v>0</v>
      </c>
    </row>
    <row r="148" spans="1:5">
      <c r="A148" s="149">
        <f t="shared" si="1"/>
        <v>45474</v>
      </c>
      <c r="C148" s="2"/>
      <c r="D148" s="2"/>
      <c r="E148" s="14">
        <f t="shared" si="2"/>
        <v>0</v>
      </c>
    </row>
    <row r="149" spans="1:5">
      <c r="A149" s="149">
        <f t="shared" si="1"/>
        <v>45474</v>
      </c>
      <c r="B149" s="8" t="s">
        <v>494</v>
      </c>
      <c r="C149" s="2">
        <v>2375.02</v>
      </c>
      <c r="D149" s="2">
        <v>156</v>
      </c>
      <c r="E149" s="14">
        <f t="shared" si="2"/>
        <v>370503.12</v>
      </c>
    </row>
    <row r="150" spans="1:5">
      <c r="A150" s="149">
        <f t="shared" si="1"/>
        <v>45474</v>
      </c>
      <c r="B150" s="8" t="s">
        <v>495</v>
      </c>
      <c r="C150" s="151">
        <v>31.963699999999999</v>
      </c>
      <c r="D150" s="2">
        <v>850</v>
      </c>
      <c r="E150" s="14">
        <f t="shared" si="2"/>
        <v>27169.145</v>
      </c>
    </row>
    <row r="151" spans="1:5">
      <c r="A151" s="149">
        <f t="shared" si="1"/>
        <v>45474</v>
      </c>
      <c r="B151" s="8" t="s">
        <v>496</v>
      </c>
      <c r="C151" s="151">
        <f>C150</f>
        <v>31.963699999999999</v>
      </c>
      <c r="D151" s="2">
        <v>250</v>
      </c>
      <c r="E151" s="14">
        <f t="shared" si="2"/>
        <v>7990.9250000000002</v>
      </c>
    </row>
    <row r="152" spans="1:5">
      <c r="A152" s="149">
        <f t="shared" si="1"/>
        <v>45474</v>
      </c>
      <c r="B152" s="8" t="s">
        <v>497</v>
      </c>
      <c r="C152" s="151">
        <v>34.412100000000002</v>
      </c>
      <c r="D152" s="2">
        <v>0</v>
      </c>
      <c r="E152" s="14">
        <f t="shared" si="2"/>
        <v>0</v>
      </c>
    </row>
    <row r="153" spans="1:5">
      <c r="A153" s="149">
        <f t="shared" si="1"/>
        <v>45474</v>
      </c>
      <c r="B153" s="8" t="s">
        <v>144</v>
      </c>
      <c r="C153" s="2"/>
      <c r="D153" s="2"/>
      <c r="E153" s="14">
        <v>3000</v>
      </c>
    </row>
    <row r="154" spans="1:5">
      <c r="A154" s="149">
        <f t="shared" si="1"/>
        <v>45474</v>
      </c>
      <c r="B154" s="8" t="s">
        <v>145</v>
      </c>
      <c r="C154" s="2"/>
      <c r="D154" s="2"/>
      <c r="E154" s="14">
        <v>4000</v>
      </c>
    </row>
    <row r="155" spans="1:5">
      <c r="E155" s="165"/>
    </row>
    <row r="156" spans="1:5">
      <c r="C156" s="120"/>
      <c r="D156" s="3"/>
      <c r="E156" s="120"/>
    </row>
    <row r="157" spans="1:5">
      <c r="C157" s="120"/>
      <c r="D157" s="15" t="s">
        <v>147</v>
      </c>
      <c r="E157" s="9">
        <f>SUM(E134:E154)</f>
        <v>981303.72722800006</v>
      </c>
    </row>
    <row r="158" spans="1:5">
      <c r="C158" s="121" t="str">
        <f>A133</f>
        <v>TEMMUZa</v>
      </c>
      <c r="D158" s="122" t="s">
        <v>148</v>
      </c>
      <c r="E158" s="123">
        <f>H2</f>
        <v>-59987.469999999994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2F0D9"/>
  </sheetPr>
  <dimension ref="A1:H139"/>
  <sheetViews>
    <sheetView zoomScale="170" zoomScaleNormal="170" workbookViewId="0">
      <selection activeCell="B31" sqref="B31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4" customWidth="1"/>
    <col min="5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539</v>
      </c>
      <c r="C2" s="76" t="s">
        <v>59</v>
      </c>
      <c r="D2" s="74">
        <f>SUM(D4:D36)</f>
        <v>33500</v>
      </c>
      <c r="E2" s="74">
        <f>SUM(E4:E36)</f>
        <v>-77377.563693000004</v>
      </c>
      <c r="F2" s="74">
        <f>SUM(F4:F36)</f>
        <v>13427.62</v>
      </c>
      <c r="G2" s="74">
        <f>SUM(G4:G36)</f>
        <v>-97778.153693</v>
      </c>
      <c r="H2" s="74">
        <f>F2+G2</f>
        <v>-84350.533693000005</v>
      </c>
    </row>
    <row r="3" spans="1:8">
      <c r="B3" s="15"/>
    </row>
    <row r="4" spans="1:8">
      <c r="A4">
        <v>29.5</v>
      </c>
      <c r="B4" s="38" t="s">
        <v>416</v>
      </c>
      <c r="E4" s="75">
        <v>-152</v>
      </c>
      <c r="F4" s="75"/>
      <c r="G4" s="75">
        <v>-166.9</v>
      </c>
      <c r="H4" s="75">
        <f t="shared" ref="H4:H34" si="0">H3+F4+G4</f>
        <v>-166.9</v>
      </c>
    </row>
    <row r="5" spans="1:8">
      <c r="B5" s="97" t="s">
        <v>540</v>
      </c>
      <c r="C5" s="97" t="s">
        <v>344</v>
      </c>
      <c r="E5" s="75">
        <v>-250</v>
      </c>
      <c r="F5" s="75"/>
      <c r="G5" s="75">
        <f>E5</f>
        <v>-250</v>
      </c>
      <c r="H5" s="75">
        <f t="shared" si="0"/>
        <v>-416.9</v>
      </c>
    </row>
    <row r="6" spans="1:8">
      <c r="A6">
        <v>29.5</v>
      </c>
      <c r="B6" s="97" t="s">
        <v>67</v>
      </c>
      <c r="C6" s="97" t="s">
        <v>315</v>
      </c>
      <c r="E6" s="75">
        <v>-150</v>
      </c>
      <c r="F6" s="75"/>
      <c r="G6" s="75">
        <v>-47.4</v>
      </c>
      <c r="H6" s="75">
        <f t="shared" si="0"/>
        <v>-464.29999999999995</v>
      </c>
    </row>
    <row r="7" spans="1:8">
      <c r="A7" s="154">
        <v>45446</v>
      </c>
      <c r="B7" s="166" t="s">
        <v>61</v>
      </c>
      <c r="D7" s="75"/>
      <c r="E7" s="75">
        <f>E65</f>
        <v>-19997.71</v>
      </c>
      <c r="F7" s="75"/>
      <c r="G7" s="75">
        <f>E7</f>
        <v>-19997.71</v>
      </c>
      <c r="H7" s="75">
        <f t="shared" si="0"/>
        <v>-20462.009999999998</v>
      </c>
    </row>
    <row r="8" spans="1:8">
      <c r="A8" s="154">
        <v>45446</v>
      </c>
      <c r="B8" s="166" t="s">
        <v>541</v>
      </c>
      <c r="D8" s="75"/>
      <c r="E8" s="75"/>
      <c r="F8" s="75"/>
      <c r="G8" s="75">
        <v>-7860.53</v>
      </c>
      <c r="H8" s="75">
        <f t="shared" si="0"/>
        <v>-28322.539999999997</v>
      </c>
    </row>
    <row r="9" spans="1:8">
      <c r="A9" s="154">
        <v>45447</v>
      </c>
      <c r="B9" s="166" t="s">
        <v>542</v>
      </c>
      <c r="D9" s="75"/>
      <c r="E9" s="75"/>
      <c r="F9" s="75"/>
      <c r="G9" s="75">
        <v>-11998.63</v>
      </c>
      <c r="H9" s="75">
        <f t="shared" si="0"/>
        <v>-40321.17</v>
      </c>
    </row>
    <row r="10" spans="1:8">
      <c r="A10" s="85">
        <v>45447</v>
      </c>
      <c r="B10" s="166" t="s">
        <v>60</v>
      </c>
      <c r="D10" s="75"/>
      <c r="E10" s="75">
        <f>E50</f>
        <v>-4300.09</v>
      </c>
      <c r="F10" s="75"/>
      <c r="G10" s="75">
        <v>-4300.09</v>
      </c>
      <c r="H10" s="75">
        <f t="shared" si="0"/>
        <v>-44621.259999999995</v>
      </c>
    </row>
    <row r="11" spans="1:8">
      <c r="A11" s="85">
        <v>45447</v>
      </c>
      <c r="B11" s="166" t="s">
        <v>543</v>
      </c>
      <c r="C11">
        <v>227.87</v>
      </c>
      <c r="D11" s="75"/>
      <c r="E11" s="75">
        <f>-1*C11*C12</f>
        <v>-8090.2736930000001</v>
      </c>
      <c r="F11" s="75"/>
      <c r="G11" s="75">
        <f>E11</f>
        <v>-8090.2736930000001</v>
      </c>
      <c r="H11" s="75">
        <f t="shared" si="0"/>
        <v>-52711.533692999998</v>
      </c>
    </row>
    <row r="12" spans="1:8">
      <c r="A12" s="85">
        <v>45447</v>
      </c>
      <c r="B12" s="166" t="s">
        <v>544</v>
      </c>
      <c r="C12">
        <v>35.503900000000002</v>
      </c>
      <c r="D12" s="75"/>
      <c r="E12" s="75"/>
      <c r="F12" s="75"/>
      <c r="G12" s="75"/>
      <c r="H12" s="75">
        <f t="shared" si="0"/>
        <v>-52711.533692999998</v>
      </c>
    </row>
    <row r="13" spans="1:8">
      <c r="A13" s="85">
        <v>45447</v>
      </c>
      <c r="B13" s="97" t="s">
        <v>545</v>
      </c>
      <c r="C13" s="97"/>
      <c r="D13" s="75"/>
      <c r="E13" s="75">
        <v>-1500</v>
      </c>
      <c r="F13" s="75"/>
      <c r="G13" s="75">
        <v>-1512.13</v>
      </c>
      <c r="H13" s="75">
        <f t="shared" si="0"/>
        <v>-54223.663692999995</v>
      </c>
    </row>
    <row r="14" spans="1:8">
      <c r="A14" s="85">
        <v>45450</v>
      </c>
      <c r="B14" s="8" t="s">
        <v>386</v>
      </c>
      <c r="E14" s="75">
        <v>-10000</v>
      </c>
      <c r="F14" s="75"/>
      <c r="G14" s="75">
        <f>E14</f>
        <v>-10000</v>
      </c>
      <c r="H14" s="75">
        <f t="shared" si="0"/>
        <v>-64223.663692999995</v>
      </c>
    </row>
    <row r="15" spans="1:8">
      <c r="A15" s="85">
        <v>45450</v>
      </c>
      <c r="B15" s="97" t="s">
        <v>546</v>
      </c>
      <c r="C15" s="97"/>
      <c r="E15" s="75">
        <v>-7500</v>
      </c>
      <c r="F15" s="75"/>
      <c r="G15" s="75">
        <f>E15</f>
        <v>-7500</v>
      </c>
      <c r="H15" s="75">
        <f t="shared" si="0"/>
        <v>-71723.663692999995</v>
      </c>
    </row>
    <row r="16" spans="1:8">
      <c r="A16" s="85">
        <v>45450</v>
      </c>
      <c r="B16" s="97" t="s">
        <v>547</v>
      </c>
      <c r="C16" s="97"/>
      <c r="E16" s="75">
        <v>-10000</v>
      </c>
      <c r="F16" s="75"/>
      <c r="G16" s="75">
        <f>E16</f>
        <v>-10000</v>
      </c>
      <c r="H16" s="75">
        <f t="shared" si="0"/>
        <v>-81723.663692999995</v>
      </c>
    </row>
    <row r="17" spans="1:8">
      <c r="A17" s="85"/>
      <c r="B17" s="97" t="s">
        <v>548</v>
      </c>
      <c r="C17" s="97"/>
      <c r="G17" s="75">
        <v>-700</v>
      </c>
      <c r="H17" s="75">
        <f t="shared" si="0"/>
        <v>-82423.663692999995</v>
      </c>
    </row>
    <row r="18" spans="1:8">
      <c r="A18" s="85"/>
      <c r="B18" s="97"/>
      <c r="C18" s="97"/>
      <c r="H18" s="75">
        <f t="shared" si="0"/>
        <v>-82423.663692999995</v>
      </c>
    </row>
    <row r="19" spans="1:8">
      <c r="A19" s="85">
        <v>45454</v>
      </c>
      <c r="B19" s="97" t="s">
        <v>549</v>
      </c>
      <c r="C19" s="97"/>
      <c r="D19" s="75"/>
      <c r="E19" s="75"/>
      <c r="F19" s="75">
        <v>3000</v>
      </c>
      <c r="G19" s="75"/>
      <c r="H19" s="75">
        <f t="shared" si="0"/>
        <v>-79423.663692999995</v>
      </c>
    </row>
    <row r="20" spans="1:8" ht="12" customHeight="1">
      <c r="A20" s="85">
        <v>45454</v>
      </c>
      <c r="B20" s="166" t="s">
        <v>64</v>
      </c>
      <c r="D20" s="75"/>
      <c r="E20" s="75">
        <f>E47*-1</f>
        <v>-37.49</v>
      </c>
      <c r="F20" s="75"/>
      <c r="G20" s="75">
        <v>-37.49</v>
      </c>
      <c r="H20" s="75">
        <f t="shared" si="0"/>
        <v>-79461.153693</v>
      </c>
    </row>
    <row r="21" spans="1:8">
      <c r="A21" s="85">
        <v>45463</v>
      </c>
      <c r="B21" s="102" t="s">
        <v>65</v>
      </c>
      <c r="C21" s="102" t="s">
        <v>315</v>
      </c>
      <c r="D21" s="75"/>
      <c r="E21" s="75">
        <v>-300</v>
      </c>
      <c r="F21" s="75"/>
      <c r="G21" s="75">
        <v>-305</v>
      </c>
      <c r="H21" s="75">
        <f t="shared" si="0"/>
        <v>-79766.153693</v>
      </c>
    </row>
    <row r="22" spans="1:8">
      <c r="A22" s="85">
        <v>45463</v>
      </c>
      <c r="B22" s="102" t="s">
        <v>66</v>
      </c>
      <c r="C22" s="102" t="s">
        <v>315</v>
      </c>
      <c r="D22" s="75"/>
      <c r="E22" s="75">
        <v>-100</v>
      </c>
      <c r="F22" s="75"/>
      <c r="G22" s="75">
        <v>0</v>
      </c>
      <c r="H22" s="75">
        <f t="shared" si="0"/>
        <v>-79766.153693</v>
      </c>
    </row>
    <row r="23" spans="1:8">
      <c r="H23" s="75">
        <f t="shared" si="0"/>
        <v>-79766.153693</v>
      </c>
    </row>
    <row r="24" spans="1:8">
      <c r="A24" s="85"/>
      <c r="B24" s="97"/>
      <c r="C24" s="97"/>
      <c r="H24" s="75">
        <f t="shared" si="0"/>
        <v>-79766.153693</v>
      </c>
    </row>
    <row r="25" spans="1:8">
      <c r="A25" s="85"/>
      <c r="B25" s="97"/>
      <c r="C25" s="97"/>
      <c r="H25" s="75">
        <f t="shared" si="0"/>
        <v>-79766.153693</v>
      </c>
    </row>
    <row r="26" spans="1:8">
      <c r="H26" s="75">
        <f t="shared" si="0"/>
        <v>-79766.153693</v>
      </c>
    </row>
    <row r="27" spans="1:8">
      <c r="A27" s="85">
        <v>45476</v>
      </c>
      <c r="B27" s="8" t="s">
        <v>69</v>
      </c>
      <c r="D27" s="75"/>
      <c r="E27" s="75">
        <v>-5000</v>
      </c>
      <c r="F27" s="75"/>
      <c r="G27" s="75">
        <v>-5006</v>
      </c>
      <c r="H27" s="75">
        <f t="shared" si="0"/>
        <v>-84772.153693</v>
      </c>
    </row>
    <row r="28" spans="1:8">
      <c r="A28" s="85">
        <v>45476</v>
      </c>
      <c r="B28" s="8" t="s">
        <v>70</v>
      </c>
      <c r="D28" s="75"/>
      <c r="E28" s="75">
        <v>-5000</v>
      </c>
      <c r="F28" s="75"/>
      <c r="G28" s="75">
        <v>-5006</v>
      </c>
      <c r="H28" s="75">
        <f t="shared" si="0"/>
        <v>-89778.153693</v>
      </c>
    </row>
    <row r="29" spans="1:8">
      <c r="B29" t="s">
        <v>71</v>
      </c>
      <c r="D29" s="75"/>
      <c r="E29" s="75">
        <v>-5000</v>
      </c>
      <c r="F29" s="75"/>
      <c r="G29" s="75">
        <v>-5000</v>
      </c>
      <c r="H29" s="75">
        <f t="shared" si="0"/>
        <v>-94778.153693</v>
      </c>
    </row>
    <row r="30" spans="1:8">
      <c r="D30" s="75"/>
      <c r="E30" s="75"/>
      <c r="F30" s="75"/>
      <c r="G30" s="75"/>
      <c r="H30" s="75">
        <f t="shared" si="0"/>
        <v>-94778.153693</v>
      </c>
    </row>
    <row r="31" spans="1:8">
      <c r="B31" t="s">
        <v>68</v>
      </c>
      <c r="D31" s="75">
        <v>10000</v>
      </c>
      <c r="E31" s="75"/>
      <c r="F31" s="75">
        <v>10427.620000000001</v>
      </c>
      <c r="G31" s="75"/>
      <c r="H31" s="75">
        <f t="shared" si="0"/>
        <v>-84350.533693000005</v>
      </c>
    </row>
    <row r="32" spans="1:8">
      <c r="A32" s="96"/>
      <c r="B32" s="159" t="s">
        <v>500</v>
      </c>
      <c r="C32" s="159"/>
      <c r="D32" s="156">
        <v>15000</v>
      </c>
      <c r="E32" s="75"/>
      <c r="F32" s="75"/>
      <c r="G32" s="75"/>
      <c r="H32" s="75">
        <f t="shared" si="0"/>
        <v>-84350.533693000005</v>
      </c>
    </row>
    <row r="33" spans="1:8">
      <c r="A33" s="85">
        <v>45351</v>
      </c>
      <c r="B33" s="159" t="s">
        <v>427</v>
      </c>
      <c r="C33" s="159"/>
      <c r="D33" s="172">
        <v>8500</v>
      </c>
      <c r="E33" s="75"/>
      <c r="F33" s="75"/>
      <c r="G33" s="75"/>
      <c r="H33" s="75">
        <f t="shared" si="0"/>
        <v>-84350.533693000005</v>
      </c>
    </row>
    <row r="34" spans="1:8">
      <c r="D34" s="75"/>
      <c r="E34" s="75"/>
      <c r="F34" s="75"/>
      <c r="G34" s="75"/>
      <c r="H34" s="75">
        <f t="shared" si="0"/>
        <v>-84350.533693000005</v>
      </c>
    </row>
    <row r="36" spans="1:8" ht="15.75">
      <c r="B36" s="168"/>
    </row>
    <row r="38" spans="1:8">
      <c r="B38" t="s">
        <v>317</v>
      </c>
    </row>
    <row r="39" spans="1:8">
      <c r="A39" s="99" t="s">
        <v>318</v>
      </c>
      <c r="B39" s="99"/>
      <c r="C39" s="99"/>
    </row>
    <row r="40" spans="1:8">
      <c r="A40" s="96"/>
      <c r="C40" s="160"/>
    </row>
    <row r="41" spans="1:8">
      <c r="A41" s="161">
        <v>44929</v>
      </c>
      <c r="B41" s="162" t="s">
        <v>319</v>
      </c>
      <c r="C41" s="99"/>
      <c r="D41" s="74">
        <f>SUM(D42:D47)</f>
        <v>5394.16</v>
      </c>
      <c r="E41" s="74">
        <f>SUM(E42:E47)</f>
        <v>4605.33</v>
      </c>
    </row>
    <row r="42" spans="1:8">
      <c r="A42" s="96"/>
      <c r="B42" s="102" t="s">
        <v>320</v>
      </c>
      <c r="D42" s="74">
        <v>468.65</v>
      </c>
    </row>
    <row r="43" spans="1:8">
      <c r="B43" t="s">
        <v>321</v>
      </c>
      <c r="D43" s="74">
        <v>1257.73</v>
      </c>
      <c r="E43" s="74">
        <v>1260</v>
      </c>
    </row>
    <row r="44" spans="1:8">
      <c r="B44" t="s">
        <v>550</v>
      </c>
      <c r="C44" t="s">
        <v>551</v>
      </c>
      <c r="D44" s="74">
        <v>919.84</v>
      </c>
      <c r="E44" s="74">
        <v>919.84</v>
      </c>
    </row>
    <row r="45" spans="1:8">
      <c r="B45" t="s">
        <v>323</v>
      </c>
      <c r="D45" s="74">
        <v>2358.0300000000002</v>
      </c>
      <c r="E45" s="74">
        <v>2358</v>
      </c>
    </row>
    <row r="46" spans="1:8">
      <c r="B46" t="s">
        <v>324</v>
      </c>
      <c r="D46" s="74">
        <v>352.42</v>
      </c>
      <c r="E46" s="74">
        <v>30</v>
      </c>
    </row>
    <row r="47" spans="1:8">
      <c r="B47" t="s">
        <v>325</v>
      </c>
      <c r="C47" s="102"/>
      <c r="D47" s="74">
        <v>37.49</v>
      </c>
      <c r="E47" s="74">
        <v>37.49</v>
      </c>
    </row>
    <row r="48" spans="1:8">
      <c r="B48">
        <v>-4625</v>
      </c>
      <c r="C48" s="102"/>
    </row>
    <row r="49" spans="1:6">
      <c r="B49" s="98"/>
    </row>
    <row r="50" spans="1:6">
      <c r="A50" s="99"/>
      <c r="B50" s="100" t="s">
        <v>75</v>
      </c>
      <c r="C50" s="99"/>
      <c r="E50" s="74">
        <f>SUM(E51:E62)</f>
        <v>-4300.09</v>
      </c>
    </row>
    <row r="52" spans="1:6">
      <c r="A52" s="96"/>
      <c r="B52" s="102"/>
      <c r="C52" s="102"/>
    </row>
    <row r="53" spans="1:6">
      <c r="A53" s="96">
        <v>45187</v>
      </c>
      <c r="B53" s="102" t="s">
        <v>552</v>
      </c>
      <c r="C53" s="102">
        <v>7648.33</v>
      </c>
      <c r="D53" s="74" t="s">
        <v>553</v>
      </c>
      <c r="E53" s="74">
        <v>-849.85</v>
      </c>
      <c r="F53" s="74">
        <v>0</v>
      </c>
    </row>
    <row r="54" spans="1:6">
      <c r="A54" s="85">
        <v>45348</v>
      </c>
      <c r="B54" s="8" t="s">
        <v>430</v>
      </c>
      <c r="C54">
        <v>1406</v>
      </c>
      <c r="D54" s="74" t="s">
        <v>554</v>
      </c>
      <c r="E54" s="74">
        <v>-234.33</v>
      </c>
      <c r="F54" s="74">
        <v>0</v>
      </c>
    </row>
    <row r="55" spans="1:6">
      <c r="A55" s="85">
        <v>45373</v>
      </c>
      <c r="B55" s="8" t="s">
        <v>326</v>
      </c>
      <c r="C55">
        <v>10176.39</v>
      </c>
      <c r="D55" s="74" t="s">
        <v>555</v>
      </c>
      <c r="E55" s="74">
        <v>-1130.71</v>
      </c>
      <c r="F55" s="74">
        <v>0</v>
      </c>
    </row>
    <row r="56" spans="1:6">
      <c r="A56" s="85">
        <v>45375</v>
      </c>
      <c r="B56" s="8" t="s">
        <v>328</v>
      </c>
      <c r="C56">
        <v>5999</v>
      </c>
      <c r="D56" s="74" t="s">
        <v>555</v>
      </c>
      <c r="E56" s="74">
        <v>-666.56</v>
      </c>
      <c r="F56" s="74">
        <v>0</v>
      </c>
    </row>
    <row r="57" spans="1:6">
      <c r="A57" s="85">
        <v>45358</v>
      </c>
      <c r="B57" s="8" t="s">
        <v>433</v>
      </c>
      <c r="C57">
        <v>2273</v>
      </c>
      <c r="D57" s="74" t="s">
        <v>554</v>
      </c>
      <c r="E57" s="74">
        <v>-378.87</v>
      </c>
      <c r="F57" s="74">
        <v>0</v>
      </c>
    </row>
    <row r="58" spans="1:6">
      <c r="A58" s="85">
        <v>45371</v>
      </c>
      <c r="B58" s="8" t="s">
        <v>434</v>
      </c>
      <c r="D58" s="74" t="s">
        <v>554</v>
      </c>
      <c r="E58" s="74">
        <v>101.77</v>
      </c>
    </row>
    <row r="59" spans="1:6">
      <c r="A59" s="85"/>
    </row>
    <row r="60" spans="1:6">
      <c r="A60" s="96">
        <v>45418</v>
      </c>
      <c r="B60" s="103" t="s">
        <v>556</v>
      </c>
      <c r="C60" s="102"/>
      <c r="E60" s="74">
        <v>-251.54</v>
      </c>
      <c r="F60" s="74">
        <v>0</v>
      </c>
    </row>
    <row r="61" spans="1:6">
      <c r="A61" s="96">
        <v>45418</v>
      </c>
      <c r="B61" s="103" t="s">
        <v>557</v>
      </c>
      <c r="E61" s="74">
        <v>-890</v>
      </c>
      <c r="F61" s="74">
        <v>0</v>
      </c>
    </row>
    <row r="62" spans="1:6" ht="15">
      <c r="A62" s="96">
        <v>45418</v>
      </c>
      <c r="B62" s="103" t="s">
        <v>121</v>
      </c>
      <c r="C62" s="102">
        <v>4278.51</v>
      </c>
      <c r="D62" s="171"/>
      <c r="E62" s="101" t="s">
        <v>76</v>
      </c>
    </row>
    <row r="63" spans="1:6">
      <c r="A63" s="96"/>
      <c r="B63" s="3"/>
    </row>
    <row r="64" spans="1:6">
      <c r="A64" s="96"/>
      <c r="B64" s="102"/>
      <c r="C64" s="102"/>
    </row>
    <row r="65" spans="1:6">
      <c r="A65" s="99"/>
      <c r="B65" s="100" t="s">
        <v>77</v>
      </c>
      <c r="C65" s="99"/>
      <c r="D65" s="74">
        <v>19997.71</v>
      </c>
      <c r="E65" s="74">
        <f>SUM(E66:E114)</f>
        <v>-19997.71</v>
      </c>
      <c r="F65" s="74">
        <f>D65+E65</f>
        <v>0</v>
      </c>
    </row>
    <row r="66" spans="1:6">
      <c r="A66" s="96"/>
      <c r="B66" s="102"/>
      <c r="C66" s="102"/>
    </row>
    <row r="67" spans="1:6">
      <c r="A67" s="154">
        <v>45285</v>
      </c>
      <c r="B67" s="102" t="s">
        <v>512</v>
      </c>
      <c r="C67" s="102"/>
      <c r="D67" s="74" t="s">
        <v>558</v>
      </c>
      <c r="E67" s="74">
        <v>-3551.66</v>
      </c>
    </row>
    <row r="68" spans="1:6">
      <c r="A68" s="96"/>
      <c r="B68" s="3" t="s">
        <v>468</v>
      </c>
      <c r="C68" s="102"/>
      <c r="D68" s="74" t="s">
        <v>559</v>
      </c>
      <c r="E68" s="74">
        <v>-649.78</v>
      </c>
    </row>
    <row r="69" spans="1:6">
      <c r="A69" s="96"/>
      <c r="B69" s="3" t="s">
        <v>470</v>
      </c>
      <c r="C69" s="102">
        <v>49.98</v>
      </c>
      <c r="D69" s="74" t="s">
        <v>559</v>
      </c>
    </row>
    <row r="70" spans="1:6">
      <c r="A70" s="96"/>
      <c r="B70" s="3"/>
      <c r="C70" s="102"/>
    </row>
    <row r="71" spans="1:6">
      <c r="A71" s="96">
        <v>45408</v>
      </c>
      <c r="B71" s="3" t="s">
        <v>560</v>
      </c>
      <c r="C71" s="102"/>
      <c r="E71" s="74">
        <v>-1407.23</v>
      </c>
    </row>
    <row r="72" spans="1:6">
      <c r="A72" s="96">
        <v>45420</v>
      </c>
      <c r="B72" s="3" t="s">
        <v>525</v>
      </c>
      <c r="C72" s="102">
        <v>300</v>
      </c>
    </row>
    <row r="73" spans="1:6">
      <c r="A73" s="96">
        <v>45426</v>
      </c>
      <c r="B73" s="3" t="s">
        <v>561</v>
      </c>
      <c r="C73" s="102"/>
      <c r="E73" s="74">
        <v>-1469</v>
      </c>
    </row>
    <row r="74" spans="1:6">
      <c r="A74" s="96">
        <v>45426</v>
      </c>
      <c r="B74" s="3" t="s">
        <v>562</v>
      </c>
      <c r="C74" s="102"/>
      <c r="E74" s="74">
        <v>-1453</v>
      </c>
    </row>
    <row r="75" spans="1:6">
      <c r="A75" s="96">
        <v>45427</v>
      </c>
      <c r="B75" s="3" t="s">
        <v>563</v>
      </c>
      <c r="C75" s="102"/>
      <c r="E75" s="74">
        <v>905.5</v>
      </c>
    </row>
    <row r="76" spans="1:6">
      <c r="A76" s="96"/>
      <c r="C76" s="102"/>
    </row>
    <row r="77" spans="1:6">
      <c r="A77" s="96">
        <v>45407</v>
      </c>
      <c r="B77" s="3" t="s">
        <v>564</v>
      </c>
      <c r="C77" s="102"/>
      <c r="E77" s="74">
        <v>-800</v>
      </c>
      <c r="F77" s="74">
        <v>0</v>
      </c>
    </row>
    <row r="78" spans="1:6">
      <c r="A78" s="96">
        <v>45408</v>
      </c>
      <c r="B78" s="3" t="s">
        <v>565</v>
      </c>
      <c r="C78" s="102"/>
      <c r="E78" s="74">
        <v>-550</v>
      </c>
      <c r="F78" s="74">
        <v>0</v>
      </c>
    </row>
    <row r="79" spans="1:6">
      <c r="A79" s="96">
        <v>45411</v>
      </c>
      <c r="B79" s="3" t="s">
        <v>566</v>
      </c>
      <c r="C79" s="102"/>
      <c r="E79" s="74">
        <v>-70</v>
      </c>
      <c r="F79" s="74">
        <v>0</v>
      </c>
    </row>
    <row r="80" spans="1:6">
      <c r="A80" s="96">
        <v>45412</v>
      </c>
      <c r="B80" s="3" t="s">
        <v>567</v>
      </c>
      <c r="C80" s="102" t="s">
        <v>568</v>
      </c>
      <c r="D80" s="74">
        <f>E80</f>
        <v>-250</v>
      </c>
      <c r="E80" s="74">
        <v>-250</v>
      </c>
      <c r="F80" s="74">
        <v>0</v>
      </c>
    </row>
    <row r="81" spans="1:6">
      <c r="A81" s="96">
        <v>45412</v>
      </c>
      <c r="B81" s="3" t="s">
        <v>569</v>
      </c>
      <c r="C81" s="102"/>
      <c r="E81" s="74">
        <v>-1508</v>
      </c>
      <c r="F81" s="74">
        <v>0</v>
      </c>
    </row>
    <row r="82" spans="1:6">
      <c r="A82" s="96">
        <v>45412</v>
      </c>
      <c r="B82" s="3" t="s">
        <v>570</v>
      </c>
      <c r="C82" s="102"/>
      <c r="E82" s="74">
        <v>-70</v>
      </c>
      <c r="F82" s="74">
        <v>0</v>
      </c>
    </row>
    <row r="83" spans="1:6">
      <c r="A83" s="96">
        <v>45413</v>
      </c>
      <c r="B83" s="3" t="s">
        <v>571</v>
      </c>
      <c r="C83" s="102"/>
      <c r="E83" s="74">
        <v>-516</v>
      </c>
      <c r="F83" s="74">
        <v>0</v>
      </c>
    </row>
    <row r="84" spans="1:6">
      <c r="A84" s="96">
        <v>45413</v>
      </c>
      <c r="B84" s="3" t="s">
        <v>572</v>
      </c>
      <c r="C84" s="102"/>
      <c r="E84" s="74">
        <v>-150</v>
      </c>
      <c r="F84" s="74">
        <v>0</v>
      </c>
    </row>
    <row r="85" spans="1:6">
      <c r="A85" s="96">
        <v>45413</v>
      </c>
      <c r="B85" s="3" t="s">
        <v>572</v>
      </c>
      <c r="C85" s="102"/>
      <c r="E85" s="74">
        <v>-150</v>
      </c>
      <c r="F85" s="74">
        <v>0</v>
      </c>
    </row>
    <row r="86" spans="1:6">
      <c r="A86" s="96">
        <v>45413</v>
      </c>
      <c r="B86" s="3" t="s">
        <v>516</v>
      </c>
      <c r="C86" s="102"/>
      <c r="E86" s="74">
        <v>-530</v>
      </c>
      <c r="F86" s="74">
        <v>0</v>
      </c>
    </row>
    <row r="87" spans="1:6">
      <c r="A87" s="96">
        <v>45418</v>
      </c>
      <c r="B87" s="3" t="s">
        <v>121</v>
      </c>
      <c r="C87" s="102">
        <v>23491.02</v>
      </c>
    </row>
    <row r="88" spans="1:6">
      <c r="A88" s="96">
        <v>45420</v>
      </c>
      <c r="B88" s="3" t="s">
        <v>401</v>
      </c>
      <c r="C88" s="102"/>
      <c r="E88" s="74">
        <v>-518.4</v>
      </c>
      <c r="F88" s="74">
        <v>0</v>
      </c>
    </row>
    <row r="89" spans="1:6">
      <c r="A89" s="96">
        <v>45422</v>
      </c>
      <c r="B89" s="3" t="s">
        <v>573</v>
      </c>
      <c r="C89" s="102"/>
      <c r="E89" s="74">
        <v>-80</v>
      </c>
      <c r="F89" s="74">
        <v>0</v>
      </c>
    </row>
    <row r="90" spans="1:6">
      <c r="A90" s="96">
        <v>45424</v>
      </c>
      <c r="B90" s="3" t="s">
        <v>401</v>
      </c>
      <c r="C90" s="102"/>
      <c r="E90" s="74">
        <v>-173.82</v>
      </c>
      <c r="F90" s="74">
        <v>0</v>
      </c>
    </row>
    <row r="91" spans="1:6">
      <c r="A91" s="96">
        <v>45425</v>
      </c>
      <c r="B91" s="3" t="s">
        <v>567</v>
      </c>
      <c r="C91" s="102" t="s">
        <v>568</v>
      </c>
      <c r="D91" s="74">
        <f>E91</f>
        <v>-200</v>
      </c>
      <c r="E91" s="74">
        <v>-200</v>
      </c>
      <c r="F91" s="74">
        <v>0</v>
      </c>
    </row>
    <row r="92" spans="1:6">
      <c r="A92" s="96">
        <v>45426</v>
      </c>
      <c r="B92" s="3" t="s">
        <v>567</v>
      </c>
      <c r="C92" s="102" t="s">
        <v>568</v>
      </c>
      <c r="D92" s="74">
        <f>E92</f>
        <v>-300</v>
      </c>
      <c r="E92" s="74">
        <v>-300</v>
      </c>
      <c r="F92" s="74">
        <v>0</v>
      </c>
    </row>
    <row r="93" spans="1:6">
      <c r="A93" s="96">
        <v>45426</v>
      </c>
      <c r="B93" s="3" t="s">
        <v>574</v>
      </c>
      <c r="C93" s="102"/>
      <c r="E93" s="74">
        <v>-600</v>
      </c>
      <c r="F93" s="74">
        <v>0</v>
      </c>
    </row>
    <row r="94" spans="1:6">
      <c r="A94" s="96">
        <v>45427</v>
      </c>
      <c r="B94" s="3" t="s">
        <v>575</v>
      </c>
      <c r="C94" s="102">
        <v>95.08</v>
      </c>
      <c r="F94" s="74">
        <v>0</v>
      </c>
    </row>
    <row r="95" spans="1:6">
      <c r="A95" s="85">
        <v>45427</v>
      </c>
      <c r="B95" s="3" t="s">
        <v>576</v>
      </c>
      <c r="E95" s="74">
        <v>-1123.1500000000001</v>
      </c>
      <c r="F95" s="74">
        <v>0</v>
      </c>
    </row>
    <row r="96" spans="1:6">
      <c r="A96" s="85">
        <v>45427</v>
      </c>
      <c r="B96" s="3" t="s">
        <v>577</v>
      </c>
      <c r="C96">
        <v>1.26</v>
      </c>
      <c r="F96" s="74">
        <v>0</v>
      </c>
    </row>
    <row r="97" spans="1:6">
      <c r="A97" s="85">
        <v>45427</v>
      </c>
      <c r="B97" s="3" t="s">
        <v>578</v>
      </c>
      <c r="E97" s="74">
        <v>-16</v>
      </c>
      <c r="F97" s="74">
        <v>0</v>
      </c>
    </row>
    <row r="98" spans="1:6">
      <c r="A98" s="85">
        <v>45427</v>
      </c>
      <c r="B98" s="3" t="s">
        <v>579</v>
      </c>
      <c r="E98" s="74">
        <v>-375</v>
      </c>
      <c r="F98" s="74">
        <v>0</v>
      </c>
    </row>
    <row r="99" spans="1:6">
      <c r="A99" s="85">
        <v>45427</v>
      </c>
      <c r="B99" s="3" t="s">
        <v>578</v>
      </c>
      <c r="E99" s="74">
        <v>-11.5</v>
      </c>
      <c r="F99" s="74">
        <v>0</v>
      </c>
    </row>
    <row r="100" spans="1:6">
      <c r="A100" s="85">
        <v>45428</v>
      </c>
      <c r="B100" s="3" t="s">
        <v>580</v>
      </c>
      <c r="E100" s="74">
        <v>-500</v>
      </c>
      <c r="F100" s="74">
        <v>0</v>
      </c>
    </row>
    <row r="101" spans="1:6">
      <c r="A101" s="85">
        <v>45428</v>
      </c>
      <c r="B101" s="3" t="s">
        <v>581</v>
      </c>
      <c r="E101" s="74">
        <v>-594.67999999999995</v>
      </c>
      <c r="F101" s="74">
        <v>0</v>
      </c>
    </row>
    <row r="102" spans="1:6">
      <c r="A102" s="85">
        <v>45430</v>
      </c>
      <c r="B102" s="3" t="s">
        <v>581</v>
      </c>
      <c r="E102" s="74">
        <v>-169.99</v>
      </c>
      <c r="F102" s="74">
        <v>0</v>
      </c>
    </row>
    <row r="103" spans="1:6">
      <c r="A103" s="85">
        <v>45430</v>
      </c>
      <c r="B103" s="3" t="s">
        <v>582</v>
      </c>
      <c r="E103" s="74">
        <v>-330</v>
      </c>
      <c r="F103" s="74">
        <v>0</v>
      </c>
    </row>
    <row r="104" spans="1:6">
      <c r="A104" s="85">
        <v>45430</v>
      </c>
      <c r="B104" s="3" t="s">
        <v>581</v>
      </c>
      <c r="E104" s="74">
        <v>-139.9</v>
      </c>
      <c r="F104" s="74">
        <v>0</v>
      </c>
    </row>
    <row r="105" spans="1:6">
      <c r="A105" s="85">
        <v>45430</v>
      </c>
      <c r="B105" s="3" t="s">
        <v>580</v>
      </c>
      <c r="E105" s="74">
        <v>-500</v>
      </c>
      <c r="F105" s="74">
        <v>0</v>
      </c>
    </row>
    <row r="106" spans="1:6">
      <c r="A106" s="85">
        <v>45431</v>
      </c>
      <c r="B106" s="3" t="s">
        <v>583</v>
      </c>
      <c r="E106" s="74">
        <v>-266</v>
      </c>
      <c r="F106" s="74">
        <v>0</v>
      </c>
    </row>
    <row r="107" spans="1:6">
      <c r="A107" s="85">
        <v>45432</v>
      </c>
      <c r="B107" s="3" t="s">
        <v>583</v>
      </c>
      <c r="E107" s="74">
        <v>-22.1</v>
      </c>
      <c r="F107" s="74">
        <v>0</v>
      </c>
    </row>
    <row r="108" spans="1:6">
      <c r="A108" s="85">
        <v>45432</v>
      </c>
      <c r="B108" s="3" t="s">
        <v>578</v>
      </c>
      <c r="E108" s="74">
        <v>-11.5</v>
      </c>
      <c r="F108" s="74">
        <v>0</v>
      </c>
    </row>
    <row r="109" spans="1:6">
      <c r="A109" s="85">
        <v>45432</v>
      </c>
      <c r="B109" s="3" t="s">
        <v>579</v>
      </c>
      <c r="E109" s="74">
        <v>-335</v>
      </c>
      <c r="F109" s="74">
        <v>0</v>
      </c>
    </row>
    <row r="110" spans="1:6">
      <c r="A110" s="85">
        <v>45432</v>
      </c>
      <c r="B110" s="3" t="s">
        <v>578</v>
      </c>
      <c r="E110" s="74">
        <v>-11.5</v>
      </c>
      <c r="F110" s="74">
        <v>0</v>
      </c>
    </row>
    <row r="111" spans="1:6">
      <c r="A111" s="85">
        <v>45432</v>
      </c>
      <c r="B111" s="3" t="s">
        <v>584</v>
      </c>
      <c r="E111" s="74">
        <v>-650</v>
      </c>
      <c r="F111" s="74">
        <v>0</v>
      </c>
    </row>
    <row r="112" spans="1:6">
      <c r="A112" s="85">
        <v>45435</v>
      </c>
      <c r="B112" s="3" t="s">
        <v>567</v>
      </c>
      <c r="C112" s="8" t="s">
        <v>568</v>
      </c>
      <c r="D112" s="74">
        <f>E112</f>
        <v>-300</v>
      </c>
      <c r="E112" s="74">
        <v>-300</v>
      </c>
      <c r="F112" s="74">
        <v>0</v>
      </c>
    </row>
    <row r="113" spans="1:6">
      <c r="A113" s="85">
        <v>45435</v>
      </c>
      <c r="B113" s="3" t="s">
        <v>585</v>
      </c>
      <c r="E113" s="74">
        <v>-550</v>
      </c>
      <c r="F113" s="74">
        <v>0</v>
      </c>
    </row>
    <row r="114" spans="1:6" ht="15">
      <c r="A114" s="85"/>
      <c r="B114" s="3"/>
      <c r="C114" s="173" t="s">
        <v>410</v>
      </c>
      <c r="D114" s="174">
        <f>SUM(D79:D113)</f>
        <v>-1050</v>
      </c>
      <c r="E114" s="101" t="s">
        <v>76</v>
      </c>
    </row>
    <row r="115" spans="1:6">
      <c r="A115" s="85"/>
      <c r="B115" s="3"/>
    </row>
    <row r="116" spans="1:6">
      <c r="A116" s="85"/>
      <c r="B116" s="3"/>
    </row>
    <row r="117" spans="1:6">
      <c r="A117" s="85"/>
      <c r="B117" s="3"/>
    </row>
    <row r="118" spans="1:6">
      <c r="A118" s="109" t="s">
        <v>586</v>
      </c>
      <c r="B118" s="100" t="s">
        <v>128</v>
      </c>
      <c r="C118" s="99">
        <v>2024</v>
      </c>
      <c r="D118" s="147"/>
      <c r="E118" s="148">
        <f>SUM(E119:E135)</f>
        <v>794302.15999999992</v>
      </c>
    </row>
    <row r="119" spans="1:6">
      <c r="A119" s="149">
        <v>45413</v>
      </c>
      <c r="B119" s="8" t="s">
        <v>69</v>
      </c>
      <c r="C119" s="2"/>
      <c r="D119" s="2"/>
      <c r="E119" s="2">
        <v>64000</v>
      </c>
    </row>
    <row r="120" spans="1:6">
      <c r="A120" s="149">
        <f t="shared" ref="A120:A127" si="1">A119</f>
        <v>45413</v>
      </c>
      <c r="B120" s="8" t="s">
        <v>370</v>
      </c>
      <c r="C120" s="2"/>
      <c r="D120" s="2"/>
      <c r="E120" s="2">
        <v>150845</v>
      </c>
    </row>
    <row r="121" spans="1:6">
      <c r="A121" s="149">
        <f t="shared" si="1"/>
        <v>45413</v>
      </c>
      <c r="B121" s="8" t="s">
        <v>292</v>
      </c>
      <c r="C121" s="2"/>
      <c r="D121" s="2"/>
      <c r="E121" s="14">
        <v>4148.6099999999997</v>
      </c>
    </row>
    <row r="122" spans="1:6">
      <c r="A122" s="149">
        <f t="shared" si="1"/>
        <v>45413</v>
      </c>
      <c r="B122" s="8" t="s">
        <v>293</v>
      </c>
      <c r="C122" s="2"/>
      <c r="D122" s="2"/>
      <c r="E122" s="14">
        <v>0</v>
      </c>
    </row>
    <row r="123" spans="1:6">
      <c r="A123" s="149">
        <f t="shared" si="1"/>
        <v>45413</v>
      </c>
      <c r="B123" s="8" t="s">
        <v>489</v>
      </c>
      <c r="C123" s="2"/>
      <c r="D123" s="2"/>
      <c r="E123" s="14">
        <v>0</v>
      </c>
    </row>
    <row r="124" spans="1:6">
      <c r="A124" s="149">
        <f t="shared" si="1"/>
        <v>45413</v>
      </c>
      <c r="B124" s="8" t="s">
        <v>294</v>
      </c>
      <c r="C124" s="120"/>
      <c r="D124" s="2"/>
      <c r="E124" s="14">
        <v>0</v>
      </c>
    </row>
    <row r="125" spans="1:6">
      <c r="A125" s="149">
        <f t="shared" si="1"/>
        <v>45413</v>
      </c>
      <c r="B125" s="8" t="s">
        <v>228</v>
      </c>
      <c r="C125" s="2"/>
      <c r="D125" s="2"/>
      <c r="E125" s="14">
        <v>0</v>
      </c>
    </row>
    <row r="126" spans="1:6">
      <c r="A126" s="149">
        <f t="shared" si="1"/>
        <v>45413</v>
      </c>
      <c r="B126" s="8" t="s">
        <v>490</v>
      </c>
      <c r="C126" s="164">
        <v>125000</v>
      </c>
      <c r="D126" s="2">
        <v>0.88097599999999998</v>
      </c>
      <c r="E126" s="14">
        <f>D126*C126</f>
        <v>110122</v>
      </c>
    </row>
    <row r="127" spans="1:6">
      <c r="A127" s="149">
        <f t="shared" si="1"/>
        <v>45413</v>
      </c>
      <c r="B127" s="8" t="s">
        <v>491</v>
      </c>
      <c r="C127" s="2">
        <v>10</v>
      </c>
      <c r="D127" s="2">
        <v>122</v>
      </c>
      <c r="E127" s="14">
        <f>D127*C127</f>
        <v>1220</v>
      </c>
    </row>
    <row r="128" spans="1:6">
      <c r="A128" s="149">
        <f>A126</f>
        <v>45413</v>
      </c>
      <c r="B128" s="8" t="s">
        <v>132</v>
      </c>
      <c r="C128" s="2"/>
      <c r="D128" s="2"/>
      <c r="E128" s="14">
        <v>450</v>
      </c>
    </row>
    <row r="129" spans="1:5">
      <c r="A129" s="149">
        <f>A128</f>
        <v>45413</v>
      </c>
      <c r="B129" s="8" t="s">
        <v>372</v>
      </c>
      <c r="C129" s="2">
        <v>2500</v>
      </c>
      <c r="D129" s="2">
        <v>24.5</v>
      </c>
      <c r="E129" s="14">
        <f>D129*C129</f>
        <v>61250</v>
      </c>
    </row>
    <row r="130" spans="1:5">
      <c r="A130" s="149">
        <f>A128</f>
        <v>45413</v>
      </c>
      <c r="B130" s="8" t="s">
        <v>494</v>
      </c>
      <c r="C130" s="2">
        <v>2308.9699999999998</v>
      </c>
      <c r="D130" s="2">
        <v>156</v>
      </c>
      <c r="E130" s="14">
        <f>D130*C130</f>
        <v>360199.31999999995</v>
      </c>
    </row>
    <row r="131" spans="1:5">
      <c r="A131" s="149">
        <f>A130</f>
        <v>45413</v>
      </c>
      <c r="B131" s="8" t="s">
        <v>587</v>
      </c>
      <c r="C131" s="151">
        <v>31.879300000000001</v>
      </c>
      <c r="D131" s="2">
        <v>850</v>
      </c>
      <c r="E131" s="14">
        <f>D131*C131</f>
        <v>27097.404999999999</v>
      </c>
    </row>
    <row r="132" spans="1:5">
      <c r="A132" s="149">
        <f>A131</f>
        <v>45413</v>
      </c>
      <c r="B132" s="8" t="s">
        <v>496</v>
      </c>
      <c r="C132" s="151">
        <f>C131</f>
        <v>31.879300000000001</v>
      </c>
      <c r="D132" s="2">
        <v>250</v>
      </c>
      <c r="E132" s="14">
        <f>D132*C132</f>
        <v>7969.8249999999998</v>
      </c>
    </row>
    <row r="133" spans="1:5">
      <c r="A133" s="149">
        <f>A132</f>
        <v>45413</v>
      </c>
      <c r="B133" s="8" t="s">
        <v>588</v>
      </c>
      <c r="C133" s="151">
        <v>34.394500000000001</v>
      </c>
      <c r="D133" s="2">
        <v>0</v>
      </c>
      <c r="E133" s="14">
        <f>D133*C133</f>
        <v>0</v>
      </c>
    </row>
    <row r="134" spans="1:5">
      <c r="A134" s="149">
        <f>A133</f>
        <v>45413</v>
      </c>
      <c r="B134" s="8" t="s">
        <v>144</v>
      </c>
      <c r="C134" s="2"/>
      <c r="D134" s="2"/>
      <c r="E134" s="14">
        <v>3000</v>
      </c>
    </row>
    <row r="135" spans="1:5">
      <c r="A135" s="149">
        <f>A134</f>
        <v>45413</v>
      </c>
      <c r="B135" s="8" t="s">
        <v>145</v>
      </c>
      <c r="C135" s="2"/>
      <c r="D135" s="2"/>
      <c r="E135" s="14">
        <v>4000</v>
      </c>
    </row>
    <row r="136" spans="1:5">
      <c r="E136" s="165"/>
    </row>
    <row r="137" spans="1:5">
      <c r="C137" s="120"/>
      <c r="D137" s="3"/>
      <c r="E137" s="120"/>
    </row>
    <row r="138" spans="1:5">
      <c r="C138" s="120"/>
      <c r="D138" s="15" t="s">
        <v>147</v>
      </c>
      <c r="E138" s="9">
        <f>SUM(E119:E135)</f>
        <v>794302.15999999992</v>
      </c>
    </row>
    <row r="139" spans="1:5">
      <c r="C139" s="121" t="str">
        <f>A118</f>
        <v>HAZİRANa</v>
      </c>
      <c r="D139" s="122" t="s">
        <v>148</v>
      </c>
      <c r="E139" s="123">
        <f>H2</f>
        <v>-84350.533693000005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2F0D9"/>
  </sheetPr>
  <dimension ref="A1:H122"/>
  <sheetViews>
    <sheetView topLeftCell="A4" zoomScale="170" zoomScaleNormal="170" workbookViewId="0">
      <selection activeCell="B8" sqref="B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style="74" customWidth="1"/>
    <col min="5" max="5" width="12.85546875" style="74" customWidth="1"/>
    <col min="6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589</v>
      </c>
      <c r="C2" s="76" t="s">
        <v>59</v>
      </c>
      <c r="D2" s="74">
        <f>SUM(D5:D26)</f>
        <v>25000</v>
      </c>
      <c r="E2" s="74">
        <f>SUM(E5:E26)</f>
        <v>-64525.01</v>
      </c>
      <c r="F2" s="74">
        <f>SUM(F5:F26)</f>
        <v>25427.620000000003</v>
      </c>
      <c r="G2" s="74">
        <f>SUM(G5:G26)</f>
        <v>-64483.92</v>
      </c>
      <c r="H2" s="74">
        <f>F2+G2</f>
        <v>-39056.299999999996</v>
      </c>
    </row>
    <row r="3" spans="1:8">
      <c r="B3" s="15"/>
    </row>
    <row r="4" spans="1:8">
      <c r="B4" s="97" t="s">
        <v>590</v>
      </c>
      <c r="C4" s="97" t="s">
        <v>344</v>
      </c>
      <c r="D4" s="75"/>
      <c r="E4" s="75">
        <v>-250</v>
      </c>
      <c r="F4" s="75"/>
      <c r="G4" s="75"/>
      <c r="H4" s="75">
        <f t="shared" ref="H4:H26" si="0">H3+F4+G4</f>
        <v>0</v>
      </c>
    </row>
    <row r="5" spans="1:8">
      <c r="A5" s="85">
        <v>45404</v>
      </c>
      <c r="B5" s="38" t="s">
        <v>416</v>
      </c>
      <c r="C5" s="8" t="s">
        <v>591</v>
      </c>
      <c r="D5" s="75"/>
      <c r="E5" s="75">
        <v>-152</v>
      </c>
      <c r="F5" s="75"/>
      <c r="G5" s="75">
        <v>-166.9</v>
      </c>
      <c r="H5" s="75">
        <f t="shared" si="0"/>
        <v>-166.9</v>
      </c>
    </row>
    <row r="6" spans="1:8">
      <c r="A6" s="93">
        <v>45414</v>
      </c>
      <c r="B6" s="97" t="s">
        <v>72</v>
      </c>
      <c r="C6" s="97"/>
      <c r="D6" s="75"/>
      <c r="E6" s="75">
        <v>-400</v>
      </c>
      <c r="F6" s="75"/>
      <c r="G6" s="75">
        <v>-330</v>
      </c>
      <c r="H6" s="75">
        <f t="shared" si="0"/>
        <v>-496.9</v>
      </c>
    </row>
    <row r="7" spans="1:8">
      <c r="A7" s="93">
        <v>45414</v>
      </c>
      <c r="B7" s="97" t="s">
        <v>73</v>
      </c>
      <c r="C7" s="97"/>
      <c r="D7" s="75"/>
      <c r="E7" s="75">
        <v>-500</v>
      </c>
      <c r="F7" s="75"/>
      <c r="G7" s="75">
        <v>-510</v>
      </c>
      <c r="H7" s="75">
        <f t="shared" si="0"/>
        <v>-1006.9</v>
      </c>
    </row>
    <row r="8" spans="1:8">
      <c r="A8" s="85">
        <v>45414</v>
      </c>
      <c r="B8" s="8" t="s">
        <v>592</v>
      </c>
      <c r="D8" s="75" t="s">
        <v>593</v>
      </c>
      <c r="E8" s="75">
        <v>-103.5</v>
      </c>
      <c r="F8" s="75"/>
      <c r="G8" s="75"/>
      <c r="H8" s="75">
        <f t="shared" si="0"/>
        <v>-1006.9</v>
      </c>
    </row>
    <row r="9" spans="1:8">
      <c r="A9" s="93">
        <v>45418</v>
      </c>
      <c r="B9" s="97" t="s">
        <v>67</v>
      </c>
      <c r="C9" s="97" t="s">
        <v>315</v>
      </c>
      <c r="D9" s="75"/>
      <c r="E9" s="75">
        <v>-150</v>
      </c>
      <c r="F9" s="75"/>
      <c r="G9" s="75">
        <v>-25.38</v>
      </c>
      <c r="H9" s="75">
        <f t="shared" si="0"/>
        <v>-1032.28</v>
      </c>
    </row>
    <row r="10" spans="1:8">
      <c r="A10" s="93">
        <v>45418</v>
      </c>
      <c r="B10" s="166" t="s">
        <v>60</v>
      </c>
      <c r="D10" s="75"/>
      <c r="E10" s="75">
        <f>E41</f>
        <v>-4278.51</v>
      </c>
      <c r="F10" s="75"/>
      <c r="G10" s="75">
        <v>-4276.51</v>
      </c>
      <c r="H10" s="75">
        <f t="shared" si="0"/>
        <v>-5308.79</v>
      </c>
    </row>
    <row r="11" spans="1:8">
      <c r="A11" s="154">
        <v>45418</v>
      </c>
      <c r="B11" s="166" t="s">
        <v>61</v>
      </c>
      <c r="D11" s="75"/>
      <c r="E11" s="75">
        <f>E57</f>
        <v>-23541</v>
      </c>
      <c r="F11" s="75"/>
      <c r="G11" s="75">
        <v>-23541</v>
      </c>
      <c r="H11" s="75">
        <f t="shared" si="0"/>
        <v>-28849.79</v>
      </c>
    </row>
    <row r="12" spans="1:8">
      <c r="A12" s="93">
        <v>45418</v>
      </c>
      <c r="B12" s="97" t="s">
        <v>594</v>
      </c>
      <c r="C12" s="97"/>
      <c r="D12" s="75"/>
      <c r="E12" s="75">
        <v>-1500</v>
      </c>
      <c r="F12" s="75"/>
      <c r="G12" s="75">
        <v>-1512.13</v>
      </c>
      <c r="H12" s="75">
        <f t="shared" si="0"/>
        <v>-30361.920000000002</v>
      </c>
    </row>
    <row r="13" spans="1:8">
      <c r="A13" s="93">
        <v>45418</v>
      </c>
      <c r="B13" s="8" t="s">
        <v>386</v>
      </c>
      <c r="D13" s="75"/>
      <c r="E13" s="75">
        <v>-10000</v>
      </c>
      <c r="F13" s="75"/>
      <c r="G13" s="75">
        <v>-10000</v>
      </c>
      <c r="H13" s="75">
        <f t="shared" si="0"/>
        <v>-40361.919999999998</v>
      </c>
    </row>
    <row r="14" spans="1:8">
      <c r="A14" s="96">
        <v>45419</v>
      </c>
      <c r="B14" s="97" t="s">
        <v>595</v>
      </c>
      <c r="C14" s="97"/>
      <c r="D14" s="75"/>
      <c r="E14" s="75">
        <v>-5375</v>
      </c>
      <c r="F14" s="75"/>
      <c r="G14" s="75">
        <v>-5375</v>
      </c>
      <c r="H14" s="75">
        <f t="shared" si="0"/>
        <v>-45736.92</v>
      </c>
    </row>
    <row r="15" spans="1:8">
      <c r="A15" s="96">
        <v>45419</v>
      </c>
      <c r="B15" s="97" t="s">
        <v>595</v>
      </c>
      <c r="C15" s="97"/>
      <c r="D15" s="75"/>
      <c r="E15" s="75">
        <v>-2125</v>
      </c>
      <c r="F15" s="75"/>
      <c r="G15" s="75">
        <v>-2125</v>
      </c>
      <c r="H15" s="75">
        <f t="shared" si="0"/>
        <v>-47861.919999999998</v>
      </c>
    </row>
    <row r="16" spans="1:8">
      <c r="A16" s="96">
        <v>45432</v>
      </c>
      <c r="B16" s="102" t="s">
        <v>65</v>
      </c>
      <c r="C16" s="102" t="s">
        <v>315</v>
      </c>
      <c r="D16" s="75"/>
      <c r="E16" s="75">
        <v>-300</v>
      </c>
      <c r="F16" s="75"/>
      <c r="G16" s="75">
        <v>-403</v>
      </c>
      <c r="H16" s="75">
        <f t="shared" si="0"/>
        <v>-48264.92</v>
      </c>
    </row>
    <row r="17" spans="1:8">
      <c r="A17" s="96">
        <v>45432</v>
      </c>
      <c r="B17" s="102" t="s">
        <v>66</v>
      </c>
      <c r="C17" s="102" t="s">
        <v>315</v>
      </c>
      <c r="D17" s="75"/>
      <c r="E17" s="75">
        <v>-100</v>
      </c>
      <c r="F17" s="75"/>
      <c r="G17" s="75">
        <v>-34</v>
      </c>
      <c r="H17" s="75">
        <f t="shared" si="0"/>
        <v>-48298.92</v>
      </c>
    </row>
    <row r="18" spans="1:8">
      <c r="A18" s="96"/>
      <c r="B18" s="166" t="s">
        <v>64</v>
      </c>
      <c r="D18" s="75"/>
      <c r="E18" s="75">
        <f>E36*-1</f>
        <v>-100</v>
      </c>
      <c r="F18" s="75"/>
      <c r="G18" s="75">
        <f>E18</f>
        <v>-100</v>
      </c>
      <c r="H18" s="75">
        <f t="shared" si="0"/>
        <v>-48398.92</v>
      </c>
    </row>
    <row r="19" spans="1:8">
      <c r="A19" s="85">
        <v>45439</v>
      </c>
      <c r="B19" s="8" t="s">
        <v>69</v>
      </c>
      <c r="D19" s="75"/>
      <c r="E19" s="75">
        <v>-5000</v>
      </c>
      <c r="F19" s="75"/>
      <c r="G19" s="75">
        <v>-5205</v>
      </c>
      <c r="H19" s="75">
        <f t="shared" si="0"/>
        <v>-53603.92</v>
      </c>
    </row>
    <row r="20" spans="1:8">
      <c r="A20" s="85">
        <v>45439</v>
      </c>
      <c r="B20" s="8" t="s">
        <v>70</v>
      </c>
      <c r="D20" s="75"/>
      <c r="E20" s="75">
        <v>-5000</v>
      </c>
      <c r="F20" s="75"/>
      <c r="G20" s="75">
        <v>-5205</v>
      </c>
      <c r="H20" s="75">
        <f t="shared" si="0"/>
        <v>-58808.92</v>
      </c>
    </row>
    <row r="21" spans="1:8">
      <c r="A21" s="85">
        <v>45439</v>
      </c>
      <c r="B21" s="8" t="s">
        <v>71</v>
      </c>
      <c r="D21" s="75"/>
      <c r="E21" s="75">
        <v>-5000</v>
      </c>
      <c r="F21" s="75"/>
      <c r="G21" s="75">
        <v>-5000</v>
      </c>
      <c r="H21" s="75">
        <f t="shared" si="0"/>
        <v>-63808.92</v>
      </c>
    </row>
    <row r="22" spans="1:8">
      <c r="B22" t="s">
        <v>68</v>
      </c>
      <c r="D22" s="75">
        <v>10000</v>
      </c>
      <c r="E22" s="75"/>
      <c r="F22" s="75">
        <v>10427.620000000001</v>
      </c>
      <c r="G22" s="75"/>
      <c r="H22" s="75">
        <f t="shared" si="0"/>
        <v>-53381.299999999996</v>
      </c>
    </row>
    <row r="23" spans="1:8">
      <c r="A23" s="96">
        <v>45447</v>
      </c>
      <c r="B23" s="8" t="s">
        <v>596</v>
      </c>
      <c r="D23" s="75">
        <v>15000</v>
      </c>
      <c r="E23" s="75"/>
      <c r="F23" s="75">
        <v>15000</v>
      </c>
      <c r="H23" s="75">
        <f t="shared" si="0"/>
        <v>-38381.299999999996</v>
      </c>
    </row>
    <row r="24" spans="1:8">
      <c r="H24" s="75">
        <f t="shared" si="0"/>
        <v>-38381.299999999996</v>
      </c>
    </row>
    <row r="25" spans="1:8">
      <c r="A25" s="93">
        <v>45442</v>
      </c>
      <c r="B25" s="97" t="s">
        <v>72</v>
      </c>
      <c r="C25" s="97"/>
      <c r="D25" s="75"/>
      <c r="E25" s="75">
        <v>-400</v>
      </c>
      <c r="G25" s="74">
        <v>-240</v>
      </c>
      <c r="H25" s="75">
        <f t="shared" si="0"/>
        <v>-38621.299999999996</v>
      </c>
    </row>
    <row r="26" spans="1:8">
      <c r="A26" s="93">
        <v>45442</v>
      </c>
      <c r="B26" s="97" t="s">
        <v>73</v>
      </c>
      <c r="C26" s="97"/>
      <c r="D26" s="75"/>
      <c r="E26" s="75">
        <v>-500</v>
      </c>
      <c r="G26" s="74">
        <v>-435</v>
      </c>
      <c r="H26" s="75">
        <f t="shared" si="0"/>
        <v>-39056.299999999996</v>
      </c>
    </row>
    <row r="28" spans="1:8">
      <c r="B28" t="s">
        <v>317</v>
      </c>
    </row>
    <row r="29" spans="1:8">
      <c r="A29" s="96"/>
      <c r="C29" s="160"/>
    </row>
    <row r="30" spans="1:8">
      <c r="A30" s="161">
        <v>44929</v>
      </c>
      <c r="B30" s="162" t="s">
        <v>319</v>
      </c>
      <c r="C30" s="99"/>
      <c r="D30" s="74">
        <f>SUM(D31:D36)</f>
        <v>3775.1600000000003</v>
      </c>
      <c r="E30" s="74">
        <f>SUM(E31:E36)</f>
        <v>3775.28</v>
      </c>
    </row>
    <row r="31" spans="1:8">
      <c r="A31" s="96"/>
      <c r="B31" s="102" t="s">
        <v>320</v>
      </c>
      <c r="D31" s="75">
        <v>786.88</v>
      </c>
      <c r="E31" s="75">
        <v>787</v>
      </c>
    </row>
    <row r="32" spans="1:8">
      <c r="B32" t="s">
        <v>321</v>
      </c>
      <c r="D32" s="75">
        <v>1205</v>
      </c>
      <c r="E32" s="75">
        <v>1205</v>
      </c>
    </row>
    <row r="33" spans="1:5">
      <c r="B33" t="s">
        <v>322</v>
      </c>
      <c r="D33" s="75">
        <v>55.4</v>
      </c>
      <c r="E33" s="75">
        <v>55.4</v>
      </c>
    </row>
    <row r="34" spans="1:5">
      <c r="B34" t="s">
        <v>323</v>
      </c>
      <c r="D34" s="75">
        <v>1257.4000000000001</v>
      </c>
      <c r="E34" s="75">
        <v>1257.4000000000001</v>
      </c>
    </row>
    <row r="35" spans="1:5">
      <c r="B35" t="s">
        <v>324</v>
      </c>
      <c r="D35" s="75">
        <v>370.48</v>
      </c>
      <c r="E35" s="75">
        <v>370.48</v>
      </c>
    </row>
    <row r="36" spans="1:5">
      <c r="B36" t="s">
        <v>325</v>
      </c>
      <c r="C36" s="102"/>
      <c r="D36" s="75">
        <v>100</v>
      </c>
      <c r="E36" s="75">
        <v>100</v>
      </c>
    </row>
    <row r="37" spans="1:5">
      <c r="C37" s="102"/>
    </row>
    <row r="39" spans="1:5">
      <c r="B39" s="14"/>
    </row>
    <row r="40" spans="1:5">
      <c r="B40" s="98"/>
    </row>
    <row r="41" spans="1:5">
      <c r="A41" s="99"/>
      <c r="B41" s="100" t="s">
        <v>75</v>
      </c>
      <c r="C41" s="99"/>
      <c r="E41" s="74">
        <f>SUM(E42:E53)</f>
        <v>-4278.51</v>
      </c>
    </row>
    <row r="43" spans="1:5">
      <c r="A43" s="96">
        <v>45187</v>
      </c>
      <c r="B43" s="102" t="s">
        <v>552</v>
      </c>
      <c r="C43" s="102">
        <v>7648.33</v>
      </c>
      <c r="D43" s="74" t="s">
        <v>355</v>
      </c>
      <c r="E43" s="74">
        <v>-849.81</v>
      </c>
    </row>
    <row r="44" spans="1:5">
      <c r="A44" s="85">
        <v>45348</v>
      </c>
      <c r="B44" s="8" t="s">
        <v>430</v>
      </c>
      <c r="C44">
        <v>1406</v>
      </c>
      <c r="D44" s="74" t="s">
        <v>597</v>
      </c>
      <c r="E44" s="74">
        <v>-234.33</v>
      </c>
    </row>
    <row r="45" spans="1:5">
      <c r="A45" s="85">
        <v>45373</v>
      </c>
      <c r="B45" s="8" t="s">
        <v>326</v>
      </c>
      <c r="C45">
        <v>10176.39</v>
      </c>
      <c r="D45" s="74" t="s">
        <v>598</v>
      </c>
      <c r="E45" s="74">
        <v>-1130.71</v>
      </c>
    </row>
    <row r="46" spans="1:5">
      <c r="A46" s="85">
        <v>45375</v>
      </c>
      <c r="B46" s="8" t="s">
        <v>328</v>
      </c>
      <c r="C46">
        <v>5999</v>
      </c>
      <c r="D46" s="74" t="s">
        <v>599</v>
      </c>
      <c r="E46" s="74">
        <v>-666.56</v>
      </c>
    </row>
    <row r="47" spans="1:5">
      <c r="A47" s="85">
        <v>45358</v>
      </c>
      <c r="B47" s="8" t="s">
        <v>433</v>
      </c>
      <c r="C47">
        <v>2273</v>
      </c>
      <c r="D47" s="74" t="s">
        <v>597</v>
      </c>
      <c r="E47" s="74">
        <v>-378.87</v>
      </c>
    </row>
    <row r="48" spans="1:5">
      <c r="A48" s="85">
        <v>45371</v>
      </c>
      <c r="B48" s="8" t="s">
        <v>434</v>
      </c>
      <c r="D48" s="74" t="s">
        <v>600</v>
      </c>
      <c r="E48" s="74">
        <v>101.77</v>
      </c>
    </row>
    <row r="49" spans="1:5">
      <c r="A49" s="85">
        <v>45377</v>
      </c>
      <c r="B49" s="8" t="s">
        <v>601</v>
      </c>
      <c r="D49" s="74" t="s">
        <v>602</v>
      </c>
    </row>
    <row r="50" spans="1:5">
      <c r="A50" s="96"/>
      <c r="B50" s="103" t="s">
        <v>603</v>
      </c>
      <c r="C50" s="102"/>
      <c r="E50" s="74">
        <v>-90</v>
      </c>
    </row>
    <row r="51" spans="1:5">
      <c r="A51" s="96"/>
      <c r="B51" s="103"/>
      <c r="C51" s="102"/>
      <c r="D51" s="74">
        <v>6693.55</v>
      </c>
    </row>
    <row r="52" spans="1:5">
      <c r="A52" s="96"/>
      <c r="B52" s="103" t="s">
        <v>604</v>
      </c>
      <c r="E52" s="74">
        <v>-790</v>
      </c>
    </row>
    <row r="53" spans="1:5">
      <c r="A53" s="96"/>
      <c r="B53" s="103" t="s">
        <v>605</v>
      </c>
      <c r="C53" s="102"/>
      <c r="E53" s="74">
        <v>-240</v>
      </c>
    </row>
    <row r="54" spans="1:5" ht="15">
      <c r="A54" s="96"/>
      <c r="B54" s="103"/>
      <c r="C54" s="102"/>
      <c r="D54" s="101" t="s">
        <v>76</v>
      </c>
    </row>
    <row r="55" spans="1:5">
      <c r="A55" s="96"/>
      <c r="B55" s="3"/>
    </row>
    <row r="56" spans="1:5">
      <c r="A56" s="96"/>
      <c r="B56" s="102"/>
      <c r="C56" s="102"/>
    </row>
    <row r="57" spans="1:5">
      <c r="A57" s="99"/>
      <c r="B57" s="100" t="s">
        <v>77</v>
      </c>
      <c r="C57" s="99"/>
      <c r="E57" s="74">
        <f>SUM(E58:E100)</f>
        <v>-23541</v>
      </c>
    </row>
    <row r="58" spans="1:5">
      <c r="A58" s="96"/>
      <c r="B58" s="102"/>
      <c r="C58" s="102"/>
    </row>
    <row r="59" spans="1:5">
      <c r="A59" s="154">
        <v>45285</v>
      </c>
      <c r="B59" s="102" t="s">
        <v>512</v>
      </c>
      <c r="C59" s="102"/>
      <c r="D59" s="74" t="s">
        <v>606</v>
      </c>
      <c r="E59" s="74">
        <v>-3551.66</v>
      </c>
    </row>
    <row r="60" spans="1:5">
      <c r="A60" s="96"/>
      <c r="B60" s="3" t="s">
        <v>468</v>
      </c>
      <c r="C60" s="102"/>
      <c r="D60" s="74" t="s">
        <v>607</v>
      </c>
      <c r="E60" s="74">
        <v>-649.78</v>
      </c>
    </row>
    <row r="61" spans="1:5">
      <c r="A61" s="96"/>
      <c r="B61" s="3" t="s">
        <v>470</v>
      </c>
      <c r="C61" s="102">
        <v>49.98</v>
      </c>
      <c r="D61" s="74" t="s">
        <v>607</v>
      </c>
    </row>
    <row r="62" spans="1:5">
      <c r="A62" s="96"/>
      <c r="B62" s="3"/>
      <c r="C62" s="102"/>
    </row>
    <row r="63" spans="1:5">
      <c r="A63" s="96"/>
      <c r="B63" s="3"/>
      <c r="C63" s="102"/>
    </row>
    <row r="64" spans="1:5">
      <c r="A64" s="96">
        <v>45405</v>
      </c>
      <c r="B64" s="3" t="s">
        <v>608</v>
      </c>
      <c r="C64" s="102"/>
      <c r="E64" s="74">
        <v>-500</v>
      </c>
    </row>
    <row r="65" spans="1:5">
      <c r="A65" s="96">
        <v>45398</v>
      </c>
      <c r="B65" s="3" t="s">
        <v>609</v>
      </c>
      <c r="C65" s="102"/>
      <c r="E65" s="74">
        <v>-400</v>
      </c>
    </row>
    <row r="66" spans="1:5">
      <c r="A66" s="96">
        <v>45398</v>
      </c>
      <c r="B66" s="3" t="s">
        <v>119</v>
      </c>
      <c r="C66" s="102"/>
      <c r="E66" s="74">
        <v>-48.5</v>
      </c>
    </row>
    <row r="67" spans="1:5">
      <c r="A67" s="96">
        <v>45398</v>
      </c>
      <c r="B67" s="3" t="s">
        <v>609</v>
      </c>
      <c r="C67" s="102"/>
      <c r="E67" s="74">
        <v>-871.29</v>
      </c>
    </row>
    <row r="68" spans="1:5">
      <c r="A68" s="96">
        <v>45398</v>
      </c>
      <c r="B68" s="3" t="s">
        <v>609</v>
      </c>
      <c r="C68" s="102"/>
      <c r="E68" s="74">
        <v>-810.42</v>
      </c>
    </row>
    <row r="69" spans="1:5">
      <c r="A69" s="96">
        <v>45397</v>
      </c>
      <c r="B69" s="3" t="s">
        <v>567</v>
      </c>
      <c r="C69" s="102">
        <v>240</v>
      </c>
      <c r="E69" s="74">
        <v>-240</v>
      </c>
    </row>
    <row r="70" spans="1:5">
      <c r="A70" s="96">
        <v>45388</v>
      </c>
      <c r="B70" s="3" t="s">
        <v>610</v>
      </c>
      <c r="C70" s="102"/>
      <c r="E70" s="74">
        <v>-400</v>
      </c>
    </row>
    <row r="71" spans="1:5">
      <c r="A71" s="96"/>
      <c r="B71" s="3"/>
      <c r="C71" s="102"/>
      <c r="D71" s="74">
        <v>6501.46</v>
      </c>
    </row>
    <row r="72" spans="1:5">
      <c r="A72" s="96">
        <v>45383</v>
      </c>
      <c r="B72" s="3" t="s">
        <v>567</v>
      </c>
      <c r="C72" s="102">
        <v>250</v>
      </c>
      <c r="E72" s="74">
        <v>-250</v>
      </c>
    </row>
    <row r="73" spans="1:5">
      <c r="A73" s="96">
        <v>45377</v>
      </c>
      <c r="B73" s="3">
        <v>2240</v>
      </c>
      <c r="C73" s="102"/>
      <c r="E73" s="74">
        <v>-167</v>
      </c>
    </row>
    <row r="74" spans="1:5">
      <c r="A74" s="96">
        <v>45377</v>
      </c>
      <c r="B74" s="3">
        <v>2240</v>
      </c>
      <c r="C74" s="102"/>
      <c r="E74" s="74">
        <v>-2.17</v>
      </c>
    </row>
    <row r="75" spans="1:5">
      <c r="A75" s="96">
        <v>45377</v>
      </c>
      <c r="B75" s="3">
        <v>2240</v>
      </c>
      <c r="C75" s="102"/>
      <c r="E75" s="74">
        <v>-0.11</v>
      </c>
    </row>
    <row r="76" spans="1:5">
      <c r="A76" s="96">
        <v>45406</v>
      </c>
      <c r="B76" s="3" t="s">
        <v>119</v>
      </c>
      <c r="C76" s="102"/>
      <c r="E76" s="74">
        <v>-34.6</v>
      </c>
    </row>
    <row r="77" spans="1:5">
      <c r="A77" s="96">
        <v>24.4</v>
      </c>
      <c r="B77" s="3" t="s">
        <v>119</v>
      </c>
      <c r="C77" s="102"/>
      <c r="E77" s="74">
        <v>-370.4</v>
      </c>
    </row>
    <row r="78" spans="1:5">
      <c r="A78" s="96">
        <v>45405</v>
      </c>
      <c r="B78" s="3" t="s">
        <v>611</v>
      </c>
      <c r="C78" s="102"/>
      <c r="E78" s="74">
        <v>-1306.8800000000001</v>
      </c>
    </row>
    <row r="79" spans="1:5">
      <c r="A79" s="96">
        <v>45387</v>
      </c>
      <c r="B79" s="3" t="s">
        <v>612</v>
      </c>
      <c r="C79" s="102"/>
      <c r="E79" s="74">
        <v>-13938.19</v>
      </c>
    </row>
    <row r="80" spans="1:5">
      <c r="A80" s="96"/>
      <c r="B80" s="3"/>
      <c r="C80" s="102"/>
    </row>
    <row r="81" spans="1:3">
      <c r="A81" s="96"/>
      <c r="B81" s="15" t="s">
        <v>613</v>
      </c>
      <c r="C81" s="102">
        <f>SUM(C69:C80)</f>
        <v>490</v>
      </c>
    </row>
    <row r="82" spans="1:3">
      <c r="A82" s="96"/>
      <c r="B82" s="3"/>
      <c r="C82" s="102"/>
    </row>
    <row r="83" spans="1:3">
      <c r="A83" s="96"/>
      <c r="B83" s="3"/>
      <c r="C83" s="102"/>
    </row>
    <row r="84" spans="1:3">
      <c r="A84" s="96"/>
      <c r="B84" s="3"/>
      <c r="C84" s="102"/>
    </row>
    <row r="85" spans="1:3">
      <c r="A85" s="96"/>
      <c r="B85" s="3"/>
      <c r="C85" s="102"/>
    </row>
    <row r="86" spans="1:3">
      <c r="A86" s="96"/>
      <c r="B86" s="3"/>
      <c r="C86" s="102"/>
    </row>
    <row r="87" spans="1:3">
      <c r="A87" s="96"/>
      <c r="B87" s="3"/>
      <c r="C87" s="102"/>
    </row>
    <row r="88" spans="1:3">
      <c r="A88" s="96"/>
      <c r="B88" s="3"/>
      <c r="C88" s="102"/>
    </row>
    <row r="89" spans="1:3">
      <c r="A89" s="96"/>
      <c r="B89" s="3"/>
      <c r="C89" s="102"/>
    </row>
    <row r="90" spans="1:3">
      <c r="A90" s="96"/>
      <c r="B90" s="3"/>
      <c r="C90" s="102"/>
    </row>
    <row r="91" spans="1:3">
      <c r="A91" s="96"/>
      <c r="B91" s="3"/>
      <c r="C91" s="102"/>
    </row>
    <row r="92" spans="1:3">
      <c r="A92" s="96"/>
      <c r="B92" s="3"/>
      <c r="C92" s="102"/>
    </row>
    <row r="93" spans="1:3">
      <c r="A93" s="96"/>
      <c r="B93" s="3"/>
      <c r="C93" s="102"/>
    </row>
    <row r="94" spans="1:3">
      <c r="A94" s="96"/>
      <c r="B94" s="3"/>
      <c r="C94" s="102"/>
    </row>
    <row r="95" spans="1:3">
      <c r="A95" s="96"/>
      <c r="B95" s="3"/>
      <c r="C95" s="102"/>
    </row>
    <row r="96" spans="1:3">
      <c r="A96" s="96"/>
      <c r="B96" s="3"/>
      <c r="C96" s="102"/>
    </row>
    <row r="97" spans="1:5">
      <c r="A97" s="96"/>
      <c r="B97" s="3"/>
      <c r="C97" s="102"/>
    </row>
    <row r="98" spans="1:5">
      <c r="A98" s="96"/>
      <c r="B98" s="3"/>
      <c r="C98" s="102"/>
    </row>
    <row r="99" spans="1:5">
      <c r="A99" s="96"/>
      <c r="B99" s="3"/>
      <c r="C99" s="102"/>
    </row>
    <row r="100" spans="1:5" ht="15">
      <c r="A100" s="96"/>
      <c r="B100" s="3"/>
      <c r="C100" s="102"/>
      <c r="D100" s="101" t="s">
        <v>76</v>
      </c>
    </row>
    <row r="101" spans="1:5">
      <c r="A101" s="109" t="s">
        <v>614</v>
      </c>
      <c r="B101" s="100" t="s">
        <v>128</v>
      </c>
      <c r="C101" s="99">
        <v>2024</v>
      </c>
      <c r="D101" s="147"/>
      <c r="E101" s="148">
        <f>SUM(E102:E118)</f>
        <v>1018967.8866</v>
      </c>
    </row>
    <row r="102" spans="1:5">
      <c r="A102" s="149">
        <v>45413</v>
      </c>
      <c r="B102" s="8" t="s">
        <v>69</v>
      </c>
      <c r="C102" s="2"/>
      <c r="D102" s="2"/>
      <c r="E102" s="2">
        <v>64000</v>
      </c>
    </row>
    <row r="103" spans="1:5">
      <c r="A103" s="149">
        <f t="shared" ref="A103:A110" si="1">A102</f>
        <v>45413</v>
      </c>
      <c r="B103" s="8" t="s">
        <v>370</v>
      </c>
      <c r="C103" s="2"/>
      <c r="D103" s="2"/>
      <c r="E103" s="2">
        <v>150845</v>
      </c>
    </row>
    <row r="104" spans="1:5">
      <c r="A104" s="149">
        <f t="shared" si="1"/>
        <v>45413</v>
      </c>
      <c r="B104" s="8" t="s">
        <v>292</v>
      </c>
      <c r="C104" s="2"/>
      <c r="D104" s="2"/>
      <c r="E104" s="14">
        <v>6036.94</v>
      </c>
    </row>
    <row r="105" spans="1:5">
      <c r="A105" s="149">
        <f t="shared" si="1"/>
        <v>45413</v>
      </c>
      <c r="B105" s="8" t="s">
        <v>293</v>
      </c>
      <c r="C105" s="2"/>
      <c r="D105" s="2"/>
      <c r="E105" s="14">
        <v>102000</v>
      </c>
    </row>
    <row r="106" spans="1:5">
      <c r="A106" s="149">
        <f t="shared" si="1"/>
        <v>45413</v>
      </c>
      <c r="B106" s="8" t="s">
        <v>489</v>
      </c>
      <c r="C106" s="2"/>
      <c r="D106" s="2"/>
      <c r="E106" s="14">
        <v>0</v>
      </c>
    </row>
    <row r="107" spans="1:5">
      <c r="A107" s="149">
        <f t="shared" si="1"/>
        <v>45413</v>
      </c>
      <c r="B107" s="8" t="s">
        <v>294</v>
      </c>
      <c r="C107" s="120"/>
      <c r="D107" s="2"/>
      <c r="E107" s="14">
        <v>0</v>
      </c>
    </row>
    <row r="108" spans="1:5">
      <c r="A108" s="149">
        <f t="shared" si="1"/>
        <v>45413</v>
      </c>
      <c r="B108" s="8" t="s">
        <v>228</v>
      </c>
      <c r="C108" s="2"/>
      <c r="D108" s="2"/>
      <c r="E108" s="14">
        <v>0</v>
      </c>
    </row>
    <row r="109" spans="1:5">
      <c r="A109" s="149">
        <f t="shared" si="1"/>
        <v>45413</v>
      </c>
      <c r="B109" s="8" t="s">
        <v>490</v>
      </c>
      <c r="C109" s="164">
        <v>125000</v>
      </c>
      <c r="D109" s="2">
        <v>0.88097599999999998</v>
      </c>
      <c r="E109" s="14">
        <f>D109*C109</f>
        <v>110122</v>
      </c>
    </row>
    <row r="110" spans="1:5">
      <c r="A110" s="149">
        <f t="shared" si="1"/>
        <v>45413</v>
      </c>
      <c r="B110" s="8" t="s">
        <v>491</v>
      </c>
      <c r="C110" s="2">
        <v>10</v>
      </c>
      <c r="D110" s="2">
        <v>145</v>
      </c>
      <c r="E110" s="14">
        <f>D110*C110</f>
        <v>1450</v>
      </c>
    </row>
    <row r="111" spans="1:5">
      <c r="A111" s="149">
        <f>A109</f>
        <v>45413</v>
      </c>
      <c r="B111" s="8" t="s">
        <v>132</v>
      </c>
      <c r="C111" s="2"/>
      <c r="D111" s="2"/>
      <c r="E111" s="14">
        <v>450</v>
      </c>
    </row>
    <row r="112" spans="1:5">
      <c r="A112" s="149">
        <f>A111</f>
        <v>45413</v>
      </c>
      <c r="B112" s="8" t="s">
        <v>372</v>
      </c>
      <c r="C112" s="2">
        <v>2500</v>
      </c>
      <c r="D112" s="2">
        <v>25.11</v>
      </c>
      <c r="E112" s="14">
        <f>D112*C112</f>
        <v>62775</v>
      </c>
    </row>
    <row r="113" spans="1:5">
      <c r="A113" s="149">
        <f>A111</f>
        <v>45413</v>
      </c>
      <c r="B113" s="8" t="s">
        <v>494</v>
      </c>
      <c r="C113" s="2">
        <v>2308.9699999999998</v>
      </c>
      <c r="D113" s="2">
        <v>156</v>
      </c>
      <c r="E113" s="14">
        <f>D113*C113</f>
        <v>360199.31999999995</v>
      </c>
    </row>
    <row r="114" spans="1:5">
      <c r="A114" s="149">
        <f>A113</f>
        <v>45413</v>
      </c>
      <c r="B114" s="8" t="s">
        <v>587</v>
      </c>
      <c r="C114" s="151">
        <v>31.879300000000001</v>
      </c>
      <c r="D114" s="2">
        <v>850</v>
      </c>
      <c r="E114" s="14">
        <f>D114*C114</f>
        <v>27097.404999999999</v>
      </c>
    </row>
    <row r="115" spans="1:5">
      <c r="A115" s="149">
        <f>A114</f>
        <v>45413</v>
      </c>
      <c r="B115" s="8" t="s">
        <v>496</v>
      </c>
      <c r="C115" s="151">
        <f>C114</f>
        <v>31.879300000000001</v>
      </c>
      <c r="D115" s="2">
        <v>250</v>
      </c>
      <c r="E115" s="14">
        <f>D115*C115</f>
        <v>7969.8249999999998</v>
      </c>
    </row>
    <row r="116" spans="1:5">
      <c r="A116" s="149">
        <f>A115</f>
        <v>45413</v>
      </c>
      <c r="B116" s="8" t="s">
        <v>588</v>
      </c>
      <c r="C116" s="151">
        <v>34.394500000000001</v>
      </c>
      <c r="D116" s="2">
        <v>58.8</v>
      </c>
      <c r="E116" s="14">
        <f>D116*C116</f>
        <v>2022.3966</v>
      </c>
    </row>
    <row r="117" spans="1:5">
      <c r="A117" s="149">
        <f>A116</f>
        <v>45413</v>
      </c>
      <c r="B117" s="8" t="s">
        <v>144</v>
      </c>
      <c r="C117" s="2"/>
      <c r="D117" s="2"/>
      <c r="E117" s="14">
        <v>120000</v>
      </c>
    </row>
    <row r="118" spans="1:5">
      <c r="A118" s="149">
        <f>A117</f>
        <v>45413</v>
      </c>
      <c r="B118" s="8" t="s">
        <v>145</v>
      </c>
      <c r="C118" s="2"/>
      <c r="D118" s="2"/>
      <c r="E118" s="14">
        <v>4000</v>
      </c>
    </row>
    <row r="119" spans="1:5">
      <c r="E119" s="165"/>
    </row>
    <row r="120" spans="1:5">
      <c r="C120" s="120"/>
      <c r="D120" s="3"/>
      <c r="E120" s="120"/>
    </row>
    <row r="121" spans="1:5">
      <c r="C121" s="120"/>
      <c r="D121" s="15" t="s">
        <v>147</v>
      </c>
      <c r="E121" s="9">
        <f>SUM(E102:E118)</f>
        <v>1018967.8866</v>
      </c>
    </row>
    <row r="122" spans="1:5">
      <c r="C122" s="121" t="str">
        <f>A101</f>
        <v>MAYISa</v>
      </c>
      <c r="D122" s="122" t="s">
        <v>148</v>
      </c>
      <c r="E122" s="123">
        <f>H2</f>
        <v>-39056.299999999996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2F0D9"/>
  </sheetPr>
  <dimension ref="A1:H130"/>
  <sheetViews>
    <sheetView topLeftCell="A23" zoomScale="170" zoomScaleNormal="170" workbookViewId="0">
      <selection activeCell="B20" sqref="B20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74" customWidth="1"/>
    <col min="5" max="5" width="12.5703125" style="74" customWidth="1"/>
    <col min="6" max="8" width="12.28515625" style="74"/>
    <col min="1024" max="1024" width="9.140625" customWidth="1"/>
  </cols>
  <sheetData>
    <row r="1" spans="1:8">
      <c r="F1" s="74" t="s">
        <v>20</v>
      </c>
      <c r="G1" s="74" t="s">
        <v>21</v>
      </c>
      <c r="H1" s="74" t="s">
        <v>3</v>
      </c>
    </row>
    <row r="2" spans="1:8">
      <c r="A2" s="3" t="s">
        <v>615</v>
      </c>
      <c r="C2" s="76" t="s">
        <v>59</v>
      </c>
      <c r="D2" s="74">
        <f>SUM(D5:D45)</f>
        <v>40000</v>
      </c>
      <c r="E2" s="74">
        <f>SUM(E5:E45)</f>
        <v>-51710.3</v>
      </c>
      <c r="F2" s="74">
        <f>SUM(F5:F45)</f>
        <v>332427.62</v>
      </c>
      <c r="G2" s="74">
        <f>SUM(G5:G45)</f>
        <v>-86892.22</v>
      </c>
      <c r="H2" s="74">
        <f>F2+G2</f>
        <v>245535.4</v>
      </c>
    </row>
    <row r="3" spans="1:8">
      <c r="B3" s="15"/>
    </row>
    <row r="5" spans="1:8">
      <c r="A5" s="85">
        <v>45339</v>
      </c>
      <c r="B5" s="97" t="s">
        <v>616</v>
      </c>
      <c r="C5" s="97" t="s">
        <v>344</v>
      </c>
      <c r="E5" s="75">
        <v>-250</v>
      </c>
      <c r="F5" s="75"/>
      <c r="G5" s="75"/>
      <c r="H5" s="75">
        <f t="shared" ref="H5:H45" si="0">H4+F5+G5</f>
        <v>0</v>
      </c>
    </row>
    <row r="6" spans="1:8">
      <c r="A6" s="85">
        <v>45377</v>
      </c>
      <c r="B6" s="38" t="s">
        <v>416</v>
      </c>
      <c r="C6" s="8" t="s">
        <v>617</v>
      </c>
      <c r="E6" s="75">
        <v>-152</v>
      </c>
      <c r="F6" s="75"/>
      <c r="G6" s="75">
        <v>-169.28</v>
      </c>
      <c r="H6" s="75">
        <f t="shared" si="0"/>
        <v>-169.28</v>
      </c>
    </row>
    <row r="7" spans="1:8">
      <c r="A7" s="85">
        <v>45383</v>
      </c>
      <c r="B7" s="97" t="s">
        <v>618</v>
      </c>
      <c r="C7" s="97"/>
      <c r="E7" s="75">
        <v>-1500</v>
      </c>
      <c r="G7" s="75">
        <v>-1512.13</v>
      </c>
      <c r="H7" s="75">
        <f t="shared" si="0"/>
        <v>-1681.41</v>
      </c>
    </row>
    <row r="8" spans="1:8">
      <c r="A8" s="85">
        <v>45384</v>
      </c>
      <c r="B8" s="97" t="s">
        <v>619</v>
      </c>
      <c r="C8" s="97"/>
      <c r="E8" s="75"/>
      <c r="G8" s="75">
        <v>-10000</v>
      </c>
      <c r="H8" s="75">
        <f t="shared" si="0"/>
        <v>-11681.41</v>
      </c>
    </row>
    <row r="9" spans="1:8">
      <c r="A9" s="85">
        <v>45384</v>
      </c>
      <c r="B9" s="8" t="s">
        <v>620</v>
      </c>
      <c r="D9" s="175"/>
      <c r="E9" s="75">
        <v>-2273.0700000000002</v>
      </c>
      <c r="F9" s="60"/>
      <c r="G9" s="75">
        <v>-2237.0700000000002</v>
      </c>
      <c r="H9" s="75">
        <f t="shared" si="0"/>
        <v>-13918.48</v>
      </c>
    </row>
    <row r="10" spans="1:8">
      <c r="A10" s="85">
        <v>45384</v>
      </c>
      <c r="B10" s="8" t="s">
        <v>592</v>
      </c>
      <c r="D10" s="74" t="s">
        <v>621</v>
      </c>
      <c r="E10" s="75">
        <v>-103.5</v>
      </c>
      <c r="F10" s="75"/>
      <c r="G10" s="75">
        <v>-103.5</v>
      </c>
      <c r="H10" s="75">
        <f t="shared" si="0"/>
        <v>-14021.98</v>
      </c>
    </row>
    <row r="11" spans="1:8">
      <c r="A11" s="85">
        <v>45385</v>
      </c>
      <c r="B11" s="97" t="s">
        <v>67</v>
      </c>
      <c r="C11" s="97" t="s">
        <v>315</v>
      </c>
      <c r="D11" s="75"/>
      <c r="E11" s="75">
        <v>-150</v>
      </c>
      <c r="F11" s="75"/>
      <c r="G11" s="75">
        <v>-197.34</v>
      </c>
      <c r="H11" s="75">
        <f t="shared" si="0"/>
        <v>-14219.32</v>
      </c>
    </row>
    <row r="12" spans="1:8">
      <c r="A12" s="154">
        <v>45385</v>
      </c>
      <c r="B12" s="166" t="s">
        <v>61</v>
      </c>
      <c r="D12" s="75"/>
      <c r="E12" s="75">
        <f>E97</f>
        <v>-6501.46</v>
      </c>
      <c r="F12" s="75"/>
      <c r="G12" s="75">
        <f>E12</f>
        <v>-6501.46</v>
      </c>
      <c r="H12" s="75">
        <f t="shared" si="0"/>
        <v>-20720.78</v>
      </c>
    </row>
    <row r="13" spans="1:8">
      <c r="A13" s="85">
        <v>45386</v>
      </c>
      <c r="B13" s="166" t="s">
        <v>60</v>
      </c>
      <c r="D13" s="75"/>
      <c r="E13" s="75">
        <f>E65</f>
        <v>-6693.55</v>
      </c>
      <c r="F13" s="75"/>
      <c r="G13" s="75">
        <f>E13</f>
        <v>-6693.55</v>
      </c>
      <c r="H13" s="75">
        <f t="shared" si="0"/>
        <v>-27414.329999999998</v>
      </c>
    </row>
    <row r="14" spans="1:8">
      <c r="A14" s="85">
        <v>45386</v>
      </c>
      <c r="B14" s="8" t="s">
        <v>622</v>
      </c>
      <c r="D14" s="175">
        <v>15000</v>
      </c>
      <c r="F14" s="75">
        <v>15000</v>
      </c>
      <c r="H14" s="75">
        <f t="shared" si="0"/>
        <v>-12414.329999999998</v>
      </c>
    </row>
    <row r="15" spans="1:8">
      <c r="A15" s="154">
        <v>45387</v>
      </c>
      <c r="B15" s="166" t="s">
        <v>623</v>
      </c>
      <c r="D15" s="75"/>
      <c r="E15" s="75"/>
      <c r="F15" s="75">
        <v>3000</v>
      </c>
      <c r="H15" s="75">
        <f t="shared" si="0"/>
        <v>-9414.3299999999981</v>
      </c>
    </row>
    <row r="16" spans="1:8">
      <c r="A16" s="96">
        <v>45389</v>
      </c>
      <c r="B16" s="97" t="s">
        <v>624</v>
      </c>
      <c r="C16" s="97"/>
      <c r="E16" s="75">
        <v>-5375</v>
      </c>
      <c r="F16" s="75"/>
      <c r="G16" s="75">
        <f>E16</f>
        <v>-5375</v>
      </c>
      <c r="H16" s="75">
        <f t="shared" si="0"/>
        <v>-14789.329999999998</v>
      </c>
    </row>
    <row r="17" spans="1:8">
      <c r="A17" s="96">
        <v>45389</v>
      </c>
      <c r="B17" s="97" t="s">
        <v>624</v>
      </c>
      <c r="C17" s="97"/>
      <c r="E17" s="75">
        <v>-2125</v>
      </c>
      <c r="F17" s="75"/>
      <c r="G17" s="75">
        <f>E17</f>
        <v>-2125</v>
      </c>
      <c r="H17" s="75">
        <f t="shared" si="0"/>
        <v>-16914.329999999998</v>
      </c>
    </row>
    <row r="18" spans="1:8">
      <c r="B18" t="s">
        <v>386</v>
      </c>
      <c r="D18" s="75"/>
      <c r="E18" s="75">
        <v>-10000</v>
      </c>
      <c r="F18" s="75"/>
      <c r="G18" s="75">
        <f>E18</f>
        <v>-10000</v>
      </c>
      <c r="H18" s="75">
        <f t="shared" si="0"/>
        <v>-26914.329999999998</v>
      </c>
    </row>
    <row r="19" spans="1:8">
      <c r="A19" s="85">
        <v>45397</v>
      </c>
      <c r="B19" s="166" t="s">
        <v>64</v>
      </c>
      <c r="D19" s="75"/>
      <c r="E19" s="75">
        <f>E60*-1</f>
        <v>-286.72000000000003</v>
      </c>
      <c r="F19" s="75"/>
      <c r="G19" s="75">
        <f>E19</f>
        <v>-286.72000000000003</v>
      </c>
      <c r="H19" s="75">
        <f t="shared" si="0"/>
        <v>-27201.05</v>
      </c>
    </row>
    <row r="20" spans="1:8">
      <c r="A20" s="85">
        <v>45397</v>
      </c>
      <c r="B20" s="97" t="s">
        <v>447</v>
      </c>
      <c r="D20" s="75"/>
      <c r="E20" s="75"/>
      <c r="F20" s="75"/>
      <c r="G20" s="75">
        <v>-55</v>
      </c>
      <c r="H20" s="75">
        <f t="shared" si="0"/>
        <v>-27256.05</v>
      </c>
    </row>
    <row r="21" spans="1:8">
      <c r="A21" s="85">
        <v>45397</v>
      </c>
      <c r="B21" s="97" t="s">
        <v>625</v>
      </c>
      <c r="D21" s="75"/>
      <c r="E21" s="75"/>
      <c r="F21" s="75">
        <v>85000</v>
      </c>
      <c r="G21" s="75"/>
      <c r="H21" s="75">
        <f t="shared" si="0"/>
        <v>57743.95</v>
      </c>
    </row>
    <row r="22" spans="1:8">
      <c r="A22" s="93">
        <v>45398</v>
      </c>
      <c r="B22" s="102" t="s">
        <v>65</v>
      </c>
      <c r="C22" s="102" t="s">
        <v>626</v>
      </c>
      <c r="D22" s="75"/>
      <c r="E22" s="75">
        <v>-300</v>
      </c>
      <c r="F22" s="75"/>
      <c r="G22" s="75">
        <v>-636</v>
      </c>
      <c r="H22" s="75">
        <f t="shared" si="0"/>
        <v>57107.95</v>
      </c>
    </row>
    <row r="23" spans="1:8">
      <c r="A23" s="93">
        <v>45398</v>
      </c>
      <c r="B23" s="102" t="s">
        <v>66</v>
      </c>
      <c r="C23" s="102" t="s">
        <v>315</v>
      </c>
      <c r="D23" s="75"/>
      <c r="E23" s="75">
        <v>-100</v>
      </c>
      <c r="F23" s="75"/>
      <c r="G23" s="75">
        <v>0</v>
      </c>
      <c r="H23" s="75">
        <f t="shared" si="0"/>
        <v>57107.95</v>
      </c>
    </row>
    <row r="24" spans="1:8">
      <c r="A24" s="85">
        <v>45401</v>
      </c>
      <c r="B24" s="8" t="s">
        <v>627</v>
      </c>
      <c r="D24" s="75"/>
      <c r="E24" s="75"/>
      <c r="F24" s="75"/>
      <c r="G24" s="75">
        <v>-3592.17</v>
      </c>
      <c r="H24" s="75">
        <f t="shared" si="0"/>
        <v>53515.78</v>
      </c>
    </row>
    <row r="25" spans="1:8">
      <c r="A25" s="85">
        <v>45404</v>
      </c>
      <c r="B25" s="8" t="s">
        <v>628</v>
      </c>
      <c r="C25" s="8" t="s">
        <v>145</v>
      </c>
      <c r="D25" s="75"/>
      <c r="E25" s="75"/>
      <c r="F25" s="75">
        <v>1000</v>
      </c>
      <c r="G25" s="75"/>
      <c r="H25" s="75">
        <f t="shared" si="0"/>
        <v>54515.78</v>
      </c>
    </row>
    <row r="26" spans="1:8">
      <c r="A26" s="85"/>
      <c r="B26" s="8" t="s">
        <v>628</v>
      </c>
      <c r="C26" s="8" t="s">
        <v>145</v>
      </c>
      <c r="D26" s="75"/>
      <c r="E26" s="75"/>
      <c r="F26" s="75">
        <v>50000</v>
      </c>
      <c r="G26" s="75"/>
      <c r="H26" s="75">
        <f t="shared" si="0"/>
        <v>104515.78</v>
      </c>
    </row>
    <row r="27" spans="1:8">
      <c r="A27" s="85"/>
      <c r="B27" s="8" t="s">
        <v>628</v>
      </c>
      <c r="C27" s="8" t="s">
        <v>629</v>
      </c>
      <c r="D27" s="75"/>
      <c r="E27" s="75"/>
      <c r="F27" s="75">
        <v>33000</v>
      </c>
      <c r="G27" s="75"/>
      <c r="H27" s="75">
        <f t="shared" si="0"/>
        <v>137515.78</v>
      </c>
    </row>
    <row r="28" spans="1:8">
      <c r="A28" s="85"/>
      <c r="B28" s="8" t="s">
        <v>628</v>
      </c>
      <c r="C28" s="8" t="s">
        <v>145</v>
      </c>
      <c r="D28" s="75"/>
      <c r="E28" s="75"/>
      <c r="F28" s="75">
        <v>120000</v>
      </c>
      <c r="G28" s="75"/>
      <c r="H28" s="75">
        <f t="shared" si="0"/>
        <v>257515.78</v>
      </c>
    </row>
    <row r="29" spans="1:8">
      <c r="A29" s="85"/>
      <c r="B29" s="8" t="s">
        <v>630</v>
      </c>
      <c r="D29" s="75"/>
      <c r="E29" s="75"/>
      <c r="F29" s="75"/>
      <c r="G29" s="75">
        <v>-24000</v>
      </c>
      <c r="H29" s="75">
        <f t="shared" si="0"/>
        <v>233515.78</v>
      </c>
    </row>
    <row r="30" spans="1:8">
      <c r="A30" s="85"/>
      <c r="D30" s="75"/>
      <c r="E30" s="75"/>
      <c r="F30" s="75"/>
      <c r="G30" s="75"/>
      <c r="H30" s="75">
        <f t="shared" si="0"/>
        <v>233515.78</v>
      </c>
    </row>
    <row r="31" spans="1:8">
      <c r="A31" s="85"/>
      <c r="D31" s="75"/>
      <c r="E31" s="75"/>
      <c r="F31" s="75"/>
      <c r="G31" s="75"/>
      <c r="H31" s="75">
        <f t="shared" si="0"/>
        <v>233515.78</v>
      </c>
    </row>
    <row r="32" spans="1:8">
      <c r="A32" s="85"/>
      <c r="D32" s="75"/>
      <c r="E32" s="75"/>
      <c r="F32" s="75"/>
      <c r="G32" s="75"/>
      <c r="H32" s="75">
        <f t="shared" si="0"/>
        <v>233515.78</v>
      </c>
    </row>
    <row r="33" spans="1:8">
      <c r="A33" s="85"/>
      <c r="H33" s="75">
        <f t="shared" si="0"/>
        <v>233515.78</v>
      </c>
    </row>
    <row r="34" spans="1:8">
      <c r="A34" s="85">
        <v>45414</v>
      </c>
      <c r="B34" s="97" t="s">
        <v>72</v>
      </c>
      <c r="C34" s="97"/>
      <c r="E34" s="75">
        <v>-400</v>
      </c>
      <c r="F34" s="60"/>
      <c r="H34" s="75">
        <f t="shared" si="0"/>
        <v>233515.78</v>
      </c>
    </row>
    <row r="35" spans="1:8">
      <c r="A35" s="85">
        <v>45414</v>
      </c>
      <c r="B35" s="97" t="s">
        <v>73</v>
      </c>
      <c r="C35" s="97"/>
      <c r="E35" s="75">
        <v>-500</v>
      </c>
      <c r="H35" s="75">
        <f t="shared" si="0"/>
        <v>233515.78</v>
      </c>
    </row>
    <row r="36" spans="1:8">
      <c r="H36" s="75">
        <f t="shared" si="0"/>
        <v>233515.78</v>
      </c>
    </row>
    <row r="37" spans="1:8">
      <c r="B37" t="s">
        <v>69</v>
      </c>
      <c r="D37" s="75"/>
      <c r="E37" s="75"/>
      <c r="F37" s="75"/>
      <c r="G37" s="75"/>
      <c r="H37" s="75">
        <f t="shared" si="0"/>
        <v>233515.78</v>
      </c>
    </row>
    <row r="38" spans="1:8">
      <c r="B38" t="s">
        <v>631</v>
      </c>
      <c r="D38" s="75"/>
      <c r="E38" s="75">
        <v>-5000</v>
      </c>
      <c r="F38" s="75"/>
      <c r="G38" s="75">
        <v>-6704</v>
      </c>
      <c r="H38" s="75">
        <f t="shared" si="0"/>
        <v>226811.78</v>
      </c>
    </row>
    <row r="39" spans="1:8">
      <c r="B39" t="s">
        <v>632</v>
      </c>
      <c r="D39" s="75"/>
      <c r="E39" s="75">
        <v>-5000</v>
      </c>
      <c r="F39" s="75"/>
      <c r="G39" s="75">
        <v>-6704</v>
      </c>
      <c r="H39" s="75">
        <f t="shared" si="0"/>
        <v>220107.78</v>
      </c>
    </row>
    <row r="40" spans="1:8">
      <c r="B40" t="s">
        <v>71</v>
      </c>
      <c r="D40" s="75"/>
      <c r="E40" s="75">
        <v>-5000</v>
      </c>
      <c r="F40" s="75"/>
      <c r="G40" s="75"/>
      <c r="H40" s="75">
        <f t="shared" si="0"/>
        <v>220107.78</v>
      </c>
    </row>
    <row r="41" spans="1:8">
      <c r="B41" t="s">
        <v>68</v>
      </c>
      <c r="D41" s="75">
        <v>10000</v>
      </c>
      <c r="E41" s="75"/>
      <c r="F41" s="75">
        <v>10427.620000000001</v>
      </c>
      <c r="G41" s="75"/>
      <c r="H41" s="75">
        <f t="shared" si="0"/>
        <v>230535.4</v>
      </c>
    </row>
    <row r="42" spans="1:8">
      <c r="A42" s="96"/>
      <c r="B42" s="8" t="s">
        <v>633</v>
      </c>
      <c r="D42" s="75">
        <v>15000</v>
      </c>
      <c r="E42" s="75"/>
      <c r="F42" s="75">
        <v>15000</v>
      </c>
      <c r="G42" s="75"/>
      <c r="H42" s="75">
        <f t="shared" si="0"/>
        <v>245535.4</v>
      </c>
    </row>
    <row r="43" spans="1:8">
      <c r="H43" s="75">
        <f t="shared" si="0"/>
        <v>245535.4</v>
      </c>
    </row>
    <row r="44" spans="1:8">
      <c r="H44" s="75">
        <f t="shared" si="0"/>
        <v>245535.4</v>
      </c>
    </row>
    <row r="45" spans="1:8">
      <c r="A45" s="176">
        <v>45322</v>
      </c>
      <c r="B45" s="22" t="s">
        <v>634</v>
      </c>
      <c r="C45" s="177"/>
      <c r="D45" s="177"/>
      <c r="H45" s="75">
        <f t="shared" si="0"/>
        <v>245535.4</v>
      </c>
    </row>
    <row r="46" spans="1:8">
      <c r="A46" s="85"/>
      <c r="C46" s="120"/>
      <c r="D46" s="120"/>
    </row>
    <row r="47" spans="1:8">
      <c r="A47" s="85"/>
      <c r="C47" s="120"/>
      <c r="D47" s="120"/>
    </row>
    <row r="48" spans="1:8">
      <c r="A48" s="85"/>
      <c r="C48" s="120"/>
      <c r="D48" s="120"/>
    </row>
    <row r="49" spans="1:5">
      <c r="A49" s="85"/>
      <c r="C49" s="120"/>
      <c r="D49" s="120"/>
    </row>
    <row r="51" spans="1:5">
      <c r="B51" t="s">
        <v>317</v>
      </c>
    </row>
    <row r="52" spans="1:5">
      <c r="A52" s="99" t="s">
        <v>318</v>
      </c>
      <c r="B52" s="99"/>
      <c r="C52" s="99"/>
    </row>
    <row r="53" spans="1:5">
      <c r="A53" s="96"/>
      <c r="C53" s="160"/>
    </row>
    <row r="54" spans="1:5">
      <c r="A54" s="161">
        <v>44929</v>
      </c>
      <c r="B54" s="162" t="s">
        <v>319</v>
      </c>
      <c r="C54" s="99"/>
      <c r="D54" s="74">
        <f>SUM(D55:D60)</f>
        <v>4514.12</v>
      </c>
      <c r="E54" s="74">
        <f>SUM(E55:E60)</f>
        <v>4437.22</v>
      </c>
    </row>
    <row r="55" spans="1:5">
      <c r="A55" s="96"/>
      <c r="B55" s="102" t="s">
        <v>320</v>
      </c>
      <c r="D55" s="74">
        <v>874.44</v>
      </c>
      <c r="E55" s="74">
        <v>800</v>
      </c>
    </row>
    <row r="56" spans="1:5">
      <c r="B56" t="s">
        <v>321</v>
      </c>
      <c r="D56" s="74">
        <v>1078.92</v>
      </c>
      <c r="E56" s="74">
        <v>1079</v>
      </c>
    </row>
    <row r="57" spans="1:5">
      <c r="B57" t="s">
        <v>322</v>
      </c>
      <c r="D57" s="74">
        <v>173.45</v>
      </c>
      <c r="E57" s="74">
        <v>172.5</v>
      </c>
    </row>
    <row r="58" spans="1:5">
      <c r="B58" t="s">
        <v>323</v>
      </c>
      <c r="C58" t="s">
        <v>635</v>
      </c>
      <c r="D58" s="74">
        <v>1774</v>
      </c>
      <c r="E58" s="74">
        <v>1774</v>
      </c>
    </row>
    <row r="59" spans="1:5">
      <c r="B59" t="s">
        <v>324</v>
      </c>
      <c r="D59" s="74">
        <v>326.58999999999997</v>
      </c>
      <c r="E59" s="74">
        <v>325</v>
      </c>
    </row>
    <row r="60" spans="1:5">
      <c r="B60" t="s">
        <v>325</v>
      </c>
      <c r="C60" s="102"/>
      <c r="D60" s="74">
        <v>286.72000000000003</v>
      </c>
      <c r="E60" s="74">
        <f>D60</f>
        <v>286.72000000000003</v>
      </c>
    </row>
    <row r="61" spans="1:5">
      <c r="C61" s="102"/>
    </row>
    <row r="63" spans="1:5">
      <c r="B63" s="14"/>
    </row>
    <row r="64" spans="1:5">
      <c r="B64" s="98"/>
    </row>
    <row r="65" spans="1:5">
      <c r="A65" s="99"/>
      <c r="B65" s="100" t="s">
        <v>75</v>
      </c>
      <c r="C65" s="99"/>
      <c r="E65" s="74">
        <f>SUM(E66:E91)</f>
        <v>-6693.55</v>
      </c>
    </row>
    <row r="67" spans="1:5">
      <c r="A67" s="96">
        <v>45187</v>
      </c>
      <c r="B67" s="102" t="s">
        <v>552</v>
      </c>
      <c r="C67" s="102">
        <v>7648.33</v>
      </c>
      <c r="D67" s="74" t="s">
        <v>387</v>
      </c>
      <c r="E67" s="74">
        <v>-849.81</v>
      </c>
    </row>
    <row r="68" spans="1:5">
      <c r="A68" s="85">
        <v>45348</v>
      </c>
      <c r="B68" s="8" t="s">
        <v>430</v>
      </c>
      <c r="C68">
        <v>1406</v>
      </c>
      <c r="D68" s="74" t="s">
        <v>636</v>
      </c>
      <c r="E68" s="74">
        <v>-234.33</v>
      </c>
    </row>
    <row r="69" spans="1:5">
      <c r="A69" s="85">
        <v>45358</v>
      </c>
      <c r="B69" s="8" t="s">
        <v>433</v>
      </c>
      <c r="C69">
        <v>2273</v>
      </c>
      <c r="D69" s="74" t="s">
        <v>636</v>
      </c>
      <c r="E69" s="74">
        <v>-378.87</v>
      </c>
    </row>
    <row r="70" spans="1:5">
      <c r="A70" s="85">
        <v>45371</v>
      </c>
      <c r="B70" s="8" t="s">
        <v>434</v>
      </c>
      <c r="D70" s="74" t="s">
        <v>637</v>
      </c>
      <c r="E70" s="74">
        <v>101.77</v>
      </c>
    </row>
    <row r="71" spans="1:5">
      <c r="A71" s="85">
        <v>45373</v>
      </c>
      <c r="B71" s="8" t="s">
        <v>326</v>
      </c>
      <c r="C71">
        <v>10176.39</v>
      </c>
      <c r="D71" s="74" t="s">
        <v>638</v>
      </c>
      <c r="E71" s="74">
        <v>-1130.71</v>
      </c>
    </row>
    <row r="72" spans="1:5">
      <c r="A72" s="85">
        <v>45375</v>
      </c>
      <c r="B72" s="8" t="s">
        <v>328</v>
      </c>
      <c r="C72">
        <v>5999</v>
      </c>
      <c r="D72" s="74" t="s">
        <v>638</v>
      </c>
      <c r="E72" s="74">
        <v>-666.56</v>
      </c>
    </row>
    <row r="73" spans="1:5">
      <c r="A73" s="85"/>
    </row>
    <row r="74" spans="1:5">
      <c r="A74" s="85">
        <v>45347</v>
      </c>
      <c r="B74" s="8" t="s">
        <v>639</v>
      </c>
      <c r="E74" s="74">
        <v>-343</v>
      </c>
    </row>
    <row r="75" spans="1:5">
      <c r="A75" s="96">
        <v>45348</v>
      </c>
      <c r="B75" s="102" t="s">
        <v>640</v>
      </c>
      <c r="C75" s="102"/>
      <c r="E75" s="74">
        <v>-150</v>
      </c>
    </row>
    <row r="76" spans="1:5">
      <c r="A76" s="96">
        <v>45351</v>
      </c>
      <c r="B76" s="102" t="s">
        <v>126</v>
      </c>
      <c r="C76" s="90">
        <f>E76</f>
        <v>-86.95</v>
      </c>
      <c r="E76" s="74">
        <v>-86.95</v>
      </c>
    </row>
    <row r="77" spans="1:5">
      <c r="A77" s="96">
        <v>45353</v>
      </c>
      <c r="B77" s="103" t="s">
        <v>171</v>
      </c>
      <c r="C77" s="102"/>
      <c r="E77" s="74">
        <v>-500</v>
      </c>
    </row>
    <row r="78" spans="1:5">
      <c r="A78" s="96">
        <v>45353</v>
      </c>
      <c r="B78" s="103" t="s">
        <v>641</v>
      </c>
      <c r="C78" s="102"/>
      <c r="E78" s="74">
        <v>-600</v>
      </c>
    </row>
    <row r="79" spans="1:5">
      <c r="A79" s="96">
        <v>45354</v>
      </c>
      <c r="B79" s="103" t="s">
        <v>642</v>
      </c>
      <c r="C79" s="102"/>
      <c r="E79" s="74">
        <v>-330</v>
      </c>
    </row>
    <row r="80" spans="1:5">
      <c r="A80" s="96">
        <v>45355</v>
      </c>
      <c r="B80" s="103" t="s">
        <v>643</v>
      </c>
      <c r="C80" s="90">
        <f>E80</f>
        <v>-200</v>
      </c>
      <c r="E80" s="74">
        <v>-200</v>
      </c>
    </row>
    <row r="81" spans="1:5">
      <c r="A81" s="96">
        <v>45355</v>
      </c>
      <c r="B81" s="103" t="s">
        <v>516</v>
      </c>
      <c r="C81" s="102"/>
      <c r="E81" s="74">
        <v>-50</v>
      </c>
    </row>
    <row r="82" spans="1:5">
      <c r="A82" s="96">
        <v>45356</v>
      </c>
      <c r="B82" s="103" t="s">
        <v>643</v>
      </c>
      <c r="C82" s="90">
        <f>E82</f>
        <v>-200</v>
      </c>
      <c r="E82" s="74">
        <v>-200</v>
      </c>
    </row>
    <row r="83" spans="1:5">
      <c r="A83" s="96">
        <v>45357</v>
      </c>
      <c r="B83" s="103" t="s">
        <v>644</v>
      </c>
      <c r="C83" s="102"/>
      <c r="E83" s="74">
        <v>-160</v>
      </c>
    </row>
    <row r="84" spans="1:5">
      <c r="A84" s="96">
        <v>45357</v>
      </c>
      <c r="B84" s="103" t="s">
        <v>121</v>
      </c>
      <c r="C84" s="102">
        <v>6341.66</v>
      </c>
    </row>
    <row r="85" spans="1:5">
      <c r="A85" s="96">
        <v>45361</v>
      </c>
      <c r="B85" s="103" t="s">
        <v>401</v>
      </c>
      <c r="E85" s="74">
        <v>-294.14</v>
      </c>
    </row>
    <row r="86" spans="1:5">
      <c r="A86" s="96">
        <v>45358</v>
      </c>
      <c r="B86" s="103" t="s">
        <v>643</v>
      </c>
      <c r="C86" s="90">
        <f>E86</f>
        <v>-200</v>
      </c>
      <c r="E86" s="74">
        <v>-200</v>
      </c>
    </row>
    <row r="87" spans="1:5">
      <c r="A87" s="96"/>
      <c r="B87" s="103"/>
      <c r="C87" s="102"/>
      <c r="E87" s="74">
        <v>-3.05</v>
      </c>
    </row>
    <row r="88" spans="1:5">
      <c r="A88" s="96">
        <v>45376</v>
      </c>
      <c r="B88" s="103" t="s">
        <v>645</v>
      </c>
      <c r="C88" s="102"/>
      <c r="E88" s="74">
        <v>-874.19</v>
      </c>
    </row>
    <row r="89" spans="1:5">
      <c r="A89" s="96"/>
      <c r="B89" s="103"/>
      <c r="C89" s="102"/>
      <c r="E89" s="74">
        <v>-43.71</v>
      </c>
    </row>
    <row r="90" spans="1:5">
      <c r="A90" s="96">
        <v>45374</v>
      </c>
      <c r="B90" s="103" t="s">
        <v>646</v>
      </c>
      <c r="C90" s="102"/>
      <c r="E90" s="74">
        <v>500</v>
      </c>
    </row>
    <row r="91" spans="1:5" ht="15">
      <c r="A91" s="96">
        <v>45374</v>
      </c>
      <c r="B91" s="103" t="s">
        <v>646</v>
      </c>
      <c r="D91" s="101" t="s">
        <v>76</v>
      </c>
    </row>
    <row r="92" spans="1:5" ht="15">
      <c r="A92" s="96"/>
      <c r="B92" s="32" t="s">
        <v>410</v>
      </c>
      <c r="C92">
        <v>686.95</v>
      </c>
      <c r="D92" s="171"/>
    </row>
    <row r="93" spans="1:5" ht="15">
      <c r="A93" s="96"/>
      <c r="B93" s="103"/>
      <c r="D93" s="171"/>
    </row>
    <row r="94" spans="1:5" ht="15">
      <c r="A94" s="96"/>
      <c r="B94" s="103"/>
      <c r="D94" s="171"/>
    </row>
    <row r="95" spans="1:5" ht="15">
      <c r="A95" s="96"/>
      <c r="B95" s="103"/>
      <c r="D95" s="171"/>
    </row>
    <row r="96" spans="1:5">
      <c r="A96" s="96"/>
      <c r="B96" s="102"/>
      <c r="C96" s="102"/>
    </row>
    <row r="97" spans="1:6">
      <c r="A97" s="99"/>
      <c r="B97" s="100" t="s">
        <v>77</v>
      </c>
      <c r="C97" s="99"/>
      <c r="E97" s="74">
        <f>SUM(E98:E105)</f>
        <v>-6501.46</v>
      </c>
    </row>
    <row r="98" spans="1:6">
      <c r="A98" s="96"/>
      <c r="B98" s="102"/>
      <c r="C98" s="102"/>
    </row>
    <row r="99" spans="1:6">
      <c r="A99" s="154">
        <v>45214</v>
      </c>
      <c r="B99" s="8" t="s">
        <v>647</v>
      </c>
      <c r="D99" s="74" t="s">
        <v>648</v>
      </c>
      <c r="E99" s="74">
        <v>-600</v>
      </c>
    </row>
    <row r="100" spans="1:6">
      <c r="A100" s="154">
        <v>45285</v>
      </c>
      <c r="B100" s="102" t="s">
        <v>512</v>
      </c>
      <c r="C100" s="102"/>
      <c r="D100" s="74" t="s">
        <v>649</v>
      </c>
      <c r="E100" s="74">
        <v>-3551.66</v>
      </c>
      <c r="F100" s="74">
        <v>0</v>
      </c>
    </row>
    <row r="101" spans="1:6">
      <c r="A101" s="96"/>
      <c r="B101" s="3" t="s">
        <v>650</v>
      </c>
      <c r="C101" s="102"/>
      <c r="D101" s="74" t="s">
        <v>651</v>
      </c>
      <c r="E101" s="74">
        <v>-649.78</v>
      </c>
      <c r="F101" s="74">
        <v>0</v>
      </c>
    </row>
    <row r="102" spans="1:6">
      <c r="A102" s="96"/>
      <c r="B102" s="3" t="s">
        <v>470</v>
      </c>
      <c r="C102" s="102">
        <v>49.98</v>
      </c>
      <c r="D102" s="74" t="s">
        <v>651</v>
      </c>
      <c r="E102" s="74">
        <v>49.98</v>
      </c>
      <c r="F102" s="74">
        <v>0</v>
      </c>
    </row>
    <row r="103" spans="1:6">
      <c r="A103" s="96"/>
      <c r="B103" s="3"/>
      <c r="C103" s="102"/>
    </row>
    <row r="104" spans="1:6">
      <c r="A104" s="96">
        <v>45374</v>
      </c>
      <c r="B104" s="3" t="s">
        <v>652</v>
      </c>
      <c r="C104" s="102"/>
      <c r="E104" s="74">
        <v>-1750</v>
      </c>
    </row>
    <row r="105" spans="1:6" ht="15">
      <c r="A105" s="96"/>
      <c r="B105" s="3"/>
      <c r="C105" s="102"/>
      <c r="D105" s="101" t="s">
        <v>76</v>
      </c>
    </row>
    <row r="106" spans="1:6">
      <c r="A106" s="96"/>
      <c r="B106" s="3"/>
      <c r="C106" s="102"/>
    </row>
    <row r="107" spans="1:6">
      <c r="A107" s="96"/>
      <c r="B107" s="3"/>
      <c r="C107" s="102"/>
    </row>
    <row r="108" spans="1:6">
      <c r="A108" s="96"/>
      <c r="B108" s="3"/>
      <c r="C108" s="102"/>
    </row>
    <row r="109" spans="1:6">
      <c r="A109" s="96"/>
      <c r="B109" s="3"/>
      <c r="C109" s="102"/>
    </row>
    <row r="110" spans="1:6">
      <c r="A110" s="96"/>
      <c r="B110" s="3"/>
      <c r="C110" s="102"/>
    </row>
    <row r="111" spans="1:6">
      <c r="A111" s="109" t="s">
        <v>653</v>
      </c>
      <c r="B111" s="100" t="s">
        <v>128</v>
      </c>
      <c r="C111" s="99">
        <v>2024</v>
      </c>
      <c r="D111" s="147"/>
      <c r="E111" s="148">
        <f>SUM(E112:E126)</f>
        <v>774287.73659999995</v>
      </c>
    </row>
    <row r="112" spans="1:6">
      <c r="A112" s="149">
        <v>45383</v>
      </c>
      <c r="B112" s="8" t="s">
        <v>69</v>
      </c>
      <c r="C112" s="2"/>
      <c r="D112" s="2"/>
      <c r="E112" s="2">
        <v>64000</v>
      </c>
    </row>
    <row r="113" spans="1:5">
      <c r="A113" s="149">
        <f t="shared" ref="A113:A126" si="1">A112</f>
        <v>45383</v>
      </c>
      <c r="B113" s="8" t="s">
        <v>370</v>
      </c>
      <c r="C113" s="2"/>
      <c r="D113" s="2"/>
      <c r="E113" s="2">
        <v>150845</v>
      </c>
    </row>
    <row r="114" spans="1:5">
      <c r="A114" s="149">
        <f t="shared" si="1"/>
        <v>45383</v>
      </c>
      <c r="B114" s="8" t="s">
        <v>292</v>
      </c>
      <c r="C114" s="2"/>
      <c r="D114" s="2"/>
      <c r="E114" s="14">
        <v>6036.94</v>
      </c>
    </row>
    <row r="115" spans="1:5">
      <c r="A115" s="149">
        <f t="shared" si="1"/>
        <v>45383</v>
      </c>
      <c r="B115" s="8" t="s">
        <v>293</v>
      </c>
      <c r="C115" s="2"/>
      <c r="D115" s="2"/>
      <c r="E115" s="14">
        <v>0</v>
      </c>
    </row>
    <row r="116" spans="1:5">
      <c r="A116" s="149">
        <f t="shared" si="1"/>
        <v>45383</v>
      </c>
      <c r="B116" s="8" t="s">
        <v>489</v>
      </c>
      <c r="C116" s="2"/>
      <c r="D116" s="2"/>
      <c r="E116" s="14">
        <v>0</v>
      </c>
    </row>
    <row r="117" spans="1:5">
      <c r="A117" s="149">
        <f t="shared" si="1"/>
        <v>45383</v>
      </c>
      <c r="B117" s="8" t="s">
        <v>294</v>
      </c>
      <c r="C117" s="120"/>
      <c r="D117" s="2"/>
      <c r="E117" s="14">
        <v>0</v>
      </c>
    </row>
    <row r="118" spans="1:5">
      <c r="A118" s="149">
        <f t="shared" si="1"/>
        <v>45383</v>
      </c>
      <c r="B118" s="8" t="s">
        <v>228</v>
      </c>
      <c r="C118" s="2"/>
      <c r="D118" s="2"/>
      <c r="E118" s="14">
        <v>0</v>
      </c>
    </row>
    <row r="119" spans="1:5">
      <c r="A119" s="149">
        <f t="shared" si="1"/>
        <v>45383</v>
      </c>
      <c r="B119" s="8" t="s">
        <v>490</v>
      </c>
      <c r="C119" s="2" t="s">
        <v>654</v>
      </c>
      <c r="D119" s="2"/>
      <c r="E119" s="14">
        <v>110122</v>
      </c>
    </row>
    <row r="120" spans="1:5">
      <c r="A120" s="149">
        <f t="shared" si="1"/>
        <v>45383</v>
      </c>
      <c r="B120" s="8" t="s">
        <v>132</v>
      </c>
      <c r="C120" s="2"/>
      <c r="D120" s="2"/>
      <c r="E120" s="14">
        <v>450</v>
      </c>
    </row>
    <row r="121" spans="1:5">
      <c r="A121" s="149">
        <f t="shared" si="1"/>
        <v>45383</v>
      </c>
      <c r="B121" s="8" t="s">
        <v>494</v>
      </c>
      <c r="C121" s="2">
        <v>2308.9699999999998</v>
      </c>
      <c r="D121" s="2">
        <v>161</v>
      </c>
      <c r="E121" s="14">
        <f>D121*C121</f>
        <v>371744.17</v>
      </c>
    </row>
    <row r="122" spans="1:5">
      <c r="A122" s="149">
        <f t="shared" si="1"/>
        <v>45383</v>
      </c>
      <c r="B122" s="8" t="s">
        <v>587</v>
      </c>
      <c r="C122" s="151">
        <v>31.879300000000001</v>
      </c>
      <c r="D122" s="2">
        <v>850</v>
      </c>
      <c r="E122" s="14">
        <f>D122*C122</f>
        <v>27097.404999999999</v>
      </c>
    </row>
    <row r="123" spans="1:5">
      <c r="A123" s="149">
        <f t="shared" si="1"/>
        <v>45383</v>
      </c>
      <c r="B123" s="8" t="s">
        <v>496</v>
      </c>
      <c r="C123" s="151">
        <f>C122</f>
        <v>31.879300000000001</v>
      </c>
      <c r="D123" s="2">
        <v>250</v>
      </c>
      <c r="E123" s="14">
        <f>D123*C123</f>
        <v>7969.8249999999998</v>
      </c>
    </row>
    <row r="124" spans="1:5">
      <c r="A124" s="149">
        <f t="shared" si="1"/>
        <v>45383</v>
      </c>
      <c r="B124" s="8" t="s">
        <v>588</v>
      </c>
      <c r="C124" s="151">
        <v>34.394500000000001</v>
      </c>
      <c r="D124" s="2">
        <v>58.8</v>
      </c>
      <c r="E124" s="14">
        <f>D124*C124</f>
        <v>2022.3966</v>
      </c>
    </row>
    <row r="125" spans="1:5">
      <c r="A125" s="149">
        <f t="shared" si="1"/>
        <v>45383</v>
      </c>
      <c r="B125" s="8" t="s">
        <v>144</v>
      </c>
      <c r="C125" s="2"/>
      <c r="D125" s="2"/>
      <c r="E125" s="14">
        <v>30000</v>
      </c>
    </row>
    <row r="126" spans="1:5">
      <c r="A126" s="149">
        <f t="shared" si="1"/>
        <v>45383</v>
      </c>
      <c r="B126" s="8" t="s">
        <v>145</v>
      </c>
      <c r="C126" s="2"/>
      <c r="D126" s="2"/>
      <c r="E126" s="14">
        <v>4000</v>
      </c>
    </row>
    <row r="127" spans="1:5">
      <c r="E127" s="165"/>
    </row>
    <row r="128" spans="1:5">
      <c r="C128" s="120"/>
      <c r="D128" s="3"/>
      <c r="E128" s="120"/>
    </row>
    <row r="129" spans="3:5">
      <c r="C129" s="120"/>
      <c r="D129" s="15" t="s">
        <v>147</v>
      </c>
      <c r="E129" s="9">
        <f>SUM(E112:E126)</f>
        <v>774287.73659999995</v>
      </c>
    </row>
    <row r="130" spans="3:5">
      <c r="C130" s="121" t="str">
        <f>A111</f>
        <v>NİSANa</v>
      </c>
      <c r="D130" s="122" t="s">
        <v>148</v>
      </c>
      <c r="E130" s="123">
        <f>H2</f>
        <v>245535.4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2F0D9"/>
  </sheetPr>
  <dimension ref="A1:H131"/>
  <sheetViews>
    <sheetView topLeftCell="A69" zoomScale="170" zoomScaleNormal="170" workbookViewId="0">
      <selection activeCell="B84" sqref="B84"/>
    </sheetView>
  </sheetViews>
  <sheetFormatPr defaultColWidth="12.28515625" defaultRowHeight="12.75"/>
  <cols>
    <col min="1" max="1" width="12.140625" customWidth="1"/>
    <col min="2" max="2" width="35.85546875" customWidth="1"/>
    <col min="3" max="3" width="9.42578125" customWidth="1"/>
    <col min="4" max="4" width="11.5703125" style="98" customWidth="1"/>
    <col min="5" max="5" width="12.28515625" style="74"/>
    <col min="8" max="8" width="12.85546875" customWidth="1"/>
    <col min="1024" max="1024" width="9.140625" customWidth="1"/>
  </cols>
  <sheetData>
    <row r="1" spans="1:8">
      <c r="F1" s="178" t="s">
        <v>20</v>
      </c>
      <c r="G1" s="178" t="s">
        <v>21</v>
      </c>
      <c r="H1" s="178" t="s">
        <v>3</v>
      </c>
    </row>
    <row r="2" spans="1:8">
      <c r="B2" s="3" t="s">
        <v>655</v>
      </c>
      <c r="C2" s="76" t="s">
        <v>59</v>
      </c>
      <c r="D2" s="98">
        <f>SUM(D6:D27)</f>
        <v>12800</v>
      </c>
      <c r="E2" s="74">
        <f>SUM(E3:E29)</f>
        <v>-114592.82</v>
      </c>
      <c r="F2" s="74">
        <f>SUM(F3:F29)</f>
        <v>19667.489999999998</v>
      </c>
      <c r="G2" s="74">
        <f>SUM(G3:G29)</f>
        <v>-116144.16</v>
      </c>
      <c r="H2" s="74">
        <f>F2+G2</f>
        <v>-96476.670000000013</v>
      </c>
    </row>
    <row r="3" spans="1:8">
      <c r="B3" s="15"/>
      <c r="H3" s="74"/>
    </row>
    <row r="4" spans="1:8">
      <c r="B4" s="97" t="s">
        <v>656</v>
      </c>
      <c r="C4" s="97" t="s">
        <v>344</v>
      </c>
      <c r="E4" s="75">
        <v>-250</v>
      </c>
      <c r="H4" s="74">
        <f t="shared" ref="H4:H29" si="0">H3+F4+G4</f>
        <v>0</v>
      </c>
    </row>
    <row r="5" spans="1:8">
      <c r="A5" s="85">
        <v>45352</v>
      </c>
      <c r="B5" s="97" t="s">
        <v>657</v>
      </c>
      <c r="C5" s="97"/>
      <c r="E5" s="75">
        <v>-1500</v>
      </c>
      <c r="G5" s="75">
        <v>-1512.13</v>
      </c>
      <c r="H5" s="75">
        <f t="shared" si="0"/>
        <v>-1512.13</v>
      </c>
    </row>
    <row r="6" spans="1:8">
      <c r="A6" s="85">
        <v>45355</v>
      </c>
      <c r="B6" s="38" t="s">
        <v>416</v>
      </c>
      <c r="E6" s="75">
        <v>-152</v>
      </c>
      <c r="G6" s="75">
        <v>-166.9</v>
      </c>
      <c r="H6" s="75">
        <f t="shared" si="0"/>
        <v>-1679.0300000000002</v>
      </c>
    </row>
    <row r="7" spans="1:8">
      <c r="A7" s="85">
        <v>45356</v>
      </c>
      <c r="B7" s="8" t="s">
        <v>386</v>
      </c>
      <c r="E7" s="75">
        <v>-10000</v>
      </c>
      <c r="G7" s="75">
        <f>E7</f>
        <v>-10000</v>
      </c>
      <c r="H7" s="75">
        <f t="shared" si="0"/>
        <v>-11679.03</v>
      </c>
    </row>
    <row r="8" spans="1:8">
      <c r="A8" s="154">
        <v>45356</v>
      </c>
      <c r="B8" s="166" t="s">
        <v>61</v>
      </c>
      <c r="C8">
        <v>72000</v>
      </c>
      <c r="D8" s="175"/>
      <c r="E8" s="75">
        <f>E65</f>
        <v>-72173.5</v>
      </c>
      <c r="G8" s="75">
        <f>E8</f>
        <v>-72173.5</v>
      </c>
      <c r="H8" s="75">
        <f t="shared" si="0"/>
        <v>-83852.53</v>
      </c>
    </row>
    <row r="9" spans="1:8">
      <c r="A9" s="85">
        <v>45357</v>
      </c>
      <c r="B9" s="166" t="s">
        <v>60</v>
      </c>
      <c r="D9" s="175"/>
      <c r="E9" s="75">
        <f>E46</f>
        <v>-6341.6600000000008</v>
      </c>
      <c r="G9" s="75">
        <f>E9</f>
        <v>-6341.6600000000008</v>
      </c>
      <c r="H9" s="75">
        <f t="shared" si="0"/>
        <v>-90194.19</v>
      </c>
    </row>
    <row r="10" spans="1:8">
      <c r="A10" s="85">
        <v>45357</v>
      </c>
      <c r="B10" s="166" t="s">
        <v>658</v>
      </c>
      <c r="C10" s="8" t="s">
        <v>659</v>
      </c>
      <c r="D10" s="175"/>
      <c r="E10" s="75"/>
      <c r="G10" s="75">
        <v>-220.03</v>
      </c>
      <c r="H10" s="75">
        <f t="shared" si="0"/>
        <v>-90414.22</v>
      </c>
    </row>
    <row r="11" spans="1:8">
      <c r="A11" s="85">
        <v>45357</v>
      </c>
      <c r="B11" s="166" t="s">
        <v>658</v>
      </c>
      <c r="C11" s="8" t="s">
        <v>659</v>
      </c>
      <c r="D11" s="175"/>
      <c r="E11" s="75"/>
      <c r="G11" s="75">
        <v>-631.37</v>
      </c>
      <c r="H11" s="75">
        <f t="shared" si="0"/>
        <v>-91045.59</v>
      </c>
    </row>
    <row r="12" spans="1:8">
      <c r="A12" s="96">
        <v>45358</v>
      </c>
      <c r="B12" s="97" t="s">
        <v>660</v>
      </c>
      <c r="C12" s="97"/>
      <c r="D12" s="175"/>
      <c r="E12" s="75">
        <v>-5375</v>
      </c>
      <c r="G12" s="75">
        <f>E12</f>
        <v>-5375</v>
      </c>
      <c r="H12" s="75">
        <f t="shared" si="0"/>
        <v>-96420.59</v>
      </c>
    </row>
    <row r="13" spans="1:8">
      <c r="A13" s="96">
        <v>45358</v>
      </c>
      <c r="B13" s="97" t="s">
        <v>660</v>
      </c>
      <c r="C13" s="97"/>
      <c r="D13" s="175"/>
      <c r="E13" s="75">
        <v>-2125</v>
      </c>
      <c r="G13" s="75">
        <f>E13</f>
        <v>-2125</v>
      </c>
      <c r="H13" s="75">
        <f t="shared" si="0"/>
        <v>-98545.59</v>
      </c>
    </row>
    <row r="14" spans="1:8">
      <c r="A14" s="96">
        <v>45358</v>
      </c>
      <c r="B14" s="8" t="s">
        <v>661</v>
      </c>
      <c r="C14" s="97"/>
      <c r="D14" s="175"/>
      <c r="E14" s="75"/>
      <c r="F14">
        <v>6500</v>
      </c>
      <c r="G14" s="75"/>
      <c r="H14" s="75">
        <f t="shared" si="0"/>
        <v>-92045.59</v>
      </c>
    </row>
    <row r="15" spans="1:8">
      <c r="A15" s="85">
        <v>45359</v>
      </c>
      <c r="B15" s="97" t="s">
        <v>67</v>
      </c>
      <c r="C15" s="97"/>
      <c r="D15" s="175"/>
      <c r="E15" s="75">
        <v>-150</v>
      </c>
      <c r="G15" s="75">
        <v>-168.91</v>
      </c>
      <c r="H15" s="75">
        <f t="shared" si="0"/>
        <v>-92214.5</v>
      </c>
    </row>
    <row r="16" spans="1:8">
      <c r="A16" s="96">
        <v>45362</v>
      </c>
      <c r="B16" s="102" t="s">
        <v>64</v>
      </c>
      <c r="D16" s="175"/>
      <c r="E16" s="75">
        <f>E41*-1</f>
        <v>-225.66</v>
      </c>
      <c r="F16" s="60"/>
      <c r="G16" s="75">
        <f>-225.66</f>
        <v>-225.66</v>
      </c>
      <c r="H16" s="75">
        <f t="shared" si="0"/>
        <v>-92440.16</v>
      </c>
    </row>
    <row r="17" spans="1:8">
      <c r="A17" s="85">
        <v>45372</v>
      </c>
      <c r="B17" s="102" t="s">
        <v>65</v>
      </c>
      <c r="C17" s="102" t="s">
        <v>315</v>
      </c>
      <c r="D17" s="175"/>
      <c r="E17" s="75">
        <v>-300</v>
      </c>
      <c r="F17" s="60"/>
      <c r="G17" s="75">
        <v>-1083</v>
      </c>
      <c r="H17" s="75">
        <f t="shared" si="0"/>
        <v>-93523.16</v>
      </c>
    </row>
    <row r="18" spans="1:8">
      <c r="A18" s="85">
        <v>45372</v>
      </c>
      <c r="B18" s="102" t="s">
        <v>66</v>
      </c>
      <c r="C18" s="102" t="s">
        <v>315</v>
      </c>
      <c r="D18" s="175"/>
      <c r="E18" s="75">
        <v>-100</v>
      </c>
      <c r="F18" s="60"/>
      <c r="G18" s="75">
        <v>0</v>
      </c>
      <c r="H18" s="75">
        <f t="shared" si="0"/>
        <v>-93523.16</v>
      </c>
    </row>
    <row r="19" spans="1:8">
      <c r="A19" s="85">
        <v>45378</v>
      </c>
      <c r="B19" s="8" t="s">
        <v>68</v>
      </c>
      <c r="D19" s="175">
        <v>10000</v>
      </c>
      <c r="E19" s="75"/>
      <c r="F19" s="60">
        <v>10367.49</v>
      </c>
      <c r="G19" s="75"/>
      <c r="H19" s="75">
        <f t="shared" si="0"/>
        <v>-83155.67</v>
      </c>
    </row>
    <row r="20" spans="1:8">
      <c r="A20" s="85">
        <v>45378</v>
      </c>
      <c r="B20" s="8" t="s">
        <v>69</v>
      </c>
      <c r="D20" s="175"/>
      <c r="E20" s="75">
        <v>-5000</v>
      </c>
      <c r="F20" s="60"/>
      <c r="G20" s="75">
        <v>-5203</v>
      </c>
      <c r="H20" s="75">
        <f t="shared" si="0"/>
        <v>-88358.67</v>
      </c>
    </row>
    <row r="21" spans="1:8">
      <c r="A21" s="85"/>
      <c r="B21" s="8" t="s">
        <v>662</v>
      </c>
      <c r="D21" s="175"/>
      <c r="E21" s="75"/>
      <c r="F21" s="60"/>
      <c r="G21" s="75"/>
      <c r="H21" s="75">
        <f t="shared" si="0"/>
        <v>-88358.67</v>
      </c>
    </row>
    <row r="22" spans="1:8">
      <c r="A22" s="85">
        <v>45378</v>
      </c>
      <c r="B22" s="8" t="s">
        <v>70</v>
      </c>
      <c r="D22" s="175"/>
      <c r="E22" s="75">
        <v>-5000</v>
      </c>
      <c r="F22" s="60"/>
      <c r="G22" s="75">
        <v>-5203</v>
      </c>
      <c r="H22" s="75">
        <f t="shared" si="0"/>
        <v>-93561.67</v>
      </c>
    </row>
    <row r="23" spans="1:8">
      <c r="A23" s="85">
        <v>45378</v>
      </c>
      <c r="B23" s="8" t="s">
        <v>71</v>
      </c>
      <c r="D23" s="175"/>
      <c r="E23" s="75">
        <v>-5000</v>
      </c>
      <c r="F23" s="60"/>
      <c r="G23" s="75">
        <v>-5000</v>
      </c>
      <c r="H23" s="75">
        <f t="shared" si="0"/>
        <v>-98561.67</v>
      </c>
    </row>
    <row r="24" spans="1:8">
      <c r="A24" s="96">
        <v>45380</v>
      </c>
      <c r="B24" s="8" t="s">
        <v>663</v>
      </c>
      <c r="D24" s="175">
        <v>2800</v>
      </c>
      <c r="E24" s="75"/>
      <c r="F24" s="60">
        <v>2800</v>
      </c>
      <c r="G24" s="75"/>
      <c r="H24" s="75">
        <f t="shared" si="0"/>
        <v>-95761.67</v>
      </c>
    </row>
    <row r="25" spans="1:8">
      <c r="A25" s="85">
        <v>45380</v>
      </c>
      <c r="B25" s="97" t="s">
        <v>72</v>
      </c>
      <c r="C25" s="97"/>
      <c r="D25" s="175"/>
      <c r="E25" s="75">
        <v>-400</v>
      </c>
      <c r="G25" s="75">
        <v>-255</v>
      </c>
      <c r="H25" s="75">
        <f t="shared" si="0"/>
        <v>-96016.67</v>
      </c>
    </row>
    <row r="26" spans="1:8">
      <c r="A26" s="85">
        <v>45380</v>
      </c>
      <c r="B26" s="97" t="s">
        <v>73</v>
      </c>
      <c r="C26" s="97"/>
      <c r="D26" s="175"/>
      <c r="E26" s="75">
        <v>-500</v>
      </c>
      <c r="G26" s="75">
        <v>-460</v>
      </c>
      <c r="H26" s="75">
        <f t="shared" si="0"/>
        <v>-96476.67</v>
      </c>
    </row>
    <row r="27" spans="1:8">
      <c r="F27" s="152"/>
      <c r="G27" s="75"/>
      <c r="H27" s="75">
        <f t="shared" si="0"/>
        <v>-96476.67</v>
      </c>
    </row>
    <row r="28" spans="1:8">
      <c r="A28" s="179"/>
      <c r="G28" s="75"/>
      <c r="H28" s="75">
        <f t="shared" si="0"/>
        <v>-96476.67</v>
      </c>
    </row>
    <row r="29" spans="1:8">
      <c r="A29" s="146"/>
      <c r="E29" s="180"/>
      <c r="F29" s="60"/>
      <c r="G29" s="75"/>
      <c r="H29" s="75">
        <f t="shared" si="0"/>
        <v>-96476.67</v>
      </c>
    </row>
    <row r="30" spans="1:8">
      <c r="A30" s="181"/>
      <c r="F30" s="60"/>
      <c r="G30" s="74"/>
      <c r="H30" s="75"/>
    </row>
    <row r="31" spans="1:8">
      <c r="G31" s="60"/>
      <c r="H31" s="60"/>
    </row>
    <row r="32" spans="1:8">
      <c r="B32" t="s">
        <v>317</v>
      </c>
      <c r="G32" s="60"/>
      <c r="H32" s="60"/>
    </row>
    <row r="33" spans="1:8">
      <c r="A33" s="99"/>
      <c r="B33" s="99" t="s">
        <v>318</v>
      </c>
      <c r="C33" s="99"/>
      <c r="G33" s="60"/>
      <c r="H33" s="60"/>
    </row>
    <row r="34" spans="1:8">
      <c r="A34" s="96"/>
      <c r="C34" s="160"/>
      <c r="H34" s="60"/>
    </row>
    <row r="35" spans="1:8">
      <c r="A35" s="161">
        <v>44929</v>
      </c>
      <c r="B35" s="162" t="s">
        <v>319</v>
      </c>
      <c r="C35" s="99"/>
      <c r="D35" s="98">
        <f>SUM(D36:D41)</f>
        <v>5343.55</v>
      </c>
      <c r="E35" s="74">
        <f>SUM(E36:E41)</f>
        <v>5345.7999999999993</v>
      </c>
      <c r="H35" s="60"/>
    </row>
    <row r="36" spans="1:8">
      <c r="A36" s="96"/>
      <c r="B36" s="102" t="s">
        <v>320</v>
      </c>
      <c r="D36" s="98">
        <v>967.68</v>
      </c>
      <c r="E36" s="75">
        <v>970</v>
      </c>
      <c r="H36" s="60"/>
    </row>
    <row r="37" spans="1:8">
      <c r="B37" t="s">
        <v>664</v>
      </c>
      <c r="C37" t="s">
        <v>420</v>
      </c>
      <c r="D37" s="98">
        <v>1224.42</v>
      </c>
      <c r="E37" s="75">
        <v>1225</v>
      </c>
      <c r="F37" s="60"/>
      <c r="G37" s="60"/>
    </row>
    <row r="38" spans="1:8">
      <c r="B38" t="s">
        <v>322</v>
      </c>
      <c r="D38" s="98">
        <v>237.14</v>
      </c>
      <c r="E38" s="75">
        <v>237.14</v>
      </c>
      <c r="F38" s="60"/>
      <c r="G38" s="60"/>
    </row>
    <row r="39" spans="1:8">
      <c r="B39" t="s">
        <v>665</v>
      </c>
      <c r="D39" s="98">
        <v>2248.8000000000002</v>
      </c>
      <c r="E39" s="75">
        <v>2248</v>
      </c>
      <c r="F39" s="60"/>
      <c r="G39" s="60"/>
    </row>
    <row r="40" spans="1:8">
      <c r="B40" t="s">
        <v>324</v>
      </c>
      <c r="D40" s="98">
        <v>439.85</v>
      </c>
      <c r="E40" s="75">
        <v>440</v>
      </c>
      <c r="F40" s="60"/>
      <c r="G40" s="60"/>
    </row>
    <row r="41" spans="1:8">
      <c r="B41" t="s">
        <v>325</v>
      </c>
      <c r="C41" s="102"/>
      <c r="D41" s="102">
        <v>225.66</v>
      </c>
      <c r="E41" s="75">
        <v>225.66</v>
      </c>
      <c r="F41" s="60"/>
      <c r="G41" s="60"/>
    </row>
    <row r="42" spans="1:8">
      <c r="C42" s="102"/>
      <c r="F42" s="60"/>
      <c r="G42" s="60"/>
    </row>
    <row r="44" spans="1:8">
      <c r="B44" s="14"/>
    </row>
    <row r="45" spans="1:8">
      <c r="B45" s="98"/>
    </row>
    <row r="46" spans="1:8">
      <c r="A46" s="99"/>
      <c r="B46" s="100" t="s">
        <v>75</v>
      </c>
      <c r="C46" s="99"/>
      <c r="E46" s="182">
        <f>SUM(E47:E60)</f>
        <v>-6341.6600000000008</v>
      </c>
    </row>
    <row r="47" spans="1:8">
      <c r="A47" s="96">
        <v>45187</v>
      </c>
      <c r="B47" s="102" t="s">
        <v>552</v>
      </c>
      <c r="C47" s="102">
        <v>7648.33</v>
      </c>
      <c r="D47" s="98" t="s">
        <v>666</v>
      </c>
      <c r="E47" s="74">
        <v>-849.81</v>
      </c>
      <c r="G47" s="60"/>
      <c r="H47" s="60"/>
    </row>
    <row r="48" spans="1:8">
      <c r="A48" s="96">
        <v>45187</v>
      </c>
      <c r="B48" s="102" t="s">
        <v>667</v>
      </c>
      <c r="C48" s="102">
        <v>11128</v>
      </c>
      <c r="D48" s="98" t="s">
        <v>431</v>
      </c>
      <c r="E48" s="74">
        <v>-1854.65</v>
      </c>
      <c r="F48" s="60"/>
      <c r="G48" s="60"/>
      <c r="H48" s="60"/>
    </row>
    <row r="49" spans="1:8">
      <c r="A49" s="85">
        <v>45325</v>
      </c>
      <c r="B49" s="8" t="s">
        <v>401</v>
      </c>
      <c r="E49" s="74">
        <v>-453.4</v>
      </c>
      <c r="G49" s="60"/>
      <c r="H49" s="60"/>
    </row>
    <row r="50" spans="1:8">
      <c r="A50" s="85">
        <v>45326</v>
      </c>
      <c r="B50" s="8" t="s">
        <v>668</v>
      </c>
      <c r="E50" s="74">
        <v>-300</v>
      </c>
      <c r="G50" s="60"/>
      <c r="H50" s="60"/>
    </row>
    <row r="51" spans="1:8">
      <c r="A51" s="85">
        <v>45327</v>
      </c>
      <c r="B51" s="8" t="s">
        <v>121</v>
      </c>
      <c r="C51">
        <v>3900.57</v>
      </c>
      <c r="G51" s="60"/>
      <c r="H51" s="60"/>
    </row>
    <row r="52" spans="1:8">
      <c r="A52" s="85">
        <v>45330</v>
      </c>
      <c r="B52" s="8" t="s">
        <v>669</v>
      </c>
      <c r="E52" s="74">
        <v>-900</v>
      </c>
      <c r="G52" s="60"/>
      <c r="H52" s="60"/>
    </row>
    <row r="53" spans="1:8">
      <c r="A53" s="85">
        <v>45330</v>
      </c>
      <c r="B53" s="8" t="s">
        <v>670</v>
      </c>
      <c r="E53" s="74">
        <v>-116.38</v>
      </c>
      <c r="G53" s="60"/>
      <c r="H53" s="60"/>
    </row>
    <row r="54" spans="1:8">
      <c r="A54" s="96">
        <v>45331</v>
      </c>
      <c r="B54" s="102" t="s">
        <v>643</v>
      </c>
      <c r="C54" s="102"/>
      <c r="E54" s="74">
        <v>-100</v>
      </c>
      <c r="F54" s="60"/>
      <c r="G54" s="60"/>
      <c r="H54" s="60"/>
    </row>
    <row r="55" spans="1:8">
      <c r="A55" s="96">
        <v>45331</v>
      </c>
      <c r="B55" s="102" t="s">
        <v>671</v>
      </c>
      <c r="C55" s="102"/>
      <c r="E55" s="74">
        <v>-215.42</v>
      </c>
      <c r="F55" s="60"/>
      <c r="G55" s="60"/>
      <c r="H55" s="60"/>
    </row>
    <row r="56" spans="1:8">
      <c r="A56" s="96">
        <v>45332</v>
      </c>
      <c r="B56" s="102" t="s">
        <v>643</v>
      </c>
      <c r="C56" s="102"/>
      <c r="E56" s="74">
        <v>-100</v>
      </c>
      <c r="F56" s="60"/>
      <c r="G56" s="60"/>
      <c r="H56" s="60"/>
    </row>
    <row r="57" spans="1:8">
      <c r="A57" s="96">
        <v>45332</v>
      </c>
      <c r="B57" s="102" t="s">
        <v>672</v>
      </c>
      <c r="C57" s="102"/>
      <c r="E57" s="74">
        <v>-900</v>
      </c>
      <c r="F57" s="60"/>
      <c r="G57" s="60"/>
      <c r="H57" s="60"/>
    </row>
    <row r="58" spans="1:8">
      <c r="A58" s="96">
        <v>45337</v>
      </c>
      <c r="B58" s="102" t="s">
        <v>673</v>
      </c>
      <c r="E58" s="74">
        <v>-352</v>
      </c>
      <c r="F58" s="60"/>
      <c r="G58" s="60"/>
      <c r="H58" s="60"/>
    </row>
    <row r="59" spans="1:8">
      <c r="A59" s="96">
        <v>45338</v>
      </c>
      <c r="B59" s="102" t="s">
        <v>643</v>
      </c>
      <c r="C59" s="102"/>
      <c r="E59" s="74">
        <v>-100</v>
      </c>
      <c r="F59" s="60"/>
      <c r="G59" s="60"/>
      <c r="H59" s="60"/>
    </row>
    <row r="60" spans="1:8">
      <c r="A60" s="96">
        <v>45339</v>
      </c>
      <c r="B60" s="3" t="s">
        <v>643</v>
      </c>
      <c r="E60" s="74">
        <v>-100</v>
      </c>
      <c r="F60" s="60"/>
      <c r="G60" s="60"/>
      <c r="H60" s="60"/>
    </row>
    <row r="61" spans="1:8" ht="15">
      <c r="A61" s="96"/>
      <c r="B61" s="102"/>
      <c r="C61" s="102"/>
      <c r="D61" s="101" t="s">
        <v>76</v>
      </c>
      <c r="F61" s="60"/>
      <c r="G61" s="60"/>
      <c r="H61" s="60"/>
    </row>
    <row r="62" spans="1:8">
      <c r="A62" s="96"/>
      <c r="B62" s="102"/>
      <c r="C62" s="102"/>
      <c r="F62" s="60"/>
      <c r="G62" s="60"/>
      <c r="H62" s="60"/>
    </row>
    <row r="63" spans="1:8">
      <c r="A63" s="96"/>
      <c r="B63" s="102"/>
      <c r="C63" s="102"/>
      <c r="F63" s="60"/>
      <c r="G63" s="60"/>
      <c r="H63" s="60"/>
    </row>
    <row r="64" spans="1:8">
      <c r="A64" s="96"/>
      <c r="B64" s="102"/>
      <c r="C64" s="102"/>
      <c r="F64" s="60"/>
      <c r="G64" s="60"/>
      <c r="H64" s="60"/>
    </row>
    <row r="65" spans="1:8">
      <c r="A65" s="99"/>
      <c r="B65" s="100" t="s">
        <v>77</v>
      </c>
      <c r="C65" s="99"/>
      <c r="E65" s="183">
        <f>SUM(E66:E85)</f>
        <v>-72173.5</v>
      </c>
      <c r="F65" s="60"/>
      <c r="G65" s="60"/>
    </row>
    <row r="66" spans="1:8">
      <c r="A66" s="96"/>
      <c r="B66" s="102"/>
      <c r="C66" s="102"/>
      <c r="F66" s="60"/>
      <c r="G66" s="60"/>
      <c r="H66" s="60"/>
    </row>
    <row r="67" spans="1:8">
      <c r="A67" s="96">
        <v>45187</v>
      </c>
      <c r="B67" s="102" t="s">
        <v>674</v>
      </c>
      <c r="C67" s="102"/>
      <c r="D67" s="98" t="s">
        <v>675</v>
      </c>
      <c r="E67" s="74">
        <v>-3974.42</v>
      </c>
      <c r="F67">
        <v>0</v>
      </c>
      <c r="G67" s="60"/>
      <c r="H67" s="60"/>
    </row>
    <row r="68" spans="1:8">
      <c r="A68" s="154">
        <v>45214</v>
      </c>
      <c r="B68" s="8" t="s">
        <v>647</v>
      </c>
      <c r="D68" s="98" t="s">
        <v>676</v>
      </c>
      <c r="E68" s="74">
        <v>-600</v>
      </c>
      <c r="F68" s="60"/>
      <c r="G68" s="60"/>
      <c r="H68" s="60"/>
    </row>
    <row r="69" spans="1:8">
      <c r="A69" s="154">
        <v>45285</v>
      </c>
      <c r="B69" s="102" t="s">
        <v>512</v>
      </c>
      <c r="C69" s="102"/>
      <c r="D69" s="98" t="s">
        <v>677</v>
      </c>
      <c r="E69" s="74">
        <v>-3551.66</v>
      </c>
      <c r="F69" s="60"/>
      <c r="G69" s="60"/>
      <c r="H69" s="60"/>
    </row>
    <row r="70" spans="1:8">
      <c r="A70" s="154">
        <v>45259</v>
      </c>
      <c r="B70" s="8" t="s">
        <v>678</v>
      </c>
      <c r="C70" s="165">
        <v>-1204.5</v>
      </c>
      <c r="D70" s="98" t="s">
        <v>679</v>
      </c>
      <c r="E70" s="74">
        <v>-401.5</v>
      </c>
      <c r="F70" s="60"/>
      <c r="G70" s="60"/>
      <c r="H70" s="60"/>
    </row>
    <row r="71" spans="1:8">
      <c r="A71" s="154">
        <v>45259</v>
      </c>
      <c r="B71" s="8" t="s">
        <v>680</v>
      </c>
      <c r="C71" s="165">
        <v>-148.6</v>
      </c>
      <c r="D71" s="98" t="s">
        <v>679</v>
      </c>
      <c r="E71" s="74">
        <v>-49.54</v>
      </c>
      <c r="F71" s="60"/>
      <c r="G71" s="60"/>
      <c r="H71" s="60"/>
    </row>
    <row r="72" spans="1:8">
      <c r="A72" s="154">
        <v>45259</v>
      </c>
      <c r="B72" s="8" t="s">
        <v>681</v>
      </c>
      <c r="C72" s="165">
        <v>-244.8</v>
      </c>
      <c r="D72" s="98" t="s">
        <v>679</v>
      </c>
      <c r="E72" s="74">
        <v>-81.599999999999994</v>
      </c>
      <c r="F72" s="60"/>
      <c r="G72" s="60"/>
      <c r="H72" s="60"/>
    </row>
    <row r="73" spans="1:8">
      <c r="A73" s="154">
        <v>45259</v>
      </c>
      <c r="B73" s="8" t="s">
        <v>682</v>
      </c>
      <c r="C73" s="165">
        <v>-532.6</v>
      </c>
      <c r="D73" s="98" t="s">
        <v>679</v>
      </c>
      <c r="E73" s="74">
        <v>-177.54</v>
      </c>
      <c r="F73" s="60"/>
      <c r="G73" s="60"/>
      <c r="H73" s="60"/>
    </row>
    <row r="74" spans="1:8">
      <c r="A74" s="154"/>
      <c r="B74" s="102" t="s">
        <v>153</v>
      </c>
      <c r="C74" s="102">
        <v>899</v>
      </c>
      <c r="D74" s="184" t="s">
        <v>683</v>
      </c>
      <c r="E74" s="74">
        <v>-449.5</v>
      </c>
      <c r="F74" s="60"/>
      <c r="G74" s="60"/>
      <c r="H74" s="60"/>
    </row>
    <row r="75" spans="1:8">
      <c r="A75" s="154"/>
      <c r="B75" s="102" t="s">
        <v>684</v>
      </c>
      <c r="C75" s="102"/>
      <c r="D75" s="184" t="s">
        <v>683</v>
      </c>
      <c r="E75" s="74">
        <v>-299.64</v>
      </c>
      <c r="F75" s="60"/>
      <c r="G75" s="60"/>
      <c r="H75" s="60"/>
    </row>
    <row r="76" spans="1:8">
      <c r="A76" s="154"/>
      <c r="B76" s="102" t="s">
        <v>685</v>
      </c>
      <c r="C76" s="102"/>
      <c r="D76" s="184" t="s">
        <v>683</v>
      </c>
      <c r="E76" s="74">
        <v>-546.82000000000005</v>
      </c>
      <c r="F76" s="60"/>
      <c r="G76" s="60"/>
      <c r="H76" s="60"/>
    </row>
    <row r="77" spans="1:8">
      <c r="A77" s="96"/>
      <c r="B77" s="3" t="s">
        <v>468</v>
      </c>
      <c r="C77" s="102"/>
      <c r="D77" s="184" t="s">
        <v>686</v>
      </c>
      <c r="E77" s="74">
        <v>-649.78</v>
      </c>
      <c r="F77" s="60"/>
      <c r="G77" s="60"/>
      <c r="H77" s="60"/>
    </row>
    <row r="78" spans="1:8">
      <c r="A78" s="96"/>
      <c r="B78" s="3" t="s">
        <v>470</v>
      </c>
      <c r="C78" s="102">
        <v>49.98</v>
      </c>
      <c r="D78" s="184" t="s">
        <v>686</v>
      </c>
      <c r="F78" s="60"/>
      <c r="G78" s="60"/>
      <c r="H78" s="60"/>
    </row>
    <row r="79" spans="1:8">
      <c r="A79" s="96"/>
      <c r="B79" s="3"/>
      <c r="C79" s="102"/>
      <c r="F79" s="60"/>
      <c r="G79" s="60"/>
      <c r="H79" s="60"/>
    </row>
    <row r="80" spans="1:8">
      <c r="A80" s="96"/>
      <c r="B80" s="3"/>
      <c r="C80" s="102"/>
      <c r="F80" s="60"/>
      <c r="G80" s="60"/>
      <c r="H80" s="60"/>
    </row>
    <row r="81" spans="1:8">
      <c r="A81" s="96">
        <v>45324</v>
      </c>
      <c r="B81" s="3" t="s">
        <v>687</v>
      </c>
      <c r="C81" s="102"/>
      <c r="E81" s="74">
        <v>-1195</v>
      </c>
      <c r="F81" s="60"/>
      <c r="G81" s="60"/>
      <c r="H81" s="60"/>
    </row>
    <row r="82" spans="1:8">
      <c r="A82" s="96">
        <v>45327</v>
      </c>
      <c r="B82" s="3" t="s">
        <v>688</v>
      </c>
      <c r="C82" s="74">
        <v>-299.99</v>
      </c>
      <c r="F82" s="60"/>
      <c r="G82" s="60"/>
      <c r="H82" s="60"/>
    </row>
    <row r="83" spans="1:8">
      <c r="A83" s="96">
        <v>45336</v>
      </c>
      <c r="B83" s="3" t="s">
        <v>356</v>
      </c>
      <c r="C83" s="102"/>
      <c r="E83" s="74">
        <v>-59483.25</v>
      </c>
      <c r="F83" s="60"/>
      <c r="G83" s="60"/>
      <c r="H83" s="60"/>
    </row>
    <row r="84" spans="1:8">
      <c r="A84" s="96">
        <v>45329</v>
      </c>
      <c r="B84" s="3" t="s">
        <v>689</v>
      </c>
      <c r="C84" s="102"/>
      <c r="E84" s="74">
        <v>-713.25</v>
      </c>
      <c r="F84" s="60"/>
      <c r="G84" s="60"/>
      <c r="H84" s="60"/>
    </row>
    <row r="85" spans="1:8">
      <c r="A85" s="96">
        <v>45327</v>
      </c>
      <c r="B85" s="3" t="s">
        <v>121</v>
      </c>
      <c r="C85" s="102">
        <v>24742.959999999999</v>
      </c>
      <c r="F85" s="60"/>
      <c r="G85" s="60"/>
      <c r="H85" s="60"/>
    </row>
    <row r="86" spans="1:8">
      <c r="A86" s="96"/>
      <c r="B86" s="3"/>
      <c r="C86" s="102"/>
      <c r="F86" s="60"/>
      <c r="G86" s="60"/>
      <c r="H86" s="60"/>
    </row>
    <row r="87" spans="1:8" ht="15">
      <c r="A87" s="96"/>
      <c r="B87" s="3"/>
      <c r="C87" s="102"/>
      <c r="D87" s="101" t="s">
        <v>76</v>
      </c>
      <c r="F87" s="60"/>
      <c r="G87" s="60"/>
      <c r="H87" s="60"/>
    </row>
    <row r="88" spans="1:8">
      <c r="A88" s="96"/>
      <c r="B88" s="3"/>
      <c r="C88" s="102"/>
      <c r="F88" s="60"/>
      <c r="G88" s="60"/>
      <c r="H88" s="60"/>
    </row>
    <row r="89" spans="1:8">
      <c r="A89" s="96"/>
      <c r="B89" s="3"/>
      <c r="C89" s="102"/>
      <c r="F89" s="60"/>
      <c r="G89" s="60"/>
      <c r="H89" s="60"/>
    </row>
    <row r="90" spans="1:8">
      <c r="A90" s="96"/>
      <c r="B90" s="3"/>
      <c r="C90" s="102"/>
      <c r="F90" s="60"/>
      <c r="G90" s="60"/>
      <c r="H90" s="60"/>
    </row>
    <row r="91" spans="1:8">
      <c r="A91" s="96"/>
      <c r="B91" s="3"/>
      <c r="C91" s="102"/>
      <c r="F91" s="60"/>
      <c r="G91" s="60"/>
      <c r="H91" s="60"/>
    </row>
    <row r="92" spans="1:8">
      <c r="A92" s="96"/>
      <c r="B92" s="3"/>
      <c r="C92" s="102"/>
      <c r="F92" s="60"/>
      <c r="G92" s="60"/>
      <c r="H92" s="60"/>
    </row>
    <row r="93" spans="1:8">
      <c r="A93" s="96"/>
      <c r="B93" s="3"/>
      <c r="C93" s="102"/>
      <c r="F93" s="60"/>
      <c r="G93" s="60"/>
      <c r="H93" s="60"/>
    </row>
    <row r="94" spans="1:8">
      <c r="A94" s="96"/>
      <c r="B94" s="3"/>
      <c r="C94" s="102"/>
      <c r="F94" s="60"/>
      <c r="G94" s="60"/>
      <c r="H94" s="60"/>
    </row>
    <row r="95" spans="1:8">
      <c r="A95" s="96"/>
      <c r="B95" s="3"/>
      <c r="C95" s="102"/>
      <c r="F95" s="60"/>
      <c r="G95" s="60"/>
      <c r="H95" s="60"/>
    </row>
    <row r="96" spans="1:8">
      <c r="A96" s="96"/>
      <c r="B96" s="3"/>
      <c r="C96" s="102"/>
      <c r="F96" s="60"/>
      <c r="G96" s="60"/>
      <c r="H96" s="60"/>
    </row>
    <row r="97" spans="1:8">
      <c r="A97" s="96"/>
      <c r="B97" s="3"/>
      <c r="C97" s="102"/>
      <c r="F97" s="60"/>
      <c r="G97" s="60"/>
      <c r="H97" s="60"/>
    </row>
    <row r="106" spans="1:8">
      <c r="A106" s="96"/>
    </row>
    <row r="107" spans="1:8">
      <c r="A107" s="96"/>
    </row>
    <row r="108" spans="1:8">
      <c r="A108" s="109" t="s">
        <v>690</v>
      </c>
      <c r="B108" s="100" t="s">
        <v>128</v>
      </c>
      <c r="C108" s="99">
        <v>2024</v>
      </c>
      <c r="D108" s="147"/>
      <c r="E108" s="148">
        <f>SUM(E109:E127)</f>
        <v>745852.05035699997</v>
      </c>
    </row>
    <row r="109" spans="1:8">
      <c r="A109" s="149">
        <v>45352</v>
      </c>
      <c r="B109" s="8" t="s">
        <v>69</v>
      </c>
      <c r="C109" s="2"/>
      <c r="D109" s="2"/>
      <c r="E109" s="2">
        <v>64000</v>
      </c>
    </row>
    <row r="110" spans="1:8">
      <c r="A110" s="149">
        <f t="shared" ref="A110:A127" si="1">A109</f>
        <v>45352</v>
      </c>
      <c r="B110" s="8" t="s">
        <v>691</v>
      </c>
      <c r="C110" s="2"/>
      <c r="D110" s="2"/>
      <c r="E110" s="2">
        <v>150845</v>
      </c>
    </row>
    <row r="111" spans="1:8">
      <c r="A111" s="149">
        <f t="shared" si="1"/>
        <v>45352</v>
      </c>
      <c r="B111" s="8" t="s">
        <v>292</v>
      </c>
      <c r="C111" s="2"/>
      <c r="D111" s="2"/>
      <c r="E111" s="14">
        <v>5039.78</v>
      </c>
    </row>
    <row r="112" spans="1:8">
      <c r="A112" s="149">
        <f t="shared" si="1"/>
        <v>45352</v>
      </c>
      <c r="B112" s="8" t="s">
        <v>293</v>
      </c>
      <c r="C112" s="2"/>
      <c r="D112" s="2"/>
      <c r="E112" s="14">
        <v>0</v>
      </c>
    </row>
    <row r="113" spans="1:5">
      <c r="A113" s="149">
        <f t="shared" si="1"/>
        <v>45352</v>
      </c>
      <c r="B113" s="8" t="s">
        <v>489</v>
      </c>
      <c r="C113" s="2"/>
      <c r="D113" s="2"/>
      <c r="E113" s="14">
        <v>0</v>
      </c>
    </row>
    <row r="114" spans="1:5">
      <c r="A114" s="149">
        <f t="shared" si="1"/>
        <v>45352</v>
      </c>
      <c r="B114" s="8" t="s">
        <v>294</v>
      </c>
      <c r="C114" s="120"/>
      <c r="D114" s="2"/>
      <c r="E114" s="14">
        <v>0</v>
      </c>
    </row>
    <row r="115" spans="1:5">
      <c r="A115" s="149">
        <f t="shared" si="1"/>
        <v>45352</v>
      </c>
      <c r="B115" s="8" t="s">
        <v>228</v>
      </c>
      <c r="C115" s="2"/>
      <c r="D115" s="2"/>
      <c r="E115" s="14">
        <v>0</v>
      </c>
    </row>
    <row r="116" spans="1:5">
      <c r="A116" s="149">
        <f t="shared" si="1"/>
        <v>45352</v>
      </c>
      <c r="B116" s="8" t="s">
        <v>490</v>
      </c>
      <c r="C116" s="2" t="s">
        <v>692</v>
      </c>
      <c r="D116" s="2"/>
      <c r="E116" s="14">
        <v>129254.5</v>
      </c>
    </row>
    <row r="117" spans="1:5">
      <c r="A117" s="149">
        <f t="shared" si="1"/>
        <v>45352</v>
      </c>
      <c r="B117" s="8" t="s">
        <v>693</v>
      </c>
      <c r="C117" s="2" t="s">
        <v>694</v>
      </c>
      <c r="D117" s="2"/>
      <c r="E117" s="14">
        <v>256.56</v>
      </c>
    </row>
    <row r="118" spans="1:5">
      <c r="A118" s="149">
        <f t="shared" si="1"/>
        <v>45352</v>
      </c>
      <c r="B118" s="8" t="s">
        <v>695</v>
      </c>
      <c r="C118" s="149" t="s">
        <v>696</v>
      </c>
      <c r="D118" s="150"/>
      <c r="E118" s="14">
        <v>0</v>
      </c>
    </row>
    <row r="119" spans="1:5">
      <c r="A119" s="149">
        <f t="shared" si="1"/>
        <v>45352</v>
      </c>
      <c r="B119" s="8" t="s">
        <v>697</v>
      </c>
      <c r="C119" s="149" t="s">
        <v>698</v>
      </c>
      <c r="D119" s="150"/>
      <c r="E119" s="14">
        <v>588.6</v>
      </c>
    </row>
    <row r="120" spans="1:5">
      <c r="A120" s="149">
        <f t="shared" si="1"/>
        <v>45352</v>
      </c>
      <c r="B120" s="8" t="s">
        <v>699</v>
      </c>
      <c r="C120" s="149"/>
      <c r="D120" s="150"/>
      <c r="E120" s="14"/>
    </row>
    <row r="121" spans="1:5">
      <c r="A121" s="149">
        <f t="shared" si="1"/>
        <v>45352</v>
      </c>
      <c r="B121" s="8" t="s">
        <v>132</v>
      </c>
      <c r="C121" s="2"/>
      <c r="D121" s="2"/>
      <c r="E121" s="14">
        <v>450</v>
      </c>
    </row>
    <row r="122" spans="1:5">
      <c r="A122" s="149">
        <f t="shared" si="1"/>
        <v>45352</v>
      </c>
      <c r="B122" s="8" t="s">
        <v>700</v>
      </c>
      <c r="C122" s="2">
        <v>2017.98</v>
      </c>
      <c r="D122" s="2">
        <v>161</v>
      </c>
      <c r="E122" s="14">
        <f>D122*C122</f>
        <v>324894.78000000003</v>
      </c>
    </row>
    <row r="123" spans="1:5">
      <c r="A123" s="149">
        <f t="shared" si="1"/>
        <v>45352</v>
      </c>
      <c r="B123" s="8" t="s">
        <v>701</v>
      </c>
      <c r="C123" s="151">
        <v>30.726199999999999</v>
      </c>
      <c r="D123" s="2">
        <v>850</v>
      </c>
      <c r="E123" s="14">
        <f>D123*C123</f>
        <v>26117.27</v>
      </c>
    </row>
    <row r="124" spans="1:5">
      <c r="A124" s="149">
        <f t="shared" si="1"/>
        <v>45352</v>
      </c>
      <c r="B124" s="8" t="s">
        <v>496</v>
      </c>
      <c r="C124" s="151">
        <v>30.725999999999999</v>
      </c>
      <c r="D124" s="2">
        <v>250</v>
      </c>
      <c r="E124" s="14">
        <f>D124*C124</f>
        <v>7681.5</v>
      </c>
    </row>
    <row r="125" spans="1:5">
      <c r="A125" s="149">
        <f t="shared" si="1"/>
        <v>45352</v>
      </c>
      <c r="B125" s="8" t="s">
        <v>702</v>
      </c>
      <c r="C125" s="151">
        <v>33.224299999999999</v>
      </c>
      <c r="D125" s="2">
        <v>81.99</v>
      </c>
      <c r="E125" s="14">
        <f>D125*C125</f>
        <v>2724.0603569999998</v>
      </c>
    </row>
    <row r="126" spans="1:5">
      <c r="A126" s="149">
        <f t="shared" si="1"/>
        <v>45352</v>
      </c>
      <c r="B126" s="8" t="s">
        <v>144</v>
      </c>
      <c r="C126" s="2"/>
      <c r="D126" s="2"/>
      <c r="E126" s="14">
        <v>30000</v>
      </c>
    </row>
    <row r="127" spans="1:5">
      <c r="A127" s="149">
        <f t="shared" si="1"/>
        <v>45352</v>
      </c>
      <c r="B127" s="8" t="s">
        <v>145</v>
      </c>
      <c r="C127" s="2"/>
      <c r="D127" s="2"/>
      <c r="E127" s="14">
        <v>4000</v>
      </c>
    </row>
    <row r="128" spans="1:5">
      <c r="E128" s="165"/>
    </row>
    <row r="129" spans="3:5">
      <c r="C129" s="120"/>
      <c r="D129" s="3"/>
      <c r="E129" s="120"/>
    </row>
    <row r="130" spans="3:5">
      <c r="C130" s="120"/>
      <c r="D130" s="15" t="s">
        <v>147</v>
      </c>
      <c r="E130" s="9">
        <f>SUM(E109:E127)</f>
        <v>745852.05035699997</v>
      </c>
    </row>
    <row r="131" spans="3:5">
      <c r="C131" s="121" t="str">
        <f>A108</f>
        <v>MART</v>
      </c>
      <c r="D131" s="122" t="s">
        <v>148</v>
      </c>
      <c r="E131" s="123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2F0D9"/>
  </sheetPr>
  <dimension ref="A1:H134"/>
  <sheetViews>
    <sheetView topLeftCell="A63" zoomScale="170" zoomScaleNormal="17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165" customWidth="1"/>
    <col min="1024" max="1024" width="9.140625" customWidth="1"/>
  </cols>
  <sheetData>
    <row r="1" spans="1:8">
      <c r="E1" s="185"/>
      <c r="F1" s="178" t="s">
        <v>20</v>
      </c>
      <c r="G1" s="178" t="s">
        <v>21</v>
      </c>
      <c r="H1" s="178" t="s">
        <v>3</v>
      </c>
    </row>
    <row r="2" spans="1:8">
      <c r="A2" s="3" t="s">
        <v>703</v>
      </c>
      <c r="C2" s="76" t="s">
        <v>59</v>
      </c>
      <c r="D2" s="120">
        <f>SUM(D4:D31)</f>
        <v>19300</v>
      </c>
      <c r="E2" s="120">
        <f>SUM(E4:E31)</f>
        <v>-65325.849999999991</v>
      </c>
      <c r="F2" s="120">
        <f>SUM(F4:F31)</f>
        <v>20543.64</v>
      </c>
      <c r="G2" s="120">
        <f>SUM(G4:G31)</f>
        <v>-69834.739999999991</v>
      </c>
      <c r="H2" s="120">
        <f>F2+G2</f>
        <v>-49291.099999999991</v>
      </c>
    </row>
    <row r="3" spans="1:8">
      <c r="B3" s="15"/>
      <c r="E3" s="120"/>
      <c r="F3" s="120"/>
      <c r="G3" s="120"/>
      <c r="H3" s="120"/>
    </row>
    <row r="4" spans="1:8">
      <c r="A4" s="85">
        <v>45323</v>
      </c>
      <c r="B4" s="38" t="s">
        <v>416</v>
      </c>
      <c r="E4" s="165">
        <v>-152</v>
      </c>
      <c r="F4" s="165"/>
      <c r="G4" s="165">
        <v>-167</v>
      </c>
      <c r="H4" s="120">
        <f t="shared" ref="H4:H30" si="0">H3+F4+G4</f>
        <v>-167</v>
      </c>
    </row>
    <row r="5" spans="1:8">
      <c r="A5" s="85">
        <v>45323</v>
      </c>
      <c r="B5" s="97" t="s">
        <v>62</v>
      </c>
      <c r="C5" s="97"/>
      <c r="D5" s="97"/>
      <c r="E5" s="165">
        <v>-1500</v>
      </c>
      <c r="F5" s="165"/>
      <c r="G5" s="165">
        <v>-1512.13</v>
      </c>
      <c r="H5" s="120">
        <f t="shared" si="0"/>
        <v>-1679.13</v>
      </c>
    </row>
    <row r="6" spans="1:8">
      <c r="A6" s="85">
        <v>45323</v>
      </c>
      <c r="B6" s="8" t="s">
        <v>386</v>
      </c>
      <c r="D6" s="98"/>
      <c r="E6" s="165">
        <v>-10000</v>
      </c>
      <c r="F6" s="165"/>
      <c r="G6" s="165">
        <v>-10000</v>
      </c>
      <c r="H6" s="120">
        <f t="shared" si="0"/>
        <v>-11679.130000000001</v>
      </c>
    </row>
    <row r="7" spans="1:8">
      <c r="A7" s="85">
        <v>45323</v>
      </c>
      <c r="B7" s="97" t="s">
        <v>704</v>
      </c>
      <c r="C7" s="97"/>
      <c r="D7" s="97"/>
      <c r="E7" s="165">
        <v>-250</v>
      </c>
      <c r="F7" s="165"/>
      <c r="G7" s="165">
        <v>-250</v>
      </c>
      <c r="H7" s="120">
        <f t="shared" si="0"/>
        <v>-11929.130000000001</v>
      </c>
    </row>
    <row r="8" spans="1:8">
      <c r="A8" s="85">
        <v>45339</v>
      </c>
      <c r="B8" s="97" t="s">
        <v>705</v>
      </c>
      <c r="C8" s="97"/>
      <c r="D8" s="97"/>
      <c r="F8" s="165"/>
      <c r="G8" s="165">
        <v>-2750</v>
      </c>
      <c r="H8" s="120">
        <f t="shared" si="0"/>
        <v>-14679.130000000001</v>
      </c>
    </row>
    <row r="9" spans="1:8">
      <c r="A9" s="85">
        <v>45327</v>
      </c>
      <c r="B9" s="167" t="s">
        <v>60</v>
      </c>
      <c r="E9" s="165">
        <f>E47</f>
        <v>-3900.5699999999997</v>
      </c>
      <c r="F9" s="165"/>
      <c r="G9" s="165">
        <f>E9</f>
        <v>-3900.5699999999997</v>
      </c>
      <c r="H9" s="120">
        <f t="shared" si="0"/>
        <v>-18579.7</v>
      </c>
    </row>
    <row r="10" spans="1:8">
      <c r="A10" s="154">
        <v>45327</v>
      </c>
      <c r="B10" s="167" t="s">
        <v>61</v>
      </c>
      <c r="E10" s="165">
        <f>E64</f>
        <v>-24792.94</v>
      </c>
      <c r="F10" s="165"/>
      <c r="G10" s="165">
        <f>E10</f>
        <v>-24792.94</v>
      </c>
      <c r="H10" s="120">
        <f t="shared" si="0"/>
        <v>-43372.639999999999</v>
      </c>
    </row>
    <row r="11" spans="1:8">
      <c r="A11" s="96">
        <v>45328</v>
      </c>
      <c r="B11" s="8" t="s">
        <v>706</v>
      </c>
      <c r="C11" s="120"/>
      <c r="D11" s="120"/>
      <c r="F11" s="165">
        <v>6500</v>
      </c>
      <c r="G11" s="165"/>
      <c r="H11" s="120">
        <f t="shared" si="0"/>
        <v>-36872.639999999999</v>
      </c>
    </row>
    <row r="12" spans="1:8">
      <c r="A12" s="96">
        <v>45329</v>
      </c>
      <c r="B12" s="97" t="s">
        <v>707</v>
      </c>
      <c r="C12" s="97"/>
      <c r="D12" s="97"/>
      <c r="E12" s="165">
        <v>-5375</v>
      </c>
      <c r="F12" s="165"/>
      <c r="G12" s="165">
        <f>E12</f>
        <v>-5375</v>
      </c>
      <c r="H12" s="120">
        <f t="shared" si="0"/>
        <v>-42247.64</v>
      </c>
    </row>
    <row r="13" spans="1:8">
      <c r="A13" s="96">
        <v>45329</v>
      </c>
      <c r="B13" s="97" t="s">
        <v>707</v>
      </c>
      <c r="C13" s="97"/>
      <c r="D13" s="97"/>
      <c r="E13" s="165">
        <v>-2125</v>
      </c>
      <c r="F13" s="165"/>
      <c r="G13" s="165">
        <f>E13</f>
        <v>-2125</v>
      </c>
      <c r="H13" s="120">
        <f t="shared" si="0"/>
        <v>-44372.639999999999</v>
      </c>
    </row>
    <row r="14" spans="1:8">
      <c r="A14" s="85">
        <v>45329</v>
      </c>
      <c r="B14" s="8" t="s">
        <v>708</v>
      </c>
      <c r="E14" s="120"/>
      <c r="F14" s="165">
        <v>816.04</v>
      </c>
      <c r="G14" s="165"/>
      <c r="H14" s="120">
        <f t="shared" si="0"/>
        <v>-43556.6</v>
      </c>
    </row>
    <row r="15" spans="1:8">
      <c r="A15" s="186">
        <v>45329</v>
      </c>
      <c r="B15" s="187" t="s">
        <v>709</v>
      </c>
      <c r="C15" s="97"/>
      <c r="E15" s="165">
        <v>-713.25</v>
      </c>
      <c r="F15" s="165"/>
      <c r="G15" s="165">
        <f>E15</f>
        <v>-713.25</v>
      </c>
      <c r="H15" s="120">
        <f t="shared" si="0"/>
        <v>-44269.85</v>
      </c>
    </row>
    <row r="16" spans="1:8">
      <c r="A16" s="154"/>
      <c r="B16" s="8" t="s">
        <v>710</v>
      </c>
      <c r="E16" s="120"/>
      <c r="F16" s="120"/>
      <c r="G16" s="120"/>
      <c r="H16" s="120">
        <f t="shared" si="0"/>
        <v>-44269.85</v>
      </c>
    </row>
    <row r="17" spans="1:8">
      <c r="A17" s="85">
        <v>45329</v>
      </c>
      <c r="B17" s="102" t="s">
        <v>66</v>
      </c>
      <c r="C17" s="102" t="s">
        <v>711</v>
      </c>
      <c r="D17" s="102"/>
      <c r="E17" s="165">
        <v>-100</v>
      </c>
      <c r="F17" s="120"/>
      <c r="G17" s="165">
        <v>0</v>
      </c>
      <c r="H17" s="120">
        <f t="shared" si="0"/>
        <v>-44269.85</v>
      </c>
    </row>
    <row r="18" spans="1:8">
      <c r="A18" s="85">
        <v>45334</v>
      </c>
      <c r="B18" s="97" t="s">
        <v>67</v>
      </c>
      <c r="C18" s="97" t="s">
        <v>315</v>
      </c>
      <c r="D18" s="97"/>
      <c r="E18" s="165">
        <v>-150</v>
      </c>
      <c r="F18" s="165"/>
      <c r="G18" s="165">
        <v>-242.76</v>
      </c>
      <c r="H18" s="120">
        <f t="shared" si="0"/>
        <v>-44512.61</v>
      </c>
    </row>
    <row r="19" spans="1:8">
      <c r="A19" s="85">
        <v>45334</v>
      </c>
      <c r="B19" s="167" t="s">
        <v>64</v>
      </c>
      <c r="D19" s="60"/>
      <c r="E19" s="165">
        <f>E42*-1</f>
        <v>-67.09</v>
      </c>
      <c r="G19" s="165">
        <f>E19</f>
        <v>-67.09</v>
      </c>
      <c r="H19" s="120">
        <f t="shared" si="0"/>
        <v>-44579.7</v>
      </c>
    </row>
    <row r="20" spans="1:8">
      <c r="A20" s="85">
        <v>45341</v>
      </c>
      <c r="B20" s="102" t="s">
        <v>65</v>
      </c>
      <c r="C20" s="102" t="s">
        <v>712</v>
      </c>
      <c r="D20" s="102"/>
      <c r="E20" s="165">
        <v>-300</v>
      </c>
      <c r="F20" s="165"/>
      <c r="G20" s="165">
        <v>-1734</v>
      </c>
      <c r="H20" s="120">
        <f t="shared" si="0"/>
        <v>-46313.7</v>
      </c>
    </row>
    <row r="21" spans="1:8">
      <c r="A21" s="186">
        <v>45341</v>
      </c>
      <c r="B21" s="8" t="s">
        <v>663</v>
      </c>
      <c r="D21" s="175">
        <v>2800</v>
      </c>
      <c r="F21" s="165">
        <v>2800</v>
      </c>
      <c r="G21" s="120"/>
      <c r="H21" s="120">
        <f t="shared" si="0"/>
        <v>-43513.7</v>
      </c>
    </row>
    <row r="22" spans="1:8">
      <c r="A22" s="85">
        <v>45349</v>
      </c>
      <c r="B22" s="8" t="s">
        <v>69</v>
      </c>
      <c r="E22" s="165">
        <v>-5000</v>
      </c>
      <c r="F22" s="165"/>
      <c r="G22" s="165">
        <v>-5200</v>
      </c>
      <c r="H22" s="120">
        <f t="shared" si="0"/>
        <v>-48713.7</v>
      </c>
    </row>
    <row r="23" spans="1:8">
      <c r="A23" s="85">
        <v>45349</v>
      </c>
      <c r="B23" s="8" t="s">
        <v>70</v>
      </c>
      <c r="E23" s="165">
        <v>-5000</v>
      </c>
      <c r="F23" s="165"/>
      <c r="G23" s="165">
        <v>-5200</v>
      </c>
      <c r="H23" s="120">
        <f t="shared" si="0"/>
        <v>-53913.7</v>
      </c>
    </row>
    <row r="24" spans="1:8">
      <c r="A24" s="85">
        <v>45349</v>
      </c>
      <c r="B24" s="8" t="s">
        <v>71</v>
      </c>
      <c r="E24" s="165">
        <v>-5000</v>
      </c>
      <c r="F24" s="165"/>
      <c r="G24" s="165">
        <v>-5000</v>
      </c>
      <c r="H24" s="120">
        <f t="shared" si="0"/>
        <v>-58913.7</v>
      </c>
    </row>
    <row r="25" spans="1:8">
      <c r="A25" s="85">
        <v>45349</v>
      </c>
      <c r="B25" s="8" t="s">
        <v>68</v>
      </c>
      <c r="D25" s="175">
        <v>10000</v>
      </c>
      <c r="F25" s="165">
        <v>10427.6</v>
      </c>
      <c r="G25" s="120"/>
      <c r="H25" s="120">
        <f t="shared" si="0"/>
        <v>-48486.1</v>
      </c>
    </row>
    <row r="26" spans="1:8">
      <c r="A26" s="85">
        <v>45358</v>
      </c>
      <c r="B26" s="8" t="s">
        <v>661</v>
      </c>
      <c r="D26" s="98">
        <v>6500</v>
      </c>
      <c r="F26" s="120"/>
      <c r="G26" s="120"/>
      <c r="H26" s="120">
        <f t="shared" si="0"/>
        <v>-48486.1</v>
      </c>
    </row>
    <row r="27" spans="1:8">
      <c r="A27" s="96"/>
      <c r="H27" s="120">
        <f t="shared" si="0"/>
        <v>-48486.1</v>
      </c>
    </row>
    <row r="28" spans="1:8">
      <c r="A28" s="85">
        <v>45351</v>
      </c>
      <c r="B28" s="97" t="s">
        <v>72</v>
      </c>
      <c r="C28" s="97"/>
      <c r="D28" s="97"/>
      <c r="E28" s="120">
        <v>-400</v>
      </c>
      <c r="F28" s="120"/>
      <c r="G28" s="120">
        <v>-300</v>
      </c>
      <c r="H28" s="120">
        <f t="shared" si="0"/>
        <v>-48786.1</v>
      </c>
    </row>
    <row r="29" spans="1:8">
      <c r="A29" s="85">
        <v>45351</v>
      </c>
      <c r="B29" s="97" t="s">
        <v>73</v>
      </c>
      <c r="C29" s="97"/>
      <c r="D29" s="97"/>
      <c r="E29" s="120">
        <v>-500</v>
      </c>
      <c r="F29" s="120"/>
      <c r="G29" s="120">
        <v>-505</v>
      </c>
      <c r="H29" s="120">
        <f t="shared" si="0"/>
        <v>-49291.1</v>
      </c>
    </row>
    <row r="30" spans="1:8">
      <c r="A30" s="181"/>
      <c r="B30" s="159" t="s">
        <v>713</v>
      </c>
      <c r="C30" s="188">
        <v>7000</v>
      </c>
      <c r="D30" s="188"/>
      <c r="F30" s="120"/>
      <c r="G30" s="120"/>
      <c r="H30" s="120">
        <f t="shared" si="0"/>
        <v>-49291.1</v>
      </c>
    </row>
    <row r="31" spans="1:8" ht="15.75">
      <c r="B31" s="168"/>
      <c r="F31" s="60"/>
      <c r="G31" s="60"/>
      <c r="H31" s="120"/>
    </row>
    <row r="32" spans="1:8">
      <c r="G32" s="60"/>
      <c r="H32" s="120"/>
    </row>
    <row r="33" spans="1:8">
      <c r="B33" t="s">
        <v>317</v>
      </c>
      <c r="G33" s="60"/>
      <c r="H33" s="120"/>
    </row>
    <row r="34" spans="1:8">
      <c r="A34" s="99" t="s">
        <v>318</v>
      </c>
      <c r="B34" s="99"/>
      <c r="C34" s="99"/>
      <c r="D34" s="99"/>
      <c r="E34" s="189"/>
      <c r="G34" s="60"/>
      <c r="H34" s="60"/>
    </row>
    <row r="35" spans="1:8">
      <c r="A35" s="96"/>
      <c r="C35" s="160"/>
      <c r="H35" s="60"/>
    </row>
    <row r="36" spans="1:8">
      <c r="A36" s="161">
        <v>44929</v>
      </c>
      <c r="B36" s="162" t="s">
        <v>319</v>
      </c>
      <c r="C36" s="99"/>
      <c r="D36" s="190">
        <f>SUM(D37:D42)</f>
        <v>3749.5300000000007</v>
      </c>
      <c r="E36" s="191">
        <f>SUM(E37:E42)</f>
        <v>3837.4900000000002</v>
      </c>
      <c r="H36" s="60"/>
    </row>
    <row r="37" spans="1:8">
      <c r="A37" s="96"/>
      <c r="B37" s="102" t="s">
        <v>320</v>
      </c>
      <c r="D37" s="2">
        <v>999.4</v>
      </c>
      <c r="E37" s="165">
        <v>999.4</v>
      </c>
      <c r="H37" s="60"/>
    </row>
    <row r="38" spans="1:8">
      <c r="B38" t="s">
        <v>321</v>
      </c>
      <c r="D38" s="2">
        <v>876.64</v>
      </c>
      <c r="E38" s="165">
        <v>875</v>
      </c>
      <c r="F38" s="60"/>
      <c r="G38" s="60"/>
    </row>
    <row r="39" spans="1:8">
      <c r="B39" t="s">
        <v>322</v>
      </c>
      <c r="D39" s="2">
        <v>431.36</v>
      </c>
      <c r="E39" s="165">
        <v>431</v>
      </c>
      <c r="F39" s="60"/>
      <c r="G39" s="60"/>
    </row>
    <row r="40" spans="1:8">
      <c r="A40" s="85">
        <v>45334</v>
      </c>
      <c r="B40" s="8" t="s">
        <v>714</v>
      </c>
      <c r="C40" s="165">
        <f>E40-D40</f>
        <v>90.67999999999995</v>
      </c>
      <c r="D40" s="2">
        <v>891.32</v>
      </c>
      <c r="E40" s="165">
        <v>982</v>
      </c>
      <c r="F40" s="60"/>
      <c r="G40" s="60"/>
    </row>
    <row r="41" spans="1:8">
      <c r="B41" t="s">
        <v>324</v>
      </c>
      <c r="D41" s="2">
        <v>483.72</v>
      </c>
      <c r="E41" s="165">
        <v>483</v>
      </c>
      <c r="F41" s="60"/>
      <c r="G41" s="60"/>
    </row>
    <row r="42" spans="1:8">
      <c r="B42" t="s">
        <v>325</v>
      </c>
      <c r="C42" s="102"/>
      <c r="D42" s="2">
        <v>67.09</v>
      </c>
      <c r="E42" s="192">
        <v>67.09</v>
      </c>
      <c r="F42" s="60"/>
      <c r="G42" s="60"/>
    </row>
    <row r="43" spans="1:8">
      <c r="C43" s="102"/>
      <c r="D43" s="102"/>
      <c r="E43" s="120"/>
      <c r="F43" s="60"/>
      <c r="G43" s="60"/>
    </row>
    <row r="45" spans="1:8">
      <c r="B45" s="14"/>
    </row>
    <row r="46" spans="1:8">
      <c r="B46" s="98"/>
    </row>
    <row r="47" spans="1:8">
      <c r="A47" s="99"/>
      <c r="B47" s="100" t="s">
        <v>75</v>
      </c>
      <c r="C47" s="99"/>
      <c r="D47" s="147"/>
      <c r="E47" s="191">
        <f>SUM(E48:E61)</f>
        <v>-3900.5699999999997</v>
      </c>
    </row>
    <row r="48" spans="1:8">
      <c r="G48" s="60"/>
      <c r="H48" s="60"/>
    </row>
    <row r="49" spans="1:8">
      <c r="A49" s="149"/>
      <c r="B49" s="102"/>
      <c r="C49" s="102"/>
      <c r="D49" s="32"/>
      <c r="E49" s="120"/>
      <c r="F49" s="60"/>
      <c r="G49" s="60"/>
      <c r="H49" s="60"/>
    </row>
    <row r="50" spans="1:8">
      <c r="A50" s="149">
        <v>45043</v>
      </c>
      <c r="B50" s="102" t="s">
        <v>715</v>
      </c>
      <c r="C50" s="102">
        <v>10764.57</v>
      </c>
      <c r="D50" s="32" t="s">
        <v>716</v>
      </c>
      <c r="E50" s="120">
        <v>-1196.0899999999999</v>
      </c>
      <c r="G50" s="60"/>
      <c r="H50" s="60"/>
    </row>
    <row r="51" spans="1:8">
      <c r="A51" s="96">
        <v>45187</v>
      </c>
      <c r="B51" s="102" t="s">
        <v>552</v>
      </c>
      <c r="C51" s="102">
        <v>7648.33</v>
      </c>
      <c r="D51" s="193" t="s">
        <v>717</v>
      </c>
      <c r="E51" s="120">
        <v>-849.81</v>
      </c>
      <c r="G51" s="60"/>
      <c r="H51" s="60"/>
    </row>
    <row r="52" spans="1:8">
      <c r="A52" s="96">
        <v>45187</v>
      </c>
      <c r="B52" s="102" t="s">
        <v>667</v>
      </c>
      <c r="C52" s="102">
        <v>11128</v>
      </c>
      <c r="D52" s="193" t="s">
        <v>462</v>
      </c>
      <c r="E52" s="120">
        <v>-1854.67</v>
      </c>
      <c r="G52" s="60"/>
      <c r="H52" s="60"/>
    </row>
    <row r="53" spans="1:8" ht="15">
      <c r="D53" s="101" t="s">
        <v>76</v>
      </c>
      <c r="G53" s="60"/>
      <c r="H53" s="60"/>
    </row>
    <row r="54" spans="1:8">
      <c r="G54" s="60"/>
      <c r="H54" s="60"/>
    </row>
    <row r="55" spans="1:8">
      <c r="G55" s="60"/>
      <c r="H55" s="60"/>
    </row>
    <row r="56" spans="1:8">
      <c r="A56" s="96"/>
      <c r="B56" s="102"/>
      <c r="C56" s="102"/>
      <c r="D56" s="102"/>
      <c r="F56" s="60"/>
      <c r="G56" s="60"/>
      <c r="H56" s="60"/>
    </row>
    <row r="57" spans="1:8">
      <c r="A57" s="96"/>
      <c r="B57" s="102"/>
      <c r="C57" s="102"/>
      <c r="D57" s="102"/>
      <c r="F57" s="60"/>
      <c r="G57" s="60"/>
      <c r="H57" s="60"/>
    </row>
    <row r="58" spans="1:8">
      <c r="A58" s="96"/>
      <c r="B58" s="103"/>
      <c r="C58" s="102"/>
      <c r="D58" s="102"/>
      <c r="F58" s="60"/>
      <c r="G58" s="60"/>
      <c r="H58" s="60"/>
    </row>
    <row r="59" spans="1:8">
      <c r="A59" s="96"/>
      <c r="B59" s="103"/>
      <c r="C59" s="102"/>
      <c r="D59" s="102"/>
      <c r="F59" s="60"/>
      <c r="G59" s="60"/>
      <c r="H59" s="60"/>
    </row>
    <row r="60" spans="1:8">
      <c r="A60" s="96"/>
      <c r="B60" s="103"/>
      <c r="F60" s="60"/>
      <c r="G60" s="60"/>
      <c r="H60" s="60"/>
    </row>
    <row r="61" spans="1:8">
      <c r="A61" s="96"/>
      <c r="B61" s="103"/>
      <c r="C61" s="102"/>
      <c r="D61" s="102"/>
      <c r="F61" s="60"/>
      <c r="G61" s="60"/>
      <c r="H61" s="60"/>
    </row>
    <row r="62" spans="1:8">
      <c r="A62" s="96"/>
      <c r="B62" s="3"/>
      <c r="F62" s="60"/>
      <c r="G62" s="60"/>
      <c r="H62" s="60"/>
    </row>
    <row r="63" spans="1:8">
      <c r="A63" s="96"/>
      <c r="B63" s="102"/>
      <c r="C63" s="102"/>
      <c r="D63" s="102"/>
      <c r="F63" s="60"/>
      <c r="G63" s="60"/>
      <c r="H63" s="60"/>
    </row>
    <row r="64" spans="1:8">
      <c r="A64" s="99"/>
      <c r="B64" s="100" t="s">
        <v>77</v>
      </c>
      <c r="C64" s="99"/>
      <c r="D64" s="99"/>
      <c r="E64" s="194">
        <f>SUM(E65:E102)</f>
        <v>-24792.94</v>
      </c>
      <c r="F64" s="60"/>
      <c r="G64" s="60"/>
    </row>
    <row r="65" spans="1:8">
      <c r="A65" s="96"/>
      <c r="B65" s="102"/>
      <c r="C65" s="102"/>
      <c r="E65" s="120"/>
      <c r="F65" s="60"/>
      <c r="G65" s="60"/>
      <c r="H65" s="60"/>
    </row>
    <row r="66" spans="1:8">
      <c r="A66" s="96">
        <v>45187</v>
      </c>
      <c r="B66" s="102" t="s">
        <v>674</v>
      </c>
      <c r="C66" s="102"/>
      <c r="D66" s="8" t="s">
        <v>718</v>
      </c>
      <c r="E66" s="120">
        <v>-3974.44</v>
      </c>
      <c r="G66" s="60"/>
      <c r="H66" s="60"/>
    </row>
    <row r="67" spans="1:8">
      <c r="A67" s="154">
        <v>45214</v>
      </c>
      <c r="B67" s="8" t="s">
        <v>647</v>
      </c>
      <c r="D67" s="8" t="s">
        <v>719</v>
      </c>
      <c r="E67" s="120">
        <v>-600</v>
      </c>
      <c r="F67" s="60"/>
      <c r="G67" s="60"/>
      <c r="H67" s="60"/>
    </row>
    <row r="68" spans="1:8">
      <c r="A68" s="154">
        <v>45285</v>
      </c>
      <c r="B68" s="102" t="s">
        <v>512</v>
      </c>
      <c r="C68" s="102"/>
      <c r="D68" s="8" t="s">
        <v>720</v>
      </c>
      <c r="E68" s="120">
        <v>-3551.66</v>
      </c>
      <c r="F68" s="60"/>
      <c r="G68" s="60"/>
      <c r="H68" s="60"/>
    </row>
    <row r="69" spans="1:8">
      <c r="A69" s="154">
        <v>45259</v>
      </c>
      <c r="B69" s="8" t="s">
        <v>678</v>
      </c>
      <c r="C69" s="165">
        <v>-1204.5</v>
      </c>
      <c r="D69" s="8" t="s">
        <v>721</v>
      </c>
      <c r="E69" s="120">
        <v>-401.5</v>
      </c>
      <c r="F69" s="60"/>
      <c r="G69" s="60"/>
      <c r="H69" s="60"/>
    </row>
    <row r="70" spans="1:8">
      <c r="A70" s="154">
        <v>45259</v>
      </c>
      <c r="B70" s="8" t="s">
        <v>680</v>
      </c>
      <c r="C70" s="165">
        <v>-148.6</v>
      </c>
      <c r="D70" s="8" t="s">
        <v>721</v>
      </c>
      <c r="E70" s="120">
        <v>-49.53</v>
      </c>
      <c r="F70" s="60"/>
      <c r="G70" s="60"/>
      <c r="H70" s="60"/>
    </row>
    <row r="71" spans="1:8">
      <c r="A71" s="154">
        <v>45259</v>
      </c>
      <c r="B71" s="8" t="s">
        <v>681</v>
      </c>
      <c r="C71" s="165">
        <v>-244.8</v>
      </c>
      <c r="D71" s="8" t="s">
        <v>721</v>
      </c>
      <c r="E71" s="120">
        <v>-81.599999999999994</v>
      </c>
      <c r="F71" s="60"/>
      <c r="G71" s="60"/>
      <c r="H71" s="60"/>
    </row>
    <row r="72" spans="1:8">
      <c r="A72" s="154">
        <v>45259</v>
      </c>
      <c r="B72" s="8" t="s">
        <v>682</v>
      </c>
      <c r="C72" s="165">
        <v>-532.6</v>
      </c>
      <c r="D72" s="8" t="s">
        <v>721</v>
      </c>
      <c r="E72" s="120">
        <v>-177.53</v>
      </c>
      <c r="F72" s="60"/>
      <c r="G72" s="60"/>
      <c r="H72" s="60"/>
    </row>
    <row r="73" spans="1:8">
      <c r="A73" s="154"/>
      <c r="B73" s="102" t="s">
        <v>153</v>
      </c>
      <c r="C73" s="102">
        <v>899</v>
      </c>
      <c r="D73" s="8" t="s">
        <v>722</v>
      </c>
      <c r="E73" s="120">
        <v>-449.5</v>
      </c>
      <c r="F73" s="60"/>
      <c r="G73" s="60"/>
      <c r="H73" s="60"/>
    </row>
    <row r="74" spans="1:8">
      <c r="A74" s="154"/>
      <c r="B74" s="102" t="s">
        <v>684</v>
      </c>
      <c r="C74" s="102"/>
      <c r="D74" s="8" t="s">
        <v>722</v>
      </c>
      <c r="E74" s="120">
        <v>-299.64</v>
      </c>
      <c r="F74" s="60"/>
      <c r="G74" s="60"/>
      <c r="H74" s="60"/>
    </row>
    <row r="75" spans="1:8">
      <c r="A75" s="154"/>
      <c r="B75" s="102" t="s">
        <v>685</v>
      </c>
      <c r="C75" s="102"/>
      <c r="D75" s="8" t="s">
        <v>722</v>
      </c>
      <c r="E75" s="120">
        <v>-546.83000000000004</v>
      </c>
      <c r="F75" s="60"/>
      <c r="G75" s="60"/>
      <c r="H75" s="60"/>
    </row>
    <row r="76" spans="1:8">
      <c r="A76" s="96"/>
      <c r="B76" s="3"/>
      <c r="C76" s="102"/>
      <c r="D76" s="102"/>
      <c r="E76" s="120"/>
      <c r="F76" s="60"/>
      <c r="G76" s="60"/>
      <c r="H76" s="60"/>
    </row>
    <row r="77" spans="1:8">
      <c r="A77" s="96">
        <v>45312</v>
      </c>
      <c r="B77" s="3" t="s">
        <v>532</v>
      </c>
      <c r="C77" s="102"/>
      <c r="D77" s="102"/>
      <c r="E77" s="120">
        <v>-505</v>
      </c>
      <c r="F77" s="60"/>
      <c r="G77" s="60"/>
      <c r="H77" s="60"/>
    </row>
    <row r="78" spans="1:8">
      <c r="A78" s="96">
        <v>45312</v>
      </c>
      <c r="B78" s="3" t="s">
        <v>520</v>
      </c>
      <c r="C78" s="102"/>
      <c r="D78" s="102"/>
      <c r="E78" s="120">
        <v>-223.2</v>
      </c>
      <c r="F78" s="60"/>
      <c r="G78" s="60"/>
      <c r="H78" s="60"/>
    </row>
    <row r="79" spans="1:8">
      <c r="A79" s="96">
        <v>45310</v>
      </c>
      <c r="B79" s="3" t="s">
        <v>532</v>
      </c>
      <c r="C79" s="102"/>
      <c r="D79" s="102"/>
      <c r="E79" s="120">
        <v>-655</v>
      </c>
      <c r="F79" s="60"/>
      <c r="G79" s="60"/>
      <c r="H79" s="60"/>
    </row>
    <row r="80" spans="1:8">
      <c r="A80" s="96">
        <v>45293</v>
      </c>
      <c r="B80" s="3" t="s">
        <v>723</v>
      </c>
      <c r="C80" s="102"/>
      <c r="D80" s="102"/>
      <c r="E80" s="120">
        <v>-480</v>
      </c>
      <c r="F80" s="60"/>
      <c r="G80" s="60"/>
      <c r="H80" s="60"/>
    </row>
    <row r="81" spans="1:8">
      <c r="A81" s="96">
        <v>45293</v>
      </c>
      <c r="B81" s="3" t="s">
        <v>724</v>
      </c>
      <c r="C81" s="102"/>
      <c r="D81" s="102"/>
      <c r="E81" s="120">
        <v>-1200</v>
      </c>
      <c r="F81" s="60"/>
      <c r="G81" s="60"/>
      <c r="H81" s="60"/>
    </row>
    <row r="82" spans="1:8">
      <c r="A82" s="96">
        <v>45293</v>
      </c>
      <c r="B82" s="3" t="s">
        <v>724</v>
      </c>
      <c r="C82" s="102"/>
      <c r="D82" s="102"/>
      <c r="E82" s="120">
        <v>-500</v>
      </c>
      <c r="F82" s="60"/>
      <c r="G82" s="60"/>
      <c r="H82" s="60"/>
    </row>
    <row r="83" spans="1:8">
      <c r="A83" s="96"/>
      <c r="B83" s="3" t="s">
        <v>121</v>
      </c>
      <c r="C83" s="102">
        <v>12474.55</v>
      </c>
      <c r="D83" s="102"/>
      <c r="E83" s="120"/>
      <c r="F83" s="60"/>
      <c r="G83" s="60"/>
      <c r="H83" s="60"/>
    </row>
    <row r="84" spans="1:8">
      <c r="A84" s="96">
        <v>45293</v>
      </c>
      <c r="B84" s="3" t="s">
        <v>725</v>
      </c>
      <c r="C84" s="102"/>
      <c r="D84" s="102"/>
      <c r="E84" s="120">
        <v>-150</v>
      </c>
      <c r="F84" s="60"/>
      <c r="G84" s="60"/>
      <c r="H84" s="60"/>
    </row>
    <row r="85" spans="1:8">
      <c r="A85" s="96">
        <v>45291</v>
      </c>
      <c r="B85" s="3" t="s">
        <v>726</v>
      </c>
      <c r="C85" s="102"/>
      <c r="D85" s="102"/>
      <c r="E85" s="120">
        <v>-60</v>
      </c>
      <c r="F85" s="60"/>
      <c r="G85" s="60"/>
      <c r="H85" s="60"/>
    </row>
    <row r="86" spans="1:8">
      <c r="A86" s="96">
        <v>45290</v>
      </c>
      <c r="B86" s="3" t="s">
        <v>727</v>
      </c>
      <c r="C86" s="102"/>
      <c r="D86" s="102"/>
      <c r="E86" s="120">
        <v>-73</v>
      </c>
      <c r="F86" s="60"/>
      <c r="G86" s="60"/>
      <c r="H86" s="60"/>
    </row>
    <row r="87" spans="1:8">
      <c r="A87" s="96">
        <v>45290</v>
      </c>
      <c r="B87" s="3" t="s">
        <v>727</v>
      </c>
      <c r="C87" s="102"/>
      <c r="D87" s="102"/>
      <c r="E87" s="120">
        <v>-100</v>
      </c>
      <c r="F87" s="60"/>
      <c r="G87" s="60"/>
      <c r="H87" s="60"/>
    </row>
    <row r="88" spans="1:8">
      <c r="A88" s="96">
        <v>45289</v>
      </c>
      <c r="B88" s="3" t="s">
        <v>723</v>
      </c>
      <c r="C88" s="102"/>
      <c r="D88" s="102"/>
      <c r="E88" s="120">
        <v>-944</v>
      </c>
      <c r="F88" s="60"/>
      <c r="G88" s="60"/>
      <c r="H88" s="60"/>
    </row>
    <row r="89" spans="1:8">
      <c r="A89" s="96">
        <v>45288</v>
      </c>
      <c r="B89" s="3" t="s">
        <v>728</v>
      </c>
      <c r="C89" s="102"/>
      <c r="D89" s="102"/>
      <c r="E89" s="120">
        <v>-140</v>
      </c>
      <c r="F89" s="60"/>
      <c r="G89" s="60"/>
      <c r="H89" s="60"/>
    </row>
    <row r="90" spans="1:8">
      <c r="A90" s="96">
        <v>45288</v>
      </c>
      <c r="B90" s="3" t="s">
        <v>729</v>
      </c>
      <c r="C90" s="102"/>
      <c r="D90" s="102"/>
      <c r="E90" s="120">
        <v>-1570.18</v>
      </c>
      <c r="F90" s="60"/>
      <c r="G90" s="60"/>
      <c r="H90" s="60"/>
    </row>
    <row r="91" spans="1:8">
      <c r="A91" s="96">
        <v>45288</v>
      </c>
      <c r="B91" s="3" t="s">
        <v>401</v>
      </c>
      <c r="C91" s="102"/>
      <c r="D91" s="102"/>
      <c r="E91" s="120">
        <v>-169.27</v>
      </c>
      <c r="F91" s="60"/>
      <c r="G91" s="60"/>
      <c r="H91" s="60"/>
    </row>
    <row r="92" spans="1:8">
      <c r="A92" s="96">
        <v>45288</v>
      </c>
      <c r="B92" s="3" t="s">
        <v>730</v>
      </c>
      <c r="C92" s="102"/>
      <c r="D92" s="102"/>
      <c r="E92" s="120">
        <v>-800</v>
      </c>
      <c r="F92" s="60"/>
      <c r="G92" s="60"/>
      <c r="H92" s="60"/>
    </row>
    <row r="93" spans="1:8">
      <c r="A93" s="96">
        <v>45287</v>
      </c>
      <c r="B93" s="3" t="s">
        <v>401</v>
      </c>
      <c r="C93" s="102"/>
      <c r="D93" s="102"/>
      <c r="E93" s="120">
        <v>-438.05</v>
      </c>
      <c r="F93" s="60"/>
      <c r="G93" s="60"/>
      <c r="H93" s="60"/>
    </row>
    <row r="94" spans="1:8">
      <c r="A94" s="96">
        <v>45653</v>
      </c>
      <c r="B94" s="3" t="s">
        <v>475</v>
      </c>
      <c r="C94" s="102"/>
      <c r="D94" s="102">
        <v>185</v>
      </c>
      <c r="E94" s="120">
        <v>-185</v>
      </c>
      <c r="F94" s="60"/>
      <c r="G94" s="60"/>
      <c r="H94" s="60"/>
    </row>
    <row r="95" spans="1:8">
      <c r="A95" s="96">
        <v>45653</v>
      </c>
      <c r="B95" s="3" t="s">
        <v>731</v>
      </c>
      <c r="C95" s="102"/>
      <c r="D95" s="102">
        <v>25.85</v>
      </c>
      <c r="E95" s="120">
        <v>-25.85</v>
      </c>
      <c r="F95" s="60"/>
      <c r="G95" s="60"/>
      <c r="H95" s="60"/>
    </row>
    <row r="96" spans="1:8">
      <c r="A96" s="96">
        <v>45286</v>
      </c>
      <c r="B96" s="3" t="s">
        <v>732</v>
      </c>
      <c r="C96" s="102"/>
      <c r="D96" s="102"/>
      <c r="E96" s="120">
        <v>-160</v>
      </c>
      <c r="F96" s="60"/>
      <c r="G96" s="60"/>
      <c r="H96" s="60"/>
    </row>
    <row r="97" spans="1:8">
      <c r="A97" s="96">
        <v>45286</v>
      </c>
      <c r="B97" s="3" t="s">
        <v>733</v>
      </c>
      <c r="C97" s="102"/>
      <c r="D97" s="102"/>
      <c r="E97" s="120">
        <v>-300</v>
      </c>
      <c r="F97" s="60"/>
      <c r="G97" s="60"/>
      <c r="H97" s="60"/>
    </row>
    <row r="98" spans="1:8">
      <c r="A98" s="96">
        <v>45651</v>
      </c>
      <c r="B98" s="3" t="s">
        <v>734</v>
      </c>
      <c r="C98" s="102"/>
      <c r="D98" s="102">
        <v>112.64</v>
      </c>
      <c r="E98" s="120">
        <v>-112.64</v>
      </c>
      <c r="F98" s="60"/>
      <c r="G98" s="60"/>
      <c r="H98" s="60"/>
    </row>
    <row r="99" spans="1:8">
      <c r="A99" s="96"/>
      <c r="B99" s="3" t="s">
        <v>735</v>
      </c>
      <c r="C99" s="102"/>
      <c r="D99" s="102"/>
      <c r="E99" s="120">
        <v>-193</v>
      </c>
      <c r="F99" s="60"/>
      <c r="G99" s="60"/>
      <c r="H99" s="60"/>
    </row>
    <row r="100" spans="1:8">
      <c r="A100" s="96"/>
      <c r="B100" s="3" t="s">
        <v>736</v>
      </c>
      <c r="C100" s="102"/>
      <c r="D100" s="102"/>
      <c r="E100" s="120">
        <v>-5517.52</v>
      </c>
      <c r="F100" s="60"/>
      <c r="G100" s="60"/>
      <c r="H100" s="60"/>
    </row>
    <row r="101" spans="1:8">
      <c r="A101" s="96"/>
      <c r="B101" s="3" t="s">
        <v>737</v>
      </c>
      <c r="C101" s="102"/>
      <c r="D101" s="102"/>
      <c r="E101" s="120">
        <v>-105</v>
      </c>
      <c r="F101" s="60"/>
      <c r="G101" s="60"/>
      <c r="H101" s="60"/>
    </row>
    <row r="102" spans="1:8">
      <c r="A102" s="96"/>
      <c r="B102" s="3" t="s">
        <v>737</v>
      </c>
      <c r="C102" s="102"/>
      <c r="D102" s="102"/>
      <c r="E102" s="120">
        <v>-54</v>
      </c>
      <c r="F102" s="60"/>
      <c r="G102" s="60"/>
      <c r="H102" s="60"/>
    </row>
    <row r="103" spans="1:8">
      <c r="A103" s="96"/>
      <c r="B103" s="3"/>
      <c r="C103" s="195" t="s">
        <v>738</v>
      </c>
      <c r="D103" s="103">
        <f>SUM(D94:D102)</f>
        <v>323.49</v>
      </c>
      <c r="E103" s="120"/>
      <c r="F103" s="60"/>
      <c r="G103" s="60"/>
      <c r="H103" s="60"/>
    </row>
    <row r="104" spans="1:8" ht="15">
      <c r="A104" s="96"/>
      <c r="B104" s="3"/>
      <c r="C104" s="102"/>
      <c r="D104" s="101" t="s">
        <v>76</v>
      </c>
      <c r="E104" s="120"/>
      <c r="F104" s="60"/>
      <c r="G104" s="60"/>
      <c r="H104" s="60"/>
    </row>
    <row r="105" spans="1:8" ht="15">
      <c r="A105" s="96"/>
      <c r="B105" s="3"/>
      <c r="C105" s="102"/>
      <c r="D105" s="171"/>
      <c r="E105" s="120"/>
      <c r="F105" s="60"/>
      <c r="G105" s="60"/>
      <c r="H105" s="60"/>
    </row>
    <row r="106" spans="1:8" ht="15">
      <c r="A106" s="96"/>
      <c r="B106" s="3"/>
      <c r="C106" s="102"/>
      <c r="D106" s="171"/>
      <c r="E106" s="120"/>
      <c r="F106" s="60"/>
      <c r="G106" s="60"/>
      <c r="H106" s="60"/>
    </row>
    <row r="107" spans="1:8" ht="15">
      <c r="A107" s="96"/>
      <c r="B107" s="3"/>
      <c r="C107" s="102"/>
      <c r="D107" s="171"/>
      <c r="E107" s="120"/>
      <c r="F107" s="60"/>
      <c r="G107" s="60"/>
      <c r="H107" s="60"/>
    </row>
    <row r="108" spans="1:8" ht="15">
      <c r="A108" s="96"/>
      <c r="B108" s="3"/>
      <c r="C108" s="102"/>
      <c r="D108" s="171"/>
      <c r="E108" s="120"/>
      <c r="F108" s="60"/>
      <c r="G108" s="60"/>
      <c r="H108" s="60"/>
    </row>
    <row r="109" spans="1:8">
      <c r="D109" s="15"/>
    </row>
    <row r="111" spans="1:8">
      <c r="A111" s="109" t="s">
        <v>739</v>
      </c>
      <c r="B111" s="100" t="s">
        <v>128</v>
      </c>
      <c r="C111" s="99">
        <v>2024</v>
      </c>
      <c r="D111" s="147"/>
      <c r="E111" s="148">
        <f>SUM(E112:E130)</f>
        <v>809249.830357</v>
      </c>
    </row>
    <row r="112" spans="1:8">
      <c r="A112" s="149">
        <v>45352</v>
      </c>
      <c r="B112" s="8" t="s">
        <v>69</v>
      </c>
      <c r="C112" s="2"/>
      <c r="D112" s="2"/>
      <c r="E112" s="14">
        <v>64000</v>
      </c>
    </row>
    <row r="113" spans="1:6">
      <c r="A113" s="149">
        <f t="shared" ref="A113:A130" si="1">A112</f>
        <v>45352</v>
      </c>
      <c r="B113" s="8" t="s">
        <v>740</v>
      </c>
      <c r="C113" s="2"/>
      <c r="D113" s="2"/>
      <c r="E113" s="14">
        <v>180345.5</v>
      </c>
      <c r="F113">
        <v>30000</v>
      </c>
    </row>
    <row r="114" spans="1:6">
      <c r="A114" s="149">
        <f t="shared" si="1"/>
        <v>45352</v>
      </c>
      <c r="B114" s="8" t="s">
        <v>292</v>
      </c>
      <c r="C114" s="2"/>
      <c r="D114" s="2"/>
      <c r="E114" s="14">
        <v>5039.78</v>
      </c>
      <c r="F114" s="2">
        <f>E114</f>
        <v>5039.78</v>
      </c>
    </row>
    <row r="115" spans="1:6">
      <c r="A115" s="149">
        <f t="shared" si="1"/>
        <v>45352</v>
      </c>
      <c r="B115" s="8" t="s">
        <v>293</v>
      </c>
      <c r="C115" s="2"/>
      <c r="D115" s="2"/>
      <c r="E115" s="14">
        <v>0</v>
      </c>
    </row>
    <row r="116" spans="1:6">
      <c r="A116" s="149">
        <f t="shared" si="1"/>
        <v>45352</v>
      </c>
      <c r="B116" s="8" t="s">
        <v>489</v>
      </c>
      <c r="C116" s="2"/>
      <c r="D116" s="2"/>
      <c r="E116" s="14">
        <v>0</v>
      </c>
    </row>
    <row r="117" spans="1:6">
      <c r="A117" s="149">
        <f t="shared" si="1"/>
        <v>45352</v>
      </c>
      <c r="B117" s="8" t="s">
        <v>294</v>
      </c>
      <c r="C117" s="120"/>
      <c r="D117" s="2"/>
      <c r="E117" s="14">
        <v>0</v>
      </c>
    </row>
    <row r="118" spans="1:6">
      <c r="A118" s="149">
        <f t="shared" si="1"/>
        <v>45352</v>
      </c>
      <c r="B118" s="8" t="s">
        <v>228</v>
      </c>
      <c r="C118" s="2" t="s">
        <v>741</v>
      </c>
      <c r="D118" s="2"/>
      <c r="E118" s="14">
        <v>32865.519999999997</v>
      </c>
      <c r="F118" s="2">
        <f>E118</f>
        <v>32865.519999999997</v>
      </c>
    </row>
    <row r="119" spans="1:6">
      <c r="A119" s="149">
        <f t="shared" si="1"/>
        <v>45352</v>
      </c>
      <c r="B119" s="8" t="s">
        <v>490</v>
      </c>
      <c r="C119" s="2" t="s">
        <v>692</v>
      </c>
      <c r="D119" s="2"/>
      <c r="E119" s="14">
        <v>129254.5</v>
      </c>
    </row>
    <row r="120" spans="1:6">
      <c r="A120" s="149">
        <f t="shared" si="1"/>
        <v>45352</v>
      </c>
      <c r="B120" s="8" t="s">
        <v>693</v>
      </c>
      <c r="C120" s="2" t="s">
        <v>694</v>
      </c>
      <c r="D120" s="2"/>
      <c r="E120" s="14">
        <v>256.56</v>
      </c>
      <c r="F120" s="2">
        <f>E120</f>
        <v>256.56</v>
      </c>
    </row>
    <row r="121" spans="1:6">
      <c r="A121" s="149">
        <f t="shared" si="1"/>
        <v>45352</v>
      </c>
      <c r="B121" s="8" t="s">
        <v>695</v>
      </c>
      <c r="C121" s="149" t="s">
        <v>742</v>
      </c>
      <c r="D121" s="150"/>
      <c r="E121" s="14">
        <v>1031.76</v>
      </c>
      <c r="F121" s="2">
        <f>E121</f>
        <v>1031.76</v>
      </c>
    </row>
    <row r="122" spans="1:6">
      <c r="A122" s="149">
        <f t="shared" si="1"/>
        <v>45352</v>
      </c>
      <c r="B122" s="8" t="s">
        <v>697</v>
      </c>
      <c r="C122" s="149" t="s">
        <v>698</v>
      </c>
      <c r="D122" s="150"/>
      <c r="E122" s="14">
        <v>588.6</v>
      </c>
    </row>
    <row r="123" spans="1:6">
      <c r="A123" s="149">
        <f t="shared" si="1"/>
        <v>45352</v>
      </c>
      <c r="B123" s="8" t="s">
        <v>699</v>
      </c>
      <c r="C123" s="149"/>
      <c r="D123" s="150"/>
      <c r="E123" s="14"/>
    </row>
    <row r="124" spans="1:6">
      <c r="A124" s="149">
        <f t="shared" si="1"/>
        <v>45352</v>
      </c>
      <c r="B124" s="8" t="s">
        <v>132</v>
      </c>
      <c r="C124" s="2"/>
      <c r="D124" s="2"/>
      <c r="E124" s="14">
        <v>450</v>
      </c>
      <c r="F124" s="2">
        <f>E124</f>
        <v>450</v>
      </c>
    </row>
    <row r="125" spans="1:6">
      <c r="A125" s="149">
        <f t="shared" si="1"/>
        <v>45352</v>
      </c>
      <c r="B125" s="8" t="s">
        <v>700</v>
      </c>
      <c r="C125" s="2">
        <v>2017.98</v>
      </c>
      <c r="D125" s="2">
        <v>161</v>
      </c>
      <c r="E125" s="14">
        <f>D125*C125</f>
        <v>324894.78000000003</v>
      </c>
    </row>
    <row r="126" spans="1:6">
      <c r="A126" s="149">
        <f t="shared" si="1"/>
        <v>45352</v>
      </c>
      <c r="B126" s="8" t="s">
        <v>701</v>
      </c>
      <c r="C126" s="151">
        <v>30.726199999999999</v>
      </c>
      <c r="D126" s="2">
        <v>850</v>
      </c>
      <c r="E126" s="14">
        <f>D126*C126</f>
        <v>26117.27</v>
      </c>
      <c r="F126" s="2"/>
    </row>
    <row r="127" spans="1:6">
      <c r="A127" s="149">
        <f t="shared" si="1"/>
        <v>45352</v>
      </c>
      <c r="B127" s="8" t="s">
        <v>496</v>
      </c>
      <c r="C127" s="151">
        <v>30.725999999999999</v>
      </c>
      <c r="D127" s="2">
        <v>250</v>
      </c>
      <c r="E127" s="14">
        <f>D127*C127</f>
        <v>7681.5</v>
      </c>
    </row>
    <row r="128" spans="1:6">
      <c r="A128" s="149">
        <f t="shared" si="1"/>
        <v>45352</v>
      </c>
      <c r="B128" s="8" t="s">
        <v>702</v>
      </c>
      <c r="C128" s="151">
        <v>33.224299999999999</v>
      </c>
      <c r="D128" s="2">
        <v>81.99</v>
      </c>
      <c r="E128" s="14">
        <f>D128*C128</f>
        <v>2724.0603569999998</v>
      </c>
    </row>
    <row r="129" spans="1:6">
      <c r="A129" s="149">
        <f t="shared" si="1"/>
        <v>45352</v>
      </c>
      <c r="B129" s="8" t="s">
        <v>144</v>
      </c>
      <c r="C129" s="2"/>
      <c r="D129" s="2"/>
      <c r="E129" s="14">
        <v>30000</v>
      </c>
      <c r="F129" s="2">
        <f>E129</f>
        <v>30000</v>
      </c>
    </row>
    <row r="130" spans="1:6">
      <c r="A130" s="149">
        <f t="shared" si="1"/>
        <v>45352</v>
      </c>
      <c r="B130" s="8" t="s">
        <v>145</v>
      </c>
      <c r="C130" s="2"/>
      <c r="D130" s="2"/>
      <c r="E130" s="14">
        <v>4000</v>
      </c>
      <c r="F130" s="2">
        <f>E130</f>
        <v>4000</v>
      </c>
    </row>
    <row r="131" spans="1:6">
      <c r="F131" s="8">
        <f>SUM(F113:F130)</f>
        <v>103643.61999999998</v>
      </c>
    </row>
    <row r="132" spans="1:6">
      <c r="C132" s="120"/>
      <c r="D132" s="3"/>
      <c r="E132" s="120"/>
    </row>
    <row r="133" spans="1:6">
      <c r="C133" s="120"/>
      <c r="D133" s="15" t="s">
        <v>147</v>
      </c>
      <c r="E133" s="9">
        <f>SUM(E112:E130)</f>
        <v>809249.830357</v>
      </c>
    </row>
    <row r="134" spans="1:6">
      <c r="C134" s="121" t="str">
        <f>A111</f>
        <v>ŞUBAT</v>
      </c>
      <c r="D134" s="122" t="s">
        <v>148</v>
      </c>
      <c r="E134" s="123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2F0D9"/>
  </sheetPr>
  <dimension ref="A1:H149"/>
  <sheetViews>
    <sheetView topLeftCell="A59" zoomScale="170" zoomScaleNormal="170" workbookViewId="0">
      <selection activeCell="B42" sqref="B42"/>
    </sheetView>
  </sheetViews>
  <sheetFormatPr defaultColWidth="12.28515625" defaultRowHeight="12.75"/>
  <cols>
    <col min="2" max="2" width="35.85546875" customWidth="1"/>
    <col min="3" max="3" width="9.85546875" style="120" customWidth="1"/>
    <col min="4" max="4" width="15.5703125" style="120" customWidth="1"/>
    <col min="5" max="5" width="13.140625" style="120" customWidth="1"/>
    <col min="6" max="8" width="12.28515625" style="120"/>
    <col min="1024" max="1024" width="9.140625" customWidth="1"/>
  </cols>
  <sheetData>
    <row r="1" spans="1:8">
      <c r="F1" s="120" t="s">
        <v>20</v>
      </c>
      <c r="G1" s="120" t="s">
        <v>21</v>
      </c>
      <c r="H1" s="120" t="s">
        <v>3</v>
      </c>
    </row>
    <row r="2" spans="1:8">
      <c r="A2" s="3" t="s">
        <v>743</v>
      </c>
      <c r="C2" s="120" t="s">
        <v>59</v>
      </c>
      <c r="D2" s="120">
        <f>SUM(D4:D42)</f>
        <v>340464.6</v>
      </c>
      <c r="E2" s="120">
        <f>SUM(E4:E42)</f>
        <v>-52469.760000000002</v>
      </c>
      <c r="F2" s="120">
        <f>SUM(F4:F42)</f>
        <v>194911.58000000002</v>
      </c>
      <c r="G2" s="120">
        <f>SUM(G4:G42)</f>
        <v>-66377.209999999992</v>
      </c>
      <c r="H2" s="120">
        <f>F2+G2</f>
        <v>128534.37000000002</v>
      </c>
    </row>
    <row r="3" spans="1:8">
      <c r="B3" s="15"/>
    </row>
    <row r="4" spans="1:8">
      <c r="A4" s="154">
        <v>45231</v>
      </c>
      <c r="B4" s="38" t="s">
        <v>416</v>
      </c>
      <c r="E4" s="120">
        <v>-152</v>
      </c>
      <c r="G4" s="120">
        <v>-152</v>
      </c>
      <c r="H4" s="120">
        <f t="shared" ref="H4:H45" si="0">H3+F4+G4</f>
        <v>-152</v>
      </c>
    </row>
    <row r="5" spans="1:8">
      <c r="A5" s="154"/>
      <c r="B5" s="8" t="s">
        <v>386</v>
      </c>
      <c r="E5" s="120">
        <v>-10000</v>
      </c>
      <c r="G5" s="120">
        <v>-10000</v>
      </c>
      <c r="H5" s="120">
        <f t="shared" si="0"/>
        <v>-10152</v>
      </c>
    </row>
    <row r="6" spans="1:8">
      <c r="B6" s="97" t="s">
        <v>744</v>
      </c>
      <c r="E6" s="120">
        <v>-250</v>
      </c>
      <c r="G6" s="120">
        <v>-250</v>
      </c>
      <c r="H6" s="120">
        <f t="shared" si="0"/>
        <v>-10402</v>
      </c>
    </row>
    <row r="7" spans="1:8">
      <c r="B7" s="97"/>
      <c r="H7" s="120">
        <f t="shared" si="0"/>
        <v>-10402</v>
      </c>
    </row>
    <row r="8" spans="1:8">
      <c r="B8" s="97" t="s">
        <v>67</v>
      </c>
      <c r="C8" s="120" t="s">
        <v>315</v>
      </c>
      <c r="E8" s="120">
        <v>-150</v>
      </c>
      <c r="G8" s="120">
        <v>0</v>
      </c>
      <c r="H8" s="120">
        <f t="shared" si="0"/>
        <v>-10402</v>
      </c>
    </row>
    <row r="9" spans="1:8">
      <c r="A9" s="154">
        <v>45309</v>
      </c>
      <c r="B9" s="102" t="s">
        <v>65</v>
      </c>
      <c r="C9" s="120" t="s">
        <v>315</v>
      </c>
      <c r="D9" s="120">
        <v>137.30000000000001</v>
      </c>
      <c r="E9" s="120">
        <v>-300</v>
      </c>
      <c r="G9" s="120">
        <v>-1408</v>
      </c>
      <c r="H9" s="120">
        <f t="shared" si="0"/>
        <v>-11810</v>
      </c>
    </row>
    <row r="10" spans="1:8">
      <c r="A10" s="154">
        <v>45299</v>
      </c>
      <c r="B10" s="102" t="s">
        <v>66</v>
      </c>
      <c r="C10" s="120" t="s">
        <v>315</v>
      </c>
      <c r="D10" s="120">
        <v>27.3</v>
      </c>
      <c r="E10" s="120">
        <v>-100</v>
      </c>
      <c r="G10" s="120">
        <v>0</v>
      </c>
      <c r="H10" s="120">
        <f t="shared" si="0"/>
        <v>-11810</v>
      </c>
    </row>
    <row r="11" spans="1:8">
      <c r="B11" s="97"/>
      <c r="H11" s="120">
        <f t="shared" si="0"/>
        <v>-11810</v>
      </c>
    </row>
    <row r="12" spans="1:8">
      <c r="B12" s="167" t="s">
        <v>64</v>
      </c>
      <c r="E12" s="120">
        <f>E55*-1</f>
        <v>-169.14</v>
      </c>
      <c r="G12" s="120">
        <f>E12</f>
        <v>-169.14</v>
      </c>
      <c r="H12" s="120">
        <f t="shared" si="0"/>
        <v>-11979.14</v>
      </c>
    </row>
    <row r="13" spans="1:8">
      <c r="A13" s="154"/>
      <c r="B13" s="167" t="s">
        <v>60</v>
      </c>
      <c r="E13" s="120">
        <f>E60</f>
        <v>-3961.94</v>
      </c>
      <c r="G13" s="120">
        <f>E13</f>
        <v>-3961.94</v>
      </c>
      <c r="H13" s="120">
        <f t="shared" si="0"/>
        <v>-15941.08</v>
      </c>
    </row>
    <row r="14" spans="1:8">
      <c r="A14" s="154">
        <v>45294</v>
      </c>
      <c r="B14" s="167" t="s">
        <v>61</v>
      </c>
      <c r="E14" s="120">
        <f>E77</f>
        <v>-12474.550000000001</v>
      </c>
      <c r="G14" s="120">
        <v>-12474</v>
      </c>
      <c r="H14" s="120">
        <f t="shared" si="0"/>
        <v>-28415.08</v>
      </c>
    </row>
    <row r="15" spans="1:8">
      <c r="A15" s="96">
        <v>45295</v>
      </c>
      <c r="B15" s="97" t="s">
        <v>745</v>
      </c>
      <c r="E15" s="120">
        <v>-5375</v>
      </c>
      <c r="G15" s="120">
        <f>E15</f>
        <v>-5375</v>
      </c>
      <c r="H15" s="120">
        <f t="shared" si="0"/>
        <v>-33790.080000000002</v>
      </c>
    </row>
    <row r="16" spans="1:8">
      <c r="A16" s="96"/>
      <c r="B16" s="97" t="s">
        <v>745</v>
      </c>
      <c r="E16" s="120">
        <v>-2125</v>
      </c>
      <c r="G16" s="120">
        <f>E16</f>
        <v>-2125</v>
      </c>
      <c r="H16" s="120">
        <f t="shared" si="0"/>
        <v>-35915.08</v>
      </c>
    </row>
    <row r="17" spans="1:8">
      <c r="B17" s="97" t="s">
        <v>746</v>
      </c>
      <c r="E17" s="120">
        <v>-1512.13</v>
      </c>
      <c r="G17" s="120">
        <v>-1512.13</v>
      </c>
      <c r="H17" s="120">
        <f t="shared" si="0"/>
        <v>-37427.21</v>
      </c>
    </row>
    <row r="18" spans="1:8">
      <c r="H18" s="120">
        <f t="shared" si="0"/>
        <v>-37427.21</v>
      </c>
    </row>
    <row r="19" spans="1:8">
      <c r="B19" t="s">
        <v>69</v>
      </c>
      <c r="E19" s="120">
        <v>-5000</v>
      </c>
      <c r="G19" s="120">
        <v>-4800</v>
      </c>
      <c r="H19" s="120">
        <f t="shared" si="0"/>
        <v>-42227.21</v>
      </c>
    </row>
    <row r="20" spans="1:8">
      <c r="B20" t="s">
        <v>70</v>
      </c>
      <c r="E20" s="120">
        <v>-5000</v>
      </c>
      <c r="G20" s="120">
        <v>-4800</v>
      </c>
      <c r="H20" s="120">
        <f t="shared" si="0"/>
        <v>-47027.21</v>
      </c>
    </row>
    <row r="21" spans="1:8">
      <c r="B21" t="s">
        <v>71</v>
      </c>
      <c r="E21" s="120">
        <v>-5000</v>
      </c>
      <c r="G21" s="120">
        <v>-5000</v>
      </c>
      <c r="H21" s="120">
        <f t="shared" si="0"/>
        <v>-52027.21</v>
      </c>
    </row>
    <row r="22" spans="1:8">
      <c r="B22" s="97" t="s">
        <v>72</v>
      </c>
      <c r="E22" s="120">
        <v>-400</v>
      </c>
      <c r="G22" s="120">
        <v>-230</v>
      </c>
      <c r="H22" s="120">
        <f t="shared" si="0"/>
        <v>-52257.21</v>
      </c>
    </row>
    <row r="23" spans="1:8">
      <c r="B23" s="97" t="s">
        <v>73</v>
      </c>
      <c r="E23" s="120">
        <v>-500</v>
      </c>
      <c r="G23" s="120">
        <v>-420</v>
      </c>
      <c r="H23" s="120">
        <f t="shared" si="0"/>
        <v>-52677.21</v>
      </c>
    </row>
    <row r="24" spans="1:8">
      <c r="H24" s="120">
        <f t="shared" si="0"/>
        <v>-52677.21</v>
      </c>
    </row>
    <row r="25" spans="1:8">
      <c r="A25" s="154">
        <v>45300</v>
      </c>
      <c r="B25" s="8" t="s">
        <v>747</v>
      </c>
      <c r="G25" s="120">
        <v>-5000</v>
      </c>
      <c r="H25" s="120">
        <f t="shared" si="0"/>
        <v>-57677.21</v>
      </c>
    </row>
    <row r="26" spans="1:8">
      <c r="H26" s="120">
        <f t="shared" si="0"/>
        <v>-57677.21</v>
      </c>
    </row>
    <row r="27" spans="1:8">
      <c r="B27" t="s">
        <v>68</v>
      </c>
      <c r="D27" s="165">
        <v>10000</v>
      </c>
      <c r="F27" s="165">
        <v>9611.58</v>
      </c>
      <c r="H27" s="120">
        <f t="shared" si="0"/>
        <v>-48065.63</v>
      </c>
    </row>
    <row r="28" spans="1:8">
      <c r="A28" s="96"/>
      <c r="B28" s="8" t="s">
        <v>663</v>
      </c>
      <c r="D28" s="165">
        <v>2800</v>
      </c>
      <c r="F28" s="165">
        <v>2800</v>
      </c>
      <c r="H28" s="120">
        <f t="shared" si="0"/>
        <v>-45265.63</v>
      </c>
    </row>
    <row r="29" spans="1:8">
      <c r="A29" s="149">
        <v>45293</v>
      </c>
      <c r="B29" s="8" t="s">
        <v>748</v>
      </c>
      <c r="F29" s="165">
        <v>6500</v>
      </c>
      <c r="H29" s="120">
        <f t="shared" si="0"/>
        <v>-38765.629999999997</v>
      </c>
    </row>
    <row r="30" spans="1:8">
      <c r="A30" s="96">
        <v>45328</v>
      </c>
      <c r="B30" s="8" t="s">
        <v>749</v>
      </c>
      <c r="D30" s="165">
        <v>6500</v>
      </c>
      <c r="F30" s="165"/>
      <c r="H30" s="120">
        <f t="shared" si="0"/>
        <v>-38765.629999999997</v>
      </c>
    </row>
    <row r="31" spans="1:8">
      <c r="A31" s="149">
        <v>45294</v>
      </c>
      <c r="B31" s="8" t="s">
        <v>750</v>
      </c>
      <c r="F31" s="165">
        <v>6000</v>
      </c>
      <c r="H31" s="120">
        <f t="shared" si="0"/>
        <v>-32765.629999999997</v>
      </c>
    </row>
    <row r="32" spans="1:8">
      <c r="A32" s="181"/>
      <c r="B32" s="159" t="s">
        <v>713</v>
      </c>
      <c r="C32" s="188"/>
      <c r="D32" s="188">
        <v>7000</v>
      </c>
      <c r="E32" s="188"/>
      <c r="F32" s="196"/>
      <c r="H32" s="120">
        <f t="shared" si="0"/>
        <v>-32765.629999999997</v>
      </c>
    </row>
    <row r="33" spans="1:8">
      <c r="B33" t="s">
        <v>751</v>
      </c>
      <c r="D33" s="165">
        <v>170000</v>
      </c>
      <c r="F33" s="165"/>
      <c r="H33" s="120">
        <f t="shared" si="0"/>
        <v>-32765.629999999997</v>
      </c>
    </row>
    <row r="34" spans="1:8">
      <c r="A34" s="154">
        <v>45295</v>
      </c>
      <c r="B34" s="8" t="s">
        <v>752</v>
      </c>
      <c r="F34" s="165">
        <v>120000</v>
      </c>
      <c r="H34" s="120">
        <f t="shared" si="0"/>
        <v>87234.37</v>
      </c>
    </row>
    <row r="35" spans="1:8">
      <c r="A35" s="154">
        <v>45296</v>
      </c>
      <c r="B35" s="8" t="s">
        <v>752</v>
      </c>
      <c r="F35" s="165">
        <v>26000</v>
      </c>
      <c r="H35" s="120">
        <f t="shared" si="0"/>
        <v>113234.37</v>
      </c>
    </row>
    <row r="36" spans="1:8">
      <c r="A36" s="154">
        <v>45299</v>
      </c>
      <c r="B36" s="8" t="s">
        <v>753</v>
      </c>
      <c r="F36" s="165">
        <v>24000</v>
      </c>
      <c r="H36" s="120">
        <f t="shared" si="0"/>
        <v>137234.37</v>
      </c>
    </row>
    <row r="37" spans="1:8">
      <c r="A37" s="154"/>
      <c r="B37" s="8" t="s">
        <v>754</v>
      </c>
      <c r="G37" s="120">
        <v>-4000</v>
      </c>
      <c r="H37" s="120">
        <f t="shared" si="0"/>
        <v>133234.37</v>
      </c>
    </row>
    <row r="38" spans="1:8">
      <c r="A38" s="154">
        <v>45321</v>
      </c>
      <c r="B38" s="8" t="s">
        <v>754</v>
      </c>
      <c r="G38" s="120">
        <v>-1000</v>
      </c>
      <c r="H38" s="120">
        <f t="shared" si="0"/>
        <v>132234.37</v>
      </c>
    </row>
    <row r="39" spans="1:8">
      <c r="A39" s="154"/>
      <c r="B39" s="8" t="s">
        <v>755</v>
      </c>
      <c r="G39" s="120">
        <v>-3700</v>
      </c>
      <c r="H39" s="120">
        <f t="shared" si="0"/>
        <v>128534.37</v>
      </c>
    </row>
    <row r="40" spans="1:8">
      <c r="A40" s="154"/>
      <c r="H40" s="120">
        <f t="shared" si="0"/>
        <v>128534.37</v>
      </c>
    </row>
    <row r="41" spans="1:8">
      <c r="A41" s="85">
        <v>45315</v>
      </c>
      <c r="B41" s="8" t="s">
        <v>756</v>
      </c>
      <c r="H41" s="120">
        <f t="shared" si="0"/>
        <v>128534.37</v>
      </c>
    </row>
    <row r="42" spans="1:8">
      <c r="B42" t="s">
        <v>757</v>
      </c>
      <c r="C42" s="120">
        <v>0.234011</v>
      </c>
      <c r="D42" s="120">
        <v>144000</v>
      </c>
      <c r="H42" s="120">
        <f t="shared" si="0"/>
        <v>128534.37</v>
      </c>
    </row>
    <row r="43" spans="1:8">
      <c r="A43" s="149"/>
      <c r="H43" s="120">
        <f t="shared" si="0"/>
        <v>128534.37</v>
      </c>
    </row>
    <row r="44" spans="1:8">
      <c r="A44" s="149"/>
      <c r="H44" s="120">
        <f t="shared" si="0"/>
        <v>128534.37</v>
      </c>
    </row>
    <row r="45" spans="1:8">
      <c r="H45" s="120">
        <f t="shared" si="0"/>
        <v>128534.37</v>
      </c>
    </row>
    <row r="46" spans="1:8">
      <c r="B46" t="s">
        <v>317</v>
      </c>
    </row>
    <row r="47" spans="1:8">
      <c r="A47" s="99" t="s">
        <v>318</v>
      </c>
      <c r="B47" s="99"/>
    </row>
    <row r="48" spans="1:8">
      <c r="A48" s="96"/>
    </row>
    <row r="49" spans="1:5">
      <c r="A49" s="161">
        <v>44929</v>
      </c>
      <c r="B49" s="162" t="s">
        <v>319</v>
      </c>
      <c r="D49" s="120">
        <f>SUM(D50:D55)</f>
        <v>4772.1500000000005</v>
      </c>
      <c r="E49" s="120">
        <f>SUM(E50:E55)</f>
        <v>4742.6400000000003</v>
      </c>
    </row>
    <row r="50" spans="1:5">
      <c r="A50" s="96"/>
      <c r="B50" s="102" t="s">
        <v>320</v>
      </c>
      <c r="C50" s="120" t="s">
        <v>758</v>
      </c>
      <c r="D50" s="120">
        <v>1329.72</v>
      </c>
      <c r="E50" s="120">
        <v>1330</v>
      </c>
    </row>
    <row r="51" spans="1:5">
      <c r="B51" t="s">
        <v>759</v>
      </c>
      <c r="D51" s="120">
        <v>1282.42</v>
      </c>
      <c r="E51" s="120">
        <v>1250</v>
      </c>
    </row>
    <row r="52" spans="1:5">
      <c r="B52" t="s">
        <v>322</v>
      </c>
      <c r="D52" s="120">
        <v>298.67</v>
      </c>
      <c r="E52" s="120">
        <v>298.5</v>
      </c>
    </row>
    <row r="53" spans="1:5">
      <c r="B53" t="s">
        <v>760</v>
      </c>
      <c r="D53" s="120">
        <v>1204.3800000000001</v>
      </c>
      <c r="E53" s="120">
        <v>1205</v>
      </c>
    </row>
    <row r="54" spans="1:5">
      <c r="B54" t="s">
        <v>324</v>
      </c>
      <c r="D54" s="120">
        <v>487.82</v>
      </c>
      <c r="E54" s="120">
        <v>490</v>
      </c>
    </row>
    <row r="55" spans="1:5">
      <c r="B55" t="s">
        <v>325</v>
      </c>
      <c r="D55" s="120">
        <v>169.14</v>
      </c>
      <c r="E55" s="120">
        <v>169.14</v>
      </c>
    </row>
    <row r="58" spans="1:5">
      <c r="B58" s="14"/>
    </row>
    <row r="59" spans="1:5">
      <c r="B59" s="98"/>
    </row>
    <row r="60" spans="1:5">
      <c r="A60" s="99"/>
      <c r="B60" s="100" t="s">
        <v>75</v>
      </c>
      <c r="E60" s="120">
        <f>SUM(E61:E74)</f>
        <v>-3961.94</v>
      </c>
    </row>
    <row r="62" spans="1:5">
      <c r="A62" s="149"/>
      <c r="B62" s="102"/>
    </row>
    <row r="63" spans="1:5">
      <c r="A63" s="149">
        <v>45043</v>
      </c>
      <c r="B63" s="102" t="s">
        <v>715</v>
      </c>
      <c r="C63" s="120">
        <v>10764.57</v>
      </c>
      <c r="D63" s="120" t="s">
        <v>761</v>
      </c>
      <c r="E63" s="120">
        <v>-1196.06</v>
      </c>
    </row>
    <row r="64" spans="1:5">
      <c r="A64" s="96">
        <v>45187</v>
      </c>
      <c r="B64" s="102" t="s">
        <v>552</v>
      </c>
      <c r="C64" s="120">
        <v>7648.33</v>
      </c>
      <c r="D64" s="120" t="s">
        <v>762</v>
      </c>
      <c r="E64" s="120">
        <v>-849.81</v>
      </c>
    </row>
    <row r="65" spans="1:5">
      <c r="A65" s="96">
        <v>45187</v>
      </c>
      <c r="B65" s="102" t="s">
        <v>667</v>
      </c>
      <c r="C65" s="120">
        <v>11128</v>
      </c>
      <c r="D65" s="120" t="s">
        <v>505</v>
      </c>
      <c r="E65" s="120">
        <v>-1854.67</v>
      </c>
    </row>
    <row r="66" spans="1:5">
      <c r="A66" s="149">
        <v>44995</v>
      </c>
      <c r="B66" s="8" t="s">
        <v>763</v>
      </c>
      <c r="C66" s="120">
        <v>613.91</v>
      </c>
      <c r="D66" s="120" t="s">
        <v>764</v>
      </c>
      <c r="E66" s="120">
        <v>-61.4</v>
      </c>
    </row>
    <row r="67" spans="1:5">
      <c r="D67" s="120" t="s">
        <v>76</v>
      </c>
    </row>
    <row r="69" spans="1:5">
      <c r="A69" s="96"/>
      <c r="B69" s="102"/>
    </row>
    <row r="70" spans="1:5">
      <c r="A70" s="96"/>
      <c r="B70" s="102"/>
    </row>
    <row r="71" spans="1:5">
      <c r="A71" s="96"/>
      <c r="B71" s="103"/>
    </row>
    <row r="72" spans="1:5">
      <c r="A72" s="96"/>
      <c r="B72" s="103"/>
    </row>
    <row r="73" spans="1:5">
      <c r="A73" s="96"/>
      <c r="B73" s="103"/>
    </row>
    <row r="74" spans="1:5">
      <c r="A74" s="96"/>
      <c r="B74" s="103"/>
    </row>
    <row r="75" spans="1:5">
      <c r="A75" s="96"/>
      <c r="B75" s="3"/>
    </row>
    <row r="76" spans="1:5">
      <c r="A76" s="96"/>
      <c r="B76" s="102"/>
    </row>
    <row r="77" spans="1:5">
      <c r="A77" s="99"/>
      <c r="B77" s="100" t="s">
        <v>77</v>
      </c>
      <c r="E77" s="120">
        <f>SUM(E78:E112)</f>
        <v>-12474.550000000001</v>
      </c>
    </row>
    <row r="78" spans="1:5">
      <c r="A78" s="96"/>
      <c r="B78" s="102"/>
    </row>
    <row r="79" spans="1:5">
      <c r="A79" s="96">
        <v>45187</v>
      </c>
      <c r="B79" s="102" t="s">
        <v>674</v>
      </c>
      <c r="D79" s="120" t="s">
        <v>765</v>
      </c>
      <c r="E79" s="120">
        <v>-3974.44</v>
      </c>
    </row>
    <row r="80" spans="1:5">
      <c r="A80" s="154">
        <v>45214</v>
      </c>
      <c r="B80" s="8" t="s">
        <v>647</v>
      </c>
      <c r="D80" s="120" t="s">
        <v>649</v>
      </c>
      <c r="E80" s="120">
        <v>-600</v>
      </c>
    </row>
    <row r="81" spans="1:5">
      <c r="A81" s="96"/>
      <c r="B81" s="3"/>
    </row>
    <row r="82" spans="1:5">
      <c r="A82" s="154">
        <v>45259</v>
      </c>
      <c r="B82" s="8" t="s">
        <v>678</v>
      </c>
      <c r="C82" s="120">
        <v>-1204.5</v>
      </c>
      <c r="D82" s="120" t="s">
        <v>766</v>
      </c>
      <c r="E82" s="120">
        <v>-401.5</v>
      </c>
    </row>
    <row r="83" spans="1:5">
      <c r="A83" s="154">
        <v>45259</v>
      </c>
      <c r="B83" s="8" t="s">
        <v>680</v>
      </c>
      <c r="C83" s="120">
        <v>-148.6</v>
      </c>
      <c r="D83" s="120" t="s">
        <v>766</v>
      </c>
      <c r="E83" s="120">
        <v>-49.53</v>
      </c>
    </row>
    <row r="84" spans="1:5">
      <c r="A84" s="154">
        <v>45259</v>
      </c>
      <c r="B84" s="8" t="s">
        <v>681</v>
      </c>
      <c r="C84" s="120">
        <v>-244.8</v>
      </c>
      <c r="D84" s="120" t="s">
        <v>766</v>
      </c>
      <c r="E84" s="120">
        <v>-81.599999999999994</v>
      </c>
    </row>
    <row r="85" spans="1:5">
      <c r="A85" s="154">
        <v>45259</v>
      </c>
      <c r="B85" s="8" t="s">
        <v>682</v>
      </c>
      <c r="C85" s="120">
        <v>-532.6</v>
      </c>
      <c r="D85" s="120" t="s">
        <v>766</v>
      </c>
      <c r="E85" s="120">
        <v>-177.53</v>
      </c>
    </row>
    <row r="86" spans="1:5">
      <c r="A86" s="154">
        <v>45285</v>
      </c>
      <c r="B86" s="102" t="s">
        <v>512</v>
      </c>
    </row>
    <row r="87" spans="1:5">
      <c r="A87" s="96"/>
      <c r="B87" s="3" t="s">
        <v>525</v>
      </c>
      <c r="C87" s="120">
        <v>109.92</v>
      </c>
    </row>
    <row r="88" spans="1:5">
      <c r="A88" s="96">
        <v>45283</v>
      </c>
      <c r="B88" s="3" t="s">
        <v>532</v>
      </c>
      <c r="E88" s="120">
        <v>-90</v>
      </c>
    </row>
    <row r="89" spans="1:5">
      <c r="A89" s="96">
        <v>45283</v>
      </c>
      <c r="B89" s="3" t="s">
        <v>126</v>
      </c>
      <c r="C89" s="120">
        <f>E89</f>
        <v>-105.12</v>
      </c>
      <c r="E89" s="120">
        <v>-105.12</v>
      </c>
    </row>
    <row r="90" spans="1:5">
      <c r="A90" s="96">
        <v>45282</v>
      </c>
      <c r="B90" s="3" t="s">
        <v>126</v>
      </c>
      <c r="C90" s="120">
        <f>E90</f>
        <v>-58.63</v>
      </c>
      <c r="E90" s="120">
        <v>-58.63</v>
      </c>
    </row>
    <row r="91" spans="1:5">
      <c r="A91" s="96">
        <v>45281</v>
      </c>
      <c r="B91" s="3" t="s">
        <v>532</v>
      </c>
      <c r="E91" s="120">
        <v>-110</v>
      </c>
    </row>
    <row r="92" spans="1:5">
      <c r="A92" s="96">
        <v>45281</v>
      </c>
      <c r="B92" s="3" t="s">
        <v>126</v>
      </c>
      <c r="C92" s="120">
        <f>E92</f>
        <v>-70</v>
      </c>
      <c r="E92" s="120">
        <v>-70</v>
      </c>
    </row>
    <row r="93" spans="1:5">
      <c r="A93" s="96">
        <v>45281</v>
      </c>
      <c r="B93" s="3" t="s">
        <v>126</v>
      </c>
      <c r="C93" s="120">
        <f>E93</f>
        <v>-76.66</v>
      </c>
      <c r="E93" s="120">
        <v>-76.66</v>
      </c>
    </row>
    <row r="94" spans="1:5">
      <c r="A94" s="96">
        <v>45279</v>
      </c>
      <c r="B94" s="3" t="s">
        <v>767</v>
      </c>
      <c r="E94" s="120">
        <v>-260</v>
      </c>
    </row>
    <row r="95" spans="1:5">
      <c r="A95" s="96">
        <v>45278</v>
      </c>
      <c r="B95" s="3" t="s">
        <v>126</v>
      </c>
      <c r="C95" s="120">
        <f>E95</f>
        <v>-370</v>
      </c>
      <c r="E95" s="120">
        <v>-370</v>
      </c>
    </row>
    <row r="96" spans="1:5">
      <c r="A96" s="96">
        <v>45276</v>
      </c>
      <c r="B96" s="3" t="s">
        <v>768</v>
      </c>
      <c r="E96" s="120">
        <v>-300</v>
      </c>
    </row>
    <row r="97" spans="1:5">
      <c r="A97" s="96">
        <v>45276</v>
      </c>
      <c r="B97" s="3" t="s">
        <v>126</v>
      </c>
      <c r="C97" s="120">
        <f>E97</f>
        <v>-250</v>
      </c>
      <c r="E97" s="120">
        <v>-250</v>
      </c>
    </row>
    <row r="98" spans="1:5">
      <c r="A98" s="96">
        <v>45275</v>
      </c>
      <c r="B98" s="3" t="s">
        <v>769</v>
      </c>
      <c r="E98" s="120">
        <v>-470</v>
      </c>
    </row>
    <row r="99" spans="1:5">
      <c r="A99" s="96">
        <v>45275</v>
      </c>
      <c r="B99" s="3" t="s">
        <v>770</v>
      </c>
      <c r="E99" s="120">
        <v>-285</v>
      </c>
    </row>
    <row r="100" spans="1:5">
      <c r="A100" s="96">
        <v>45274</v>
      </c>
      <c r="B100" s="3" t="s">
        <v>126</v>
      </c>
      <c r="C100" s="120">
        <f>E100</f>
        <v>-150</v>
      </c>
      <c r="E100" s="120">
        <v>-150</v>
      </c>
    </row>
    <row r="101" spans="1:5">
      <c r="A101" s="96">
        <v>45272</v>
      </c>
      <c r="B101" s="3" t="s">
        <v>771</v>
      </c>
      <c r="E101" s="120">
        <v>-1108.1500000000001</v>
      </c>
    </row>
    <row r="102" spans="1:5">
      <c r="A102" s="96">
        <v>45271</v>
      </c>
      <c r="B102" s="3" t="s">
        <v>126</v>
      </c>
      <c r="C102" s="120">
        <f>E102</f>
        <v>-150</v>
      </c>
      <c r="E102" s="120">
        <v>-150</v>
      </c>
    </row>
    <row r="103" spans="1:5">
      <c r="A103" s="96">
        <v>45270</v>
      </c>
      <c r="B103" s="3" t="s">
        <v>124</v>
      </c>
      <c r="E103" s="120">
        <v>-1551.29</v>
      </c>
    </row>
    <row r="104" spans="1:5">
      <c r="A104" s="96">
        <v>45270</v>
      </c>
      <c r="B104" s="3" t="s">
        <v>772</v>
      </c>
      <c r="E104" s="120">
        <v>-315.10000000000002</v>
      </c>
    </row>
    <row r="105" spans="1:5">
      <c r="A105" s="96">
        <v>45267</v>
      </c>
      <c r="B105" s="3" t="s">
        <v>532</v>
      </c>
      <c r="E105" s="120">
        <v>-300</v>
      </c>
    </row>
    <row r="106" spans="1:5">
      <c r="A106" s="96">
        <v>45266</v>
      </c>
      <c r="B106" s="3" t="s">
        <v>126</v>
      </c>
      <c r="C106" s="120">
        <f>E106</f>
        <v>-200</v>
      </c>
      <c r="E106" s="120">
        <v>-200</v>
      </c>
    </row>
    <row r="107" spans="1:5">
      <c r="A107" s="96">
        <v>45265</v>
      </c>
      <c r="B107" s="3" t="s">
        <v>126</v>
      </c>
      <c r="C107" s="120">
        <f>E107</f>
        <v>-200</v>
      </c>
      <c r="E107" s="120">
        <v>-200</v>
      </c>
    </row>
    <row r="108" spans="1:5">
      <c r="A108" s="96">
        <v>45264</v>
      </c>
      <c r="B108" s="3" t="s">
        <v>121</v>
      </c>
      <c r="D108" s="120">
        <v>11990.16</v>
      </c>
    </row>
    <row r="109" spans="1:5">
      <c r="A109" s="96">
        <v>45260</v>
      </c>
      <c r="B109" s="3" t="s">
        <v>126</v>
      </c>
      <c r="C109" s="120">
        <f>E109</f>
        <v>-200</v>
      </c>
      <c r="E109" s="120">
        <v>-200</v>
      </c>
    </row>
    <row r="110" spans="1:5">
      <c r="A110" s="154">
        <v>45257</v>
      </c>
      <c r="B110" s="3" t="s">
        <v>126</v>
      </c>
      <c r="C110" s="120">
        <f>E110</f>
        <v>-250</v>
      </c>
      <c r="E110" s="120">
        <v>-250</v>
      </c>
    </row>
    <row r="111" spans="1:5">
      <c r="A111" s="154">
        <v>45255</v>
      </c>
      <c r="B111" s="3" t="s">
        <v>126</v>
      </c>
      <c r="C111" s="120">
        <f>E111</f>
        <v>-160</v>
      </c>
      <c r="E111" s="120">
        <v>-160</v>
      </c>
    </row>
    <row r="112" spans="1:5">
      <c r="A112" s="154">
        <v>45254</v>
      </c>
      <c r="B112" s="3" t="s">
        <v>126</v>
      </c>
      <c r="C112" s="120">
        <f>E112</f>
        <v>-160</v>
      </c>
      <c r="E112" s="120">
        <v>-160</v>
      </c>
    </row>
    <row r="113" spans="1:5">
      <c r="D113" s="120" t="s">
        <v>76</v>
      </c>
    </row>
    <row r="114" spans="1:5">
      <c r="B114" s="15" t="s">
        <v>410</v>
      </c>
      <c r="C114" s="120">
        <f>SUM(C89:C113)</f>
        <v>-2400.41</v>
      </c>
    </row>
    <row r="118" spans="1:5">
      <c r="A118" s="109" t="s">
        <v>773</v>
      </c>
      <c r="B118" s="100" t="s">
        <v>128</v>
      </c>
      <c r="C118" s="99">
        <v>2023</v>
      </c>
      <c r="D118" s="147"/>
      <c r="E118" s="148">
        <f>SUM(E119:E135)</f>
        <v>813151.51</v>
      </c>
    </row>
    <row r="119" spans="1:5">
      <c r="A119" s="149">
        <v>45322</v>
      </c>
      <c r="B119" s="8" t="s">
        <v>69</v>
      </c>
      <c r="C119" s="2"/>
      <c r="D119" s="2"/>
      <c r="E119" s="14">
        <v>64000</v>
      </c>
    </row>
    <row r="120" spans="1:5">
      <c r="A120" s="149">
        <f>A119</f>
        <v>45322</v>
      </c>
      <c r="B120" s="8" t="s">
        <v>774</v>
      </c>
      <c r="C120" s="2"/>
      <c r="D120" s="2"/>
      <c r="E120" s="14">
        <v>210345.5</v>
      </c>
    </row>
    <row r="121" spans="1:5">
      <c r="A121" s="149">
        <f>A120</f>
        <v>45322</v>
      </c>
      <c r="B121" s="8" t="s">
        <v>292</v>
      </c>
      <c r="C121" s="2"/>
      <c r="D121" s="2"/>
      <c r="E121" s="14">
        <v>7564.7</v>
      </c>
    </row>
    <row r="122" spans="1:5">
      <c r="A122" s="149">
        <f>A121</f>
        <v>45322</v>
      </c>
      <c r="B122" s="8" t="s">
        <v>293</v>
      </c>
      <c r="C122" s="2"/>
      <c r="D122" s="2"/>
      <c r="E122" s="14">
        <v>122.31</v>
      </c>
    </row>
    <row r="123" spans="1:5">
      <c r="A123" s="149">
        <f>A122</f>
        <v>45322</v>
      </c>
      <c r="B123" s="8" t="s">
        <v>489</v>
      </c>
      <c r="C123" s="2"/>
      <c r="D123" s="2"/>
      <c r="E123" s="14">
        <v>10000</v>
      </c>
    </row>
    <row r="124" spans="1:5">
      <c r="A124" s="149">
        <f>A123</f>
        <v>45322</v>
      </c>
      <c r="B124" s="8" t="s">
        <v>294</v>
      </c>
      <c r="D124" s="2"/>
      <c r="E124" s="14">
        <v>0</v>
      </c>
    </row>
    <row r="125" spans="1:5">
      <c r="A125" s="149">
        <v>45327</v>
      </c>
      <c r="B125" s="8" t="s">
        <v>228</v>
      </c>
      <c r="C125" s="2" t="s">
        <v>775</v>
      </c>
      <c r="D125" s="2"/>
      <c r="E125" s="14">
        <v>132120.79</v>
      </c>
    </row>
    <row r="126" spans="1:5">
      <c r="A126" s="149">
        <f>A125</f>
        <v>45327</v>
      </c>
      <c r="B126" s="8" t="s">
        <v>776</v>
      </c>
      <c r="C126" s="2"/>
      <c r="D126" s="2"/>
      <c r="E126" s="14">
        <v>0</v>
      </c>
    </row>
    <row r="127" spans="1:5">
      <c r="A127" s="149">
        <v>45327</v>
      </c>
      <c r="B127" s="8" t="s">
        <v>777</v>
      </c>
      <c r="C127" s="149">
        <v>45327</v>
      </c>
      <c r="D127" s="150">
        <v>21.7</v>
      </c>
      <c r="E127" s="14">
        <v>513.5</v>
      </c>
    </row>
    <row r="128" spans="1:5">
      <c r="A128" s="149">
        <f>A127</f>
        <v>45327</v>
      </c>
      <c r="B128" s="8" t="s">
        <v>778</v>
      </c>
      <c r="C128" s="149">
        <v>45327</v>
      </c>
      <c r="D128" s="150">
        <v>539.29</v>
      </c>
      <c r="E128" s="14">
        <v>5448.3</v>
      </c>
    </row>
    <row r="129" spans="1:5">
      <c r="A129" s="149">
        <v>45327</v>
      </c>
      <c r="B129" s="8" t="s">
        <v>132</v>
      </c>
      <c r="C129" s="2"/>
      <c r="D129" s="2"/>
      <c r="E129" s="14">
        <v>500</v>
      </c>
    </row>
    <row r="130" spans="1:5">
      <c r="A130" s="149">
        <v>45327</v>
      </c>
      <c r="B130" s="8" t="s">
        <v>779</v>
      </c>
      <c r="C130" s="2">
        <v>1959.94</v>
      </c>
      <c r="D130" s="2">
        <v>161</v>
      </c>
      <c r="E130" s="14">
        <f>D130*C130</f>
        <v>315550.34000000003</v>
      </c>
    </row>
    <row r="131" spans="1:5">
      <c r="A131" s="149">
        <f>A130</f>
        <v>45327</v>
      </c>
      <c r="B131" s="8" t="s">
        <v>780</v>
      </c>
      <c r="C131" s="151">
        <v>30.452000000000002</v>
      </c>
      <c r="D131" s="2">
        <v>850</v>
      </c>
      <c r="E131" s="14">
        <f>D131*C131</f>
        <v>25884.2</v>
      </c>
    </row>
    <row r="132" spans="1:5">
      <c r="A132" s="149">
        <f>A131</f>
        <v>45327</v>
      </c>
      <c r="B132" s="8" t="s">
        <v>496</v>
      </c>
      <c r="C132" s="151">
        <v>30.452000000000002</v>
      </c>
      <c r="D132" s="2">
        <v>250</v>
      </c>
      <c r="E132" s="14">
        <f>D132*C132</f>
        <v>7613</v>
      </c>
    </row>
    <row r="133" spans="1:5">
      <c r="A133" s="149">
        <f>A131</f>
        <v>45327</v>
      </c>
      <c r="B133" s="8" t="s">
        <v>781</v>
      </c>
      <c r="C133" s="151">
        <v>32.3887</v>
      </c>
      <c r="D133" s="2">
        <v>100</v>
      </c>
      <c r="E133" s="14">
        <f>D133*C133</f>
        <v>3238.87</v>
      </c>
    </row>
    <row r="134" spans="1:5">
      <c r="A134" s="149">
        <f>A133</f>
        <v>45327</v>
      </c>
      <c r="B134" s="8" t="s">
        <v>144</v>
      </c>
      <c r="C134" s="2"/>
      <c r="D134" s="2"/>
      <c r="E134" s="14">
        <v>30000</v>
      </c>
    </row>
    <row r="135" spans="1:5">
      <c r="A135" s="149">
        <f>A134</f>
        <v>45327</v>
      </c>
      <c r="B135" s="8" t="s">
        <v>145</v>
      </c>
      <c r="C135" s="2"/>
      <c r="D135" s="2"/>
      <c r="E135" s="14">
        <v>250</v>
      </c>
    </row>
    <row r="136" spans="1:5">
      <c r="C136" s="121" t="str">
        <f>A118</f>
        <v>OCAK</v>
      </c>
      <c r="D136" s="122" t="s">
        <v>148</v>
      </c>
      <c r="E136" s="123">
        <f>H2</f>
        <v>128534.37000000002</v>
      </c>
    </row>
    <row r="137" spans="1:5">
      <c r="D137" s="3"/>
    </row>
    <row r="138" spans="1:5">
      <c r="D138" s="15" t="s">
        <v>147</v>
      </c>
      <c r="E138" s="9">
        <f>SUM(E119:E135)</f>
        <v>813151.51</v>
      </c>
    </row>
    <row r="140" spans="1:5">
      <c r="B140" t="s">
        <v>782</v>
      </c>
    </row>
    <row r="141" spans="1:5">
      <c r="A141" s="85">
        <v>45317</v>
      </c>
      <c r="B141" s="8" t="s">
        <v>783</v>
      </c>
      <c r="C141" s="120">
        <v>12500</v>
      </c>
      <c r="D141" s="120" t="s">
        <v>784</v>
      </c>
      <c r="E141" s="120">
        <v>10000</v>
      </c>
    </row>
    <row r="142" spans="1:5">
      <c r="B142" t="s">
        <v>783</v>
      </c>
      <c r="C142" s="120">
        <v>13400</v>
      </c>
      <c r="D142" s="120" t="s">
        <v>132</v>
      </c>
      <c r="E142" s="120">
        <v>25000</v>
      </c>
    </row>
    <row r="143" spans="1:5">
      <c r="B143" t="s">
        <v>783</v>
      </c>
      <c r="C143" s="120">
        <v>13700</v>
      </c>
      <c r="D143" s="120" t="s">
        <v>785</v>
      </c>
      <c r="E143" s="120">
        <v>10400</v>
      </c>
    </row>
    <row r="144" spans="1:5">
      <c r="B144" t="s">
        <v>783</v>
      </c>
      <c r="C144" s="120">
        <v>5800</v>
      </c>
      <c r="D144" s="120">
        <f>SUM(C141:C144)</f>
        <v>45400</v>
      </c>
      <c r="E144" s="120">
        <f>SUM(E141:E143)</f>
        <v>45400</v>
      </c>
    </row>
    <row r="146" spans="2:4">
      <c r="B146" t="s">
        <v>786</v>
      </c>
      <c r="C146" s="120">
        <v>14400</v>
      </c>
    </row>
    <row r="147" spans="2:4">
      <c r="B147" t="s">
        <v>787</v>
      </c>
      <c r="C147" s="120">
        <v>2800</v>
      </c>
      <c r="D147" s="120">
        <f>SUM(C146:C147)</f>
        <v>17200</v>
      </c>
    </row>
    <row r="148" spans="2:4">
      <c r="B148" t="s">
        <v>788</v>
      </c>
      <c r="C148" s="120">
        <v>200</v>
      </c>
    </row>
    <row r="149" spans="2:4">
      <c r="C149" s="120">
        <f>SUM(C141:C148)</f>
        <v>62800</v>
      </c>
      <c r="D149" s="120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68A1A"/>
  </sheetPr>
  <dimension ref="A1:N35"/>
  <sheetViews>
    <sheetView zoomScale="170" zoomScaleNormal="170" workbookViewId="0">
      <selection activeCell="B19" sqref="B18:B19"/>
    </sheetView>
  </sheetViews>
  <sheetFormatPr defaultColWidth="8.5703125" defaultRowHeight="12.75"/>
  <cols>
    <col min="1" max="1" width="7.28515625" customWidth="1"/>
    <col min="2" max="2" width="14" customWidth="1"/>
    <col min="3" max="3" width="16.85546875" customWidth="1"/>
    <col min="4" max="4" width="27.42578125" customWidth="1"/>
    <col min="5" max="5" width="14.570312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2" customWidth="1"/>
    <col min="14" max="14" width="7.140625" style="75" customWidth="1"/>
    <col min="15" max="15" width="9.140625" customWidth="1"/>
  </cols>
  <sheetData>
    <row r="1" spans="1:14" ht="15.75">
      <c r="A1" s="16"/>
      <c r="B1" s="17"/>
      <c r="C1" s="18" t="s">
        <v>15</v>
      </c>
      <c r="D1" s="19"/>
      <c r="E1" s="20"/>
      <c r="F1" s="18" t="s">
        <v>16</v>
      </c>
      <c r="G1" s="19"/>
      <c r="H1" s="21"/>
      <c r="I1" s="22"/>
      <c r="J1" s="23"/>
      <c r="K1" s="197">
        <v>0.23538400000000001</v>
      </c>
      <c r="L1" s="198">
        <f>1-K1</f>
        <v>0.76461599999999996</v>
      </c>
      <c r="M1" s="199"/>
      <c r="N1" s="75" t="s">
        <v>19</v>
      </c>
    </row>
    <row r="2" spans="1:14" ht="15.75">
      <c r="A2" s="16">
        <v>-2022</v>
      </c>
      <c r="B2" s="20" t="s">
        <v>20</v>
      </c>
      <c r="C2" s="25" t="s">
        <v>21</v>
      </c>
      <c r="D2" s="19" t="s">
        <v>22</v>
      </c>
      <c r="E2" s="20" t="s">
        <v>20</v>
      </c>
      <c r="F2" s="25" t="s">
        <v>21</v>
      </c>
      <c r="G2" s="19" t="s">
        <v>3</v>
      </c>
      <c r="H2" s="21"/>
      <c r="I2" s="22"/>
      <c r="J2" s="23" t="s">
        <v>23</v>
      </c>
      <c r="K2" s="200" t="s">
        <v>789</v>
      </c>
      <c r="L2" s="201" t="s">
        <v>790</v>
      </c>
      <c r="M2" s="28" t="s">
        <v>24</v>
      </c>
      <c r="N2" s="75">
        <f>F26/1000</f>
        <v>356.02226999999999</v>
      </c>
    </row>
    <row r="3" spans="1:14">
      <c r="A3" t="s">
        <v>25</v>
      </c>
      <c r="B3" s="202">
        <f>'01_23'!D2</f>
        <v>13261</v>
      </c>
      <c r="C3" s="203">
        <f>'01_23'!E2</f>
        <v>-22808.309999999998</v>
      </c>
      <c r="D3" s="204">
        <f>B3+C3</f>
        <v>-9547.3099999999977</v>
      </c>
      <c r="E3" s="202">
        <f>'01_23'!F2</f>
        <v>8049.2</v>
      </c>
      <c r="F3" s="203">
        <f>'01_23'!G2</f>
        <v>-23047.62</v>
      </c>
      <c r="G3" s="205">
        <f>E3+F3</f>
        <v>-14998.419999999998</v>
      </c>
      <c r="H3" s="31"/>
      <c r="I3" s="32" t="s">
        <v>26</v>
      </c>
      <c r="J3">
        <v>78</v>
      </c>
      <c r="K3" s="206"/>
      <c r="L3" s="34"/>
      <c r="M3" s="35">
        <f>J3</f>
        <v>78</v>
      </c>
      <c r="N3" s="75">
        <f>'01_23'!E111/1000</f>
        <v>356.02226999999999</v>
      </c>
    </row>
    <row r="4" spans="1:14">
      <c r="A4" t="s">
        <v>27</v>
      </c>
      <c r="B4" s="202">
        <f>'02_23'!D2</f>
        <v>15761</v>
      </c>
      <c r="C4" s="203">
        <f>'02_23'!E2</f>
        <v>-56286.92</v>
      </c>
      <c r="D4" s="204">
        <f t="shared" ref="D4:D14" si="0">B4+C4+D3</f>
        <v>-50073.229999999996</v>
      </c>
      <c r="E4" s="202">
        <f>'02_23'!F2</f>
        <v>26990.010000000002</v>
      </c>
      <c r="F4" s="203">
        <f>'02_23'!G2</f>
        <v>-77441.489999999991</v>
      </c>
      <c r="G4" s="205">
        <f t="shared" ref="G4:G14" si="1">E4+F4+G3</f>
        <v>-65449.899999999987</v>
      </c>
      <c r="H4" s="31"/>
      <c r="I4" s="32" t="s">
        <v>28</v>
      </c>
      <c r="J4">
        <v>83.16</v>
      </c>
      <c r="K4" s="206">
        <f>J4*$K$1</f>
        <v>19.57453344</v>
      </c>
      <c r="L4" s="37">
        <f>J4-K4</f>
        <v>63.58546656</v>
      </c>
      <c r="M4" s="35"/>
      <c r="N4" s="75">
        <f>'02_23'!E111/1000</f>
        <v>335.74799999999999</v>
      </c>
    </row>
    <row r="5" spans="1:14">
      <c r="A5" t="s">
        <v>29</v>
      </c>
      <c r="B5" s="202">
        <f>'03_23'!D2</f>
        <v>88189</v>
      </c>
      <c r="C5" s="203">
        <f>'03_23'!E2</f>
        <v>-24634.690000000002</v>
      </c>
      <c r="D5" s="204">
        <f t="shared" si="0"/>
        <v>13481.080000000002</v>
      </c>
      <c r="E5" s="202">
        <f>'03_23'!F2</f>
        <v>23139.34</v>
      </c>
      <c r="F5" s="203">
        <f>'03_23'!G2</f>
        <v>-33283.54</v>
      </c>
      <c r="G5" s="205">
        <f t="shared" si="1"/>
        <v>-75594.099999999991</v>
      </c>
      <c r="H5" s="31"/>
      <c r="I5" s="32" t="s">
        <v>30</v>
      </c>
      <c r="J5">
        <v>33</v>
      </c>
      <c r="K5" s="206"/>
      <c r="L5" s="34"/>
      <c r="M5" s="35">
        <v>33</v>
      </c>
      <c r="N5" s="75">
        <f>'03_23'!E111/1000</f>
        <v>310.9323</v>
      </c>
    </row>
    <row r="6" spans="1:14">
      <c r="A6" t="s">
        <v>31</v>
      </c>
      <c r="B6" s="202">
        <f>'04_23'!D2</f>
        <v>20911</v>
      </c>
      <c r="C6" s="203">
        <f>'04_23'!E2</f>
        <v>-54277.093000000001</v>
      </c>
      <c r="D6" s="204">
        <f t="shared" si="0"/>
        <v>-19885.012999999999</v>
      </c>
      <c r="E6" s="202">
        <f>'04_23'!F2</f>
        <v>72630</v>
      </c>
      <c r="F6" s="203">
        <f>'04_23'!G2</f>
        <v>-58332.79</v>
      </c>
      <c r="G6" s="205">
        <f t="shared" si="1"/>
        <v>-61296.889999999992</v>
      </c>
      <c r="H6" s="31"/>
      <c r="I6" s="38" t="s">
        <v>32</v>
      </c>
      <c r="K6" s="207"/>
      <c r="L6" s="34"/>
      <c r="M6" s="39">
        <f>E18/1000</f>
        <v>39.208550000000002</v>
      </c>
      <c r="N6" s="75">
        <f>'04_23'!E111/1000</f>
        <v>367.48341000000005</v>
      </c>
    </row>
    <row r="7" spans="1:14">
      <c r="A7" t="s">
        <v>33</v>
      </c>
      <c r="B7" s="202">
        <f>'05_23'!D2</f>
        <v>17911</v>
      </c>
      <c r="C7" s="203">
        <f>'05_23'!E2</f>
        <v>-20977.52</v>
      </c>
      <c r="D7" s="204">
        <f t="shared" si="0"/>
        <v>-22951.532999999999</v>
      </c>
      <c r="E7" s="202">
        <f>'05_23'!F2</f>
        <v>19800</v>
      </c>
      <c r="F7" s="203">
        <f>'05_23'!G2</f>
        <v>-25248.52</v>
      </c>
      <c r="G7" s="205">
        <f t="shared" si="1"/>
        <v>-66745.409999999989</v>
      </c>
      <c r="H7" s="31"/>
      <c r="I7" s="38" t="s">
        <v>34</v>
      </c>
      <c r="K7" s="206"/>
      <c r="L7" s="37"/>
      <c r="M7" s="39">
        <f>(E19+E20)/1000</f>
        <v>51.93253</v>
      </c>
      <c r="N7" s="75">
        <f>'05_23'!E111/1000</f>
        <v>358.02833999999996</v>
      </c>
    </row>
    <row r="8" spans="1:14">
      <c r="A8" t="s">
        <v>35</v>
      </c>
      <c r="B8" s="202">
        <f>'06_23'!D2</f>
        <v>28744</v>
      </c>
      <c r="C8" s="203">
        <f>'06_23'!E2</f>
        <v>-26572.629999999997</v>
      </c>
      <c r="D8" s="204">
        <f t="shared" si="0"/>
        <v>-20780.162999999997</v>
      </c>
      <c r="E8" s="202">
        <f>'06_23'!F2</f>
        <v>33133</v>
      </c>
      <c r="F8" s="203">
        <f>'06_23'!G2</f>
        <v>-28830.22</v>
      </c>
      <c r="G8" s="205">
        <f t="shared" si="1"/>
        <v>-62442.62999999999</v>
      </c>
      <c r="H8" s="31"/>
      <c r="I8" s="32" t="s">
        <v>36</v>
      </c>
      <c r="J8">
        <v>150</v>
      </c>
      <c r="K8" s="206"/>
      <c r="L8" s="37"/>
      <c r="M8" s="35">
        <f>J8/4</f>
        <v>37.5</v>
      </c>
      <c r="N8" s="75">
        <f>'06_23'!E111/1000</f>
        <v>377.42543000000001</v>
      </c>
    </row>
    <row r="9" spans="1:14">
      <c r="A9" t="s">
        <v>37</v>
      </c>
      <c r="B9" s="202">
        <f>'07_23'!D2</f>
        <v>67911</v>
      </c>
      <c r="C9" s="203">
        <f>'07_23'!E2</f>
        <v>-35277.64</v>
      </c>
      <c r="D9" s="204">
        <f t="shared" si="0"/>
        <v>11853.197000000004</v>
      </c>
      <c r="E9" s="202">
        <f>'07_23'!F2</f>
        <v>70250</v>
      </c>
      <c r="F9" s="203">
        <f>'07_23'!G2</f>
        <v>-42110.31</v>
      </c>
      <c r="G9" s="205">
        <f t="shared" si="1"/>
        <v>-34302.939999999988</v>
      </c>
      <c r="H9" s="31"/>
      <c r="I9" s="32" t="s">
        <v>38</v>
      </c>
      <c r="J9">
        <v>96</v>
      </c>
      <c r="K9" s="206">
        <f>J9*$K$1</f>
        <v>22.596864</v>
      </c>
      <c r="L9" s="37">
        <f>J9-K9</f>
        <v>73.403136000000003</v>
      </c>
      <c r="M9" s="40"/>
      <c r="N9" s="75">
        <f>'07_23'!E111/1000</f>
        <v>433.28658999999999</v>
      </c>
    </row>
    <row r="10" spans="1:14">
      <c r="A10" t="s">
        <v>39</v>
      </c>
      <c r="B10" s="202">
        <f>'08_23'!D2</f>
        <v>87911</v>
      </c>
      <c r="C10" s="203">
        <f>'08_23'!E2</f>
        <v>-32079.01</v>
      </c>
      <c r="D10" s="204">
        <f t="shared" si="0"/>
        <v>67685.187000000005</v>
      </c>
      <c r="E10" s="202">
        <f>'08_23'!F2</f>
        <v>16800</v>
      </c>
      <c r="F10" s="203">
        <f>'08_23'!G2</f>
        <v>-37135.350000000006</v>
      </c>
      <c r="G10" s="205">
        <f t="shared" si="1"/>
        <v>-54638.289999999994</v>
      </c>
      <c r="H10" s="31"/>
      <c r="I10" s="32" t="s">
        <v>40</v>
      </c>
      <c r="J10">
        <v>100</v>
      </c>
      <c r="K10" s="206"/>
      <c r="L10" s="37"/>
      <c r="M10" s="35">
        <v>10</v>
      </c>
      <c r="N10" s="75">
        <f>'08_23'!E111/1000</f>
        <v>399.80056999999999</v>
      </c>
    </row>
    <row r="11" spans="1:14">
      <c r="A11" t="s">
        <v>41</v>
      </c>
      <c r="B11" s="202">
        <f>'09_23'!D2</f>
        <v>133300</v>
      </c>
      <c r="C11" s="203">
        <f>'09_23'!E2</f>
        <v>-31871.02</v>
      </c>
      <c r="D11" s="204">
        <f t="shared" si="0"/>
        <v>169114.16700000002</v>
      </c>
      <c r="E11" s="202">
        <f>'09_23'!F2</f>
        <v>257800</v>
      </c>
      <c r="F11" s="203">
        <f>'09_23'!G2</f>
        <v>-34914.910000000003</v>
      </c>
      <c r="G11" s="205">
        <f t="shared" si="1"/>
        <v>168246.8</v>
      </c>
      <c r="H11" s="31"/>
      <c r="I11" s="32" t="s">
        <v>42</v>
      </c>
      <c r="J11">
        <v>96</v>
      </c>
      <c r="K11" s="206">
        <f>J11*$K$1</f>
        <v>22.596864</v>
      </c>
      <c r="L11" s="37">
        <f>J11-K11</f>
        <v>73.403136000000003</v>
      </c>
      <c r="M11" s="35"/>
      <c r="N11" s="75">
        <f>'09_23'!E111/1000</f>
        <v>604.37009999999998</v>
      </c>
    </row>
    <row r="12" spans="1:14">
      <c r="A12" t="s">
        <v>43</v>
      </c>
      <c r="B12" s="202">
        <f>'10_23'!D2</f>
        <v>32800</v>
      </c>
      <c r="C12" s="203">
        <f>'10_23'!E2</f>
        <v>-44478.170000000006</v>
      </c>
      <c r="D12" s="204">
        <f t="shared" si="0"/>
        <v>157435.997</v>
      </c>
      <c r="E12" s="202">
        <f>'10_23'!F2</f>
        <v>23200</v>
      </c>
      <c r="F12" s="203">
        <f>'10_23'!G2</f>
        <v>-43968.17</v>
      </c>
      <c r="G12" s="205">
        <f t="shared" si="1"/>
        <v>147478.63</v>
      </c>
      <c r="H12" s="31"/>
      <c r="I12" s="32" t="s">
        <v>44</v>
      </c>
      <c r="J12">
        <v>84</v>
      </c>
      <c r="K12" s="206">
        <f>J12*$K$1</f>
        <v>19.772256000000002</v>
      </c>
      <c r="L12" s="37">
        <f>J12-K12</f>
        <v>64.227744000000001</v>
      </c>
      <c r="M12" s="35"/>
      <c r="N12" s="75">
        <f>'10_23'!E111/1000</f>
        <v>610.64972999999998</v>
      </c>
    </row>
    <row r="13" spans="1:14">
      <c r="A13" t="s">
        <v>45</v>
      </c>
      <c r="B13" s="202">
        <f>'11_23'!D2</f>
        <v>262800</v>
      </c>
      <c r="C13" s="203">
        <f>'11_23'!E2</f>
        <v>-98843.11</v>
      </c>
      <c r="D13" s="204">
        <f t="shared" si="0"/>
        <v>321392.88699999999</v>
      </c>
      <c r="E13" s="202">
        <f>'11_23'!F2</f>
        <v>177687.06</v>
      </c>
      <c r="F13" s="203">
        <f>'11_23'!G2</f>
        <v>-242504.11</v>
      </c>
      <c r="G13" s="205">
        <f t="shared" si="1"/>
        <v>82661.580000000016</v>
      </c>
      <c r="H13" s="31"/>
      <c r="I13" s="32" t="s">
        <v>46</v>
      </c>
      <c r="J13">
        <v>135</v>
      </c>
      <c r="K13" s="206">
        <f>J13*$K$1</f>
        <v>31.77684</v>
      </c>
      <c r="L13" s="37">
        <f>J13-K13</f>
        <v>103.22316000000001</v>
      </c>
      <c r="M13" s="40"/>
      <c r="N13" s="75">
        <f>'11_23'!E111/1000</f>
        <v>709.39308499999993</v>
      </c>
    </row>
    <row r="14" spans="1:14">
      <c r="A14" t="s">
        <v>47</v>
      </c>
      <c r="B14" s="202">
        <f>'12_23'!D2</f>
        <v>22800</v>
      </c>
      <c r="C14" s="203">
        <f>'12_23'!E2</f>
        <v>-38101.83</v>
      </c>
      <c r="D14" s="204">
        <f t="shared" si="0"/>
        <v>306091.05699999997</v>
      </c>
      <c r="E14" s="202">
        <f>'12_23'!F2</f>
        <v>16232.529999999999</v>
      </c>
      <c r="F14" s="203">
        <f>'12_23'!G2</f>
        <v>-41854.230000000003</v>
      </c>
      <c r="G14" s="205">
        <f t="shared" si="1"/>
        <v>57039.880000000012</v>
      </c>
      <c r="H14" s="31"/>
      <c r="I14" s="32" t="s">
        <v>48</v>
      </c>
      <c r="K14" s="206">
        <f>J14*$K$1</f>
        <v>0</v>
      </c>
      <c r="L14" s="37">
        <f>J14-K14</f>
        <v>0</v>
      </c>
      <c r="M14" s="40"/>
      <c r="N14" s="75">
        <f>'12_23'!E113/1000</f>
        <v>218.08799999999999</v>
      </c>
    </row>
    <row r="15" spans="1:14">
      <c r="A15" s="43" t="s">
        <v>49</v>
      </c>
      <c r="B15" s="208">
        <f>SUM(B3:B14)</f>
        <v>792299</v>
      </c>
      <c r="C15" s="209">
        <f>SUM(C3:C14)</f>
        <v>-486207.94300000003</v>
      </c>
      <c r="D15" s="210">
        <f>B15+C15</f>
        <v>306091.05699999997</v>
      </c>
      <c r="E15" s="208">
        <f>SUM(E3:E14)</f>
        <v>745711.14000000013</v>
      </c>
      <c r="F15" s="209">
        <f>SUM(F3:F14)</f>
        <v>-688671.26</v>
      </c>
      <c r="G15" s="210">
        <f>E15+F15</f>
        <v>57039.880000000121</v>
      </c>
      <c r="H15" s="31"/>
      <c r="I15" s="211"/>
      <c r="J15" s="211">
        <f>SUM(J3:J14)</f>
        <v>855.16</v>
      </c>
      <c r="K15" s="212">
        <f>SUM(K4:K14)</f>
        <v>116.31735743999999</v>
      </c>
      <c r="L15" s="48">
        <f>SUM(L4:L14)</f>
        <v>377.84264256000006</v>
      </c>
      <c r="M15" s="49">
        <f>SUM(M3:M10)</f>
        <v>249.64107999999999</v>
      </c>
    </row>
    <row r="16" spans="1:14">
      <c r="A16" s="50">
        <v>12</v>
      </c>
      <c r="B16" s="51">
        <f>B15/A16</f>
        <v>66024.916666666672</v>
      </c>
      <c r="C16" s="52">
        <f>C15/A16</f>
        <v>-40517.328583333336</v>
      </c>
      <c r="D16" s="52"/>
      <c r="E16" s="52">
        <f>E15/A16</f>
        <v>62142.595000000008</v>
      </c>
      <c r="F16" s="52">
        <f>F15/A16</f>
        <v>-57389.271666666667</v>
      </c>
      <c r="G16" s="52">
        <f>G15/A16</f>
        <v>4753.3233333333437</v>
      </c>
      <c r="H16" s="53"/>
      <c r="I16" s="213"/>
      <c r="J16" s="52">
        <f>J15/12</f>
        <v>71.263333333333335</v>
      </c>
      <c r="K16" s="214">
        <f>K15/12</f>
        <v>9.6931131199999996</v>
      </c>
      <c r="L16" s="215">
        <f>L15/12</f>
        <v>31.486886880000004</v>
      </c>
      <c r="M16" s="216">
        <f>M15/12</f>
        <v>20.803423333333331</v>
      </c>
      <c r="N16" s="217">
        <f>AVERAGE(N2:N15)</f>
        <v>418.25000730769227</v>
      </c>
    </row>
    <row r="17" spans="2:13">
      <c r="C17" s="2"/>
      <c r="D17" s="2"/>
      <c r="G17" s="60"/>
      <c r="H17" s="60"/>
      <c r="I17" s="32"/>
      <c r="L17" s="218" t="s">
        <v>791</v>
      </c>
      <c r="M17" s="219">
        <f>L15+M15</f>
        <v>627.48372256000005</v>
      </c>
    </row>
    <row r="18" spans="2:13" ht="15">
      <c r="D18" s="61" t="s">
        <v>50</v>
      </c>
      <c r="E18" s="2">
        <f>'01_23'!F20+'02_23'!F21+'03_23'!F20+'04_23'!F20+'05_23'!F19+'06_23'!F21</f>
        <v>39208.550000000003</v>
      </c>
      <c r="F18">
        <v>5589</v>
      </c>
      <c r="G18" s="70">
        <v>25</v>
      </c>
      <c r="J18" s="32"/>
      <c r="L18" s="220" t="s">
        <v>792</v>
      </c>
      <c r="M18" s="63">
        <f>M17/12</f>
        <v>52.290310213333335</v>
      </c>
    </row>
    <row r="19" spans="2:13" ht="15">
      <c r="C19" s="64"/>
      <c r="D19" s="65" t="s">
        <v>52</v>
      </c>
      <c r="E19" s="66">
        <f>'07_23'!F26+'08_23'!F22+'09_23'!F21+'10_23'!F23+'11_23'!F21+'12_23'!F28</f>
        <v>44932.53</v>
      </c>
      <c r="F19" s="8">
        <f>F18*G18/100</f>
        <v>1397.25</v>
      </c>
      <c r="G19" s="70" t="s">
        <v>793</v>
      </c>
    </row>
    <row r="20" spans="2:13" ht="15">
      <c r="C20" s="64"/>
      <c r="D20" s="65" t="s">
        <v>794</v>
      </c>
      <c r="E20" s="66">
        <v>7000</v>
      </c>
      <c r="G20" s="70"/>
    </row>
    <row r="21" spans="2:13" ht="14.25">
      <c r="D21" s="15" t="s">
        <v>53</v>
      </c>
      <c r="E21" s="14">
        <f>SUM(E18:E20)</f>
        <v>91141.08</v>
      </c>
      <c r="F21" s="72">
        <f>SUM(F18:F19)</f>
        <v>6986.25</v>
      </c>
      <c r="G21" s="72" t="s">
        <v>795</v>
      </c>
    </row>
    <row r="26" spans="2:13">
      <c r="B26" s="99"/>
      <c r="C26" s="100" t="s">
        <v>796</v>
      </c>
      <c r="D26" s="99"/>
      <c r="E26" s="147"/>
      <c r="F26" s="148">
        <f>SUM(F27:F65)</f>
        <v>356022.27</v>
      </c>
    </row>
    <row r="27" spans="2:13">
      <c r="B27" s="96">
        <v>45291</v>
      </c>
      <c r="C27" s="8" t="s">
        <v>69</v>
      </c>
      <c r="F27">
        <v>32000</v>
      </c>
    </row>
    <row r="28" spans="2:13">
      <c r="B28" s="96">
        <v>45291</v>
      </c>
      <c r="C28" s="8" t="s">
        <v>70</v>
      </c>
      <c r="F28">
        <v>40000</v>
      </c>
    </row>
    <row r="29" spans="2:13">
      <c r="B29" s="96">
        <v>45291</v>
      </c>
      <c r="C29" s="8" t="s">
        <v>292</v>
      </c>
      <c r="F29">
        <v>40162.18</v>
      </c>
    </row>
    <row r="30" spans="2:13">
      <c r="B30" s="96">
        <v>45291</v>
      </c>
      <c r="C30" s="8" t="s">
        <v>293</v>
      </c>
      <c r="F30">
        <v>44912.09</v>
      </c>
    </row>
    <row r="31" spans="2:13">
      <c r="B31" s="96">
        <v>45291</v>
      </c>
      <c r="C31" s="8" t="s">
        <v>797</v>
      </c>
      <c r="D31">
        <v>1093</v>
      </c>
      <c r="E31">
        <v>111</v>
      </c>
      <c r="F31" s="8">
        <f>E31*D31</f>
        <v>121323</v>
      </c>
    </row>
    <row r="32" spans="2:13">
      <c r="B32" s="96">
        <v>45291</v>
      </c>
      <c r="C32" s="8" t="s">
        <v>798</v>
      </c>
      <c r="D32">
        <v>18.5</v>
      </c>
      <c r="E32">
        <v>850</v>
      </c>
      <c r="F32" s="8">
        <f>E32*D32</f>
        <v>15725</v>
      </c>
    </row>
    <row r="33" spans="2:6">
      <c r="B33" s="96">
        <v>45291</v>
      </c>
      <c r="C33" s="8" t="s">
        <v>799</v>
      </c>
      <c r="D33">
        <v>19</v>
      </c>
      <c r="E33">
        <v>100</v>
      </c>
      <c r="F33" s="8">
        <f>E33*D33</f>
        <v>1900</v>
      </c>
    </row>
    <row r="34" spans="2:6">
      <c r="B34" s="96">
        <v>45291</v>
      </c>
      <c r="C34" s="8" t="s">
        <v>800</v>
      </c>
      <c r="F34">
        <v>60000</v>
      </c>
    </row>
    <row r="35" spans="2:6">
      <c r="F35" s="6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G62"/>
  <sheetViews>
    <sheetView topLeftCell="A26" zoomScale="170" zoomScaleNormal="17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 ht="27.75" customHeight="1">
      <c r="D1" s="221" t="s">
        <v>0</v>
      </c>
      <c r="F1" s="4" t="s">
        <v>801</v>
      </c>
      <c r="G1" s="4" t="s">
        <v>3</v>
      </c>
    </row>
    <row r="2" spans="2:7">
      <c r="F2" s="7" t="s">
        <v>121</v>
      </c>
    </row>
    <row r="3" spans="2:7">
      <c r="B3" s="1">
        <v>44873</v>
      </c>
      <c r="C3" s="8" t="s">
        <v>802</v>
      </c>
      <c r="E3" s="2">
        <v>1250</v>
      </c>
      <c r="G3" s="2">
        <f t="shared" ref="G3:G37" si="0">G2+E3-F3</f>
        <v>1250</v>
      </c>
    </row>
    <row r="4" spans="2:7">
      <c r="B4" s="1">
        <v>44888</v>
      </c>
      <c r="C4" s="3" t="s">
        <v>2</v>
      </c>
      <c r="D4" s="3"/>
      <c r="F4" s="14">
        <v>2250</v>
      </c>
      <c r="G4" s="2">
        <f t="shared" si="0"/>
        <v>-1000</v>
      </c>
    </row>
    <row r="5" spans="2:7">
      <c r="B5" s="1">
        <v>44873</v>
      </c>
      <c r="C5" s="8" t="s">
        <v>803</v>
      </c>
      <c r="F5" s="14"/>
      <c r="G5" s="2">
        <f t="shared" si="0"/>
        <v>-1000</v>
      </c>
    </row>
    <row r="6" spans="2:7">
      <c r="B6" s="1">
        <v>44873</v>
      </c>
      <c r="C6" s="8" t="s">
        <v>804</v>
      </c>
      <c r="E6" s="2">
        <v>1111.1099999999999</v>
      </c>
      <c r="F6" s="14"/>
      <c r="G6" s="2">
        <f t="shared" si="0"/>
        <v>111.1099999999999</v>
      </c>
    </row>
    <row r="7" spans="2:7">
      <c r="B7" s="1">
        <v>44888</v>
      </c>
      <c r="C7" s="3" t="s">
        <v>2</v>
      </c>
      <c r="D7" s="3"/>
      <c r="F7" s="14">
        <v>150</v>
      </c>
      <c r="G7" s="2">
        <f t="shared" si="0"/>
        <v>-38.8900000000001</v>
      </c>
    </row>
    <row r="8" spans="2:7">
      <c r="B8" s="1">
        <v>44903</v>
      </c>
      <c r="C8" s="8" t="s">
        <v>805</v>
      </c>
      <c r="E8" s="2">
        <v>1111.1099999999999</v>
      </c>
      <c r="F8" s="14"/>
      <c r="G8" s="2">
        <f t="shared" si="0"/>
        <v>1072.2199999999998</v>
      </c>
    </row>
    <row r="9" spans="2:7">
      <c r="B9" s="1">
        <v>44914</v>
      </c>
      <c r="C9" s="3" t="s">
        <v>2</v>
      </c>
      <c r="D9" s="3"/>
      <c r="F9" s="14">
        <v>2500</v>
      </c>
      <c r="G9" s="2">
        <f t="shared" si="0"/>
        <v>-1427.7800000000002</v>
      </c>
    </row>
    <row r="10" spans="2:7">
      <c r="B10" s="1">
        <v>44934</v>
      </c>
      <c r="C10" s="8" t="s">
        <v>806</v>
      </c>
      <c r="E10" s="2">
        <v>1111.1099999999999</v>
      </c>
      <c r="F10" s="14"/>
      <c r="G10" s="2">
        <f t="shared" si="0"/>
        <v>-316.6700000000003</v>
      </c>
    </row>
    <row r="11" spans="2:7">
      <c r="B11" s="1">
        <v>44941</v>
      </c>
      <c r="C11" s="3" t="s">
        <v>807</v>
      </c>
      <c r="D11" s="3"/>
      <c r="F11" s="14">
        <v>1500</v>
      </c>
      <c r="G11" s="2">
        <f t="shared" si="0"/>
        <v>-1816.6700000000003</v>
      </c>
    </row>
    <row r="12" spans="2:7">
      <c r="B12" s="1">
        <v>44957</v>
      </c>
      <c r="C12" s="8" t="s">
        <v>808</v>
      </c>
      <c r="E12" s="2">
        <v>225.4</v>
      </c>
      <c r="F12" s="14"/>
      <c r="G12" s="2">
        <f t="shared" si="0"/>
        <v>-1591.2700000000002</v>
      </c>
    </row>
    <row r="13" spans="2:7">
      <c r="B13" s="1">
        <v>44957</v>
      </c>
      <c r="C13" s="8" t="s">
        <v>808</v>
      </c>
      <c r="E13" s="2">
        <v>225.4</v>
      </c>
      <c r="F13" s="14"/>
      <c r="G13" s="2">
        <f t="shared" si="0"/>
        <v>-1365.8700000000001</v>
      </c>
    </row>
    <row r="14" spans="2:7">
      <c r="B14" s="1">
        <v>44957</v>
      </c>
      <c r="C14" s="8" t="s">
        <v>809</v>
      </c>
      <c r="E14" s="2">
        <v>437.97</v>
      </c>
      <c r="F14" s="14"/>
      <c r="G14" s="2">
        <f t="shared" si="0"/>
        <v>-927.90000000000009</v>
      </c>
    </row>
    <row r="15" spans="2:7">
      <c r="B15" s="1">
        <v>44957</v>
      </c>
      <c r="C15" s="8" t="s">
        <v>810</v>
      </c>
      <c r="E15" s="2">
        <v>404.23</v>
      </c>
      <c r="F15" s="14"/>
      <c r="G15" s="2">
        <f t="shared" si="0"/>
        <v>-523.67000000000007</v>
      </c>
    </row>
    <row r="16" spans="2:7">
      <c r="B16" s="1">
        <v>44957</v>
      </c>
      <c r="C16" s="8" t="s">
        <v>811</v>
      </c>
      <c r="E16" s="2">
        <v>1135</v>
      </c>
      <c r="F16" s="14"/>
      <c r="G16" s="2">
        <f t="shared" si="0"/>
        <v>611.32999999999993</v>
      </c>
    </row>
    <row r="17" spans="2:7">
      <c r="B17" s="1">
        <v>44965</v>
      </c>
      <c r="C17" s="8" t="s">
        <v>812</v>
      </c>
      <c r="E17" s="2">
        <v>1111.1099999999999</v>
      </c>
      <c r="F17" s="14"/>
      <c r="G17" s="2">
        <f t="shared" si="0"/>
        <v>1722.4399999999998</v>
      </c>
    </row>
    <row r="18" spans="2:7">
      <c r="B18" s="1">
        <v>44981</v>
      </c>
      <c r="C18" s="3" t="s">
        <v>659</v>
      </c>
      <c r="D18" s="3"/>
      <c r="F18" s="14">
        <v>2000</v>
      </c>
      <c r="G18" s="2">
        <f t="shared" si="0"/>
        <v>-277.56000000000017</v>
      </c>
    </row>
    <row r="19" spans="2:7">
      <c r="B19" s="1">
        <v>44993</v>
      </c>
      <c r="C19" s="8" t="s">
        <v>813</v>
      </c>
      <c r="E19" s="2">
        <v>1111.1099999999999</v>
      </c>
      <c r="F19" s="14"/>
      <c r="G19" s="2">
        <f t="shared" si="0"/>
        <v>833.54999999999973</v>
      </c>
    </row>
    <row r="20" spans="2:7">
      <c r="B20" s="1">
        <v>45024</v>
      </c>
      <c r="C20" s="8" t="s">
        <v>814</v>
      </c>
      <c r="E20" s="2">
        <v>1111.1099999999999</v>
      </c>
      <c r="F20" s="14"/>
      <c r="G20" s="2">
        <f t="shared" si="0"/>
        <v>1944.6599999999996</v>
      </c>
    </row>
    <row r="21" spans="2:7">
      <c r="B21" s="1">
        <v>45031</v>
      </c>
      <c r="C21" s="3" t="s">
        <v>659</v>
      </c>
      <c r="D21" s="3"/>
      <c r="F21" s="14">
        <v>6000</v>
      </c>
      <c r="G21" s="2">
        <f t="shared" si="0"/>
        <v>-4055.34</v>
      </c>
    </row>
    <row r="22" spans="2:7">
      <c r="B22" s="1">
        <v>45054</v>
      </c>
      <c r="C22" s="8" t="s">
        <v>815</v>
      </c>
      <c r="E22" s="2">
        <v>1111.1099999999999</v>
      </c>
      <c r="F22" s="14"/>
      <c r="G22" s="2">
        <f t="shared" si="0"/>
        <v>-2944.2300000000005</v>
      </c>
    </row>
    <row r="23" spans="2:7">
      <c r="B23" s="1">
        <v>45085</v>
      </c>
      <c r="C23" s="8" t="s">
        <v>816</v>
      </c>
      <c r="E23" s="2">
        <v>1111.1099999999999</v>
      </c>
      <c r="F23" s="14"/>
      <c r="G23" s="2">
        <f t="shared" si="0"/>
        <v>-1833.1200000000006</v>
      </c>
    </row>
    <row r="24" spans="2:7">
      <c r="B24" s="1">
        <v>45115</v>
      </c>
      <c r="C24" s="8" t="s">
        <v>817</v>
      </c>
      <c r="E24" s="2">
        <v>1111.1199999999999</v>
      </c>
      <c r="F24" s="14"/>
      <c r="G24" s="2">
        <f t="shared" si="0"/>
        <v>-722.00000000000068</v>
      </c>
    </row>
    <row r="25" spans="2:7">
      <c r="B25" s="1">
        <v>45000</v>
      </c>
      <c r="C25" s="8" t="s">
        <v>818</v>
      </c>
      <c r="E25" s="2">
        <v>2258</v>
      </c>
      <c r="F25" s="14"/>
      <c r="G25" s="2">
        <f t="shared" si="0"/>
        <v>1535.9999999999993</v>
      </c>
    </row>
    <row r="26" spans="2:7">
      <c r="C26" s="8" t="s">
        <v>819</v>
      </c>
      <c r="E26" s="2">
        <v>613</v>
      </c>
      <c r="F26" s="4"/>
      <c r="G26" s="2">
        <f t="shared" si="0"/>
        <v>2148.9999999999991</v>
      </c>
    </row>
    <row r="27" spans="2:7">
      <c r="C27" s="8" t="s">
        <v>820</v>
      </c>
      <c r="E27" s="2">
        <v>720</v>
      </c>
      <c r="F27" s="4"/>
      <c r="G27" s="2">
        <f t="shared" si="0"/>
        <v>2868.9999999999991</v>
      </c>
    </row>
    <row r="28" spans="2:7">
      <c r="C28" s="8" t="s">
        <v>821</v>
      </c>
      <c r="F28" s="4">
        <v>1036</v>
      </c>
      <c r="G28" s="2">
        <f t="shared" si="0"/>
        <v>1832.9999999999991</v>
      </c>
    </row>
    <row r="29" spans="2:7">
      <c r="B29" s="1">
        <v>45112</v>
      </c>
      <c r="C29" s="8" t="s">
        <v>822</v>
      </c>
      <c r="F29" s="4">
        <v>500</v>
      </c>
      <c r="G29" s="2">
        <f t="shared" si="0"/>
        <v>1332.9999999999991</v>
      </c>
    </row>
    <row r="30" spans="2:7">
      <c r="B30" s="1">
        <v>45114</v>
      </c>
      <c r="C30" s="8" t="s">
        <v>823</v>
      </c>
      <c r="E30" s="2">
        <v>2650</v>
      </c>
      <c r="F30" s="4"/>
      <c r="G30" s="2">
        <f t="shared" si="0"/>
        <v>3982.9999999999991</v>
      </c>
    </row>
    <row r="31" spans="2:7">
      <c r="C31" s="8" t="s">
        <v>824</v>
      </c>
      <c r="E31" s="2">
        <v>1356</v>
      </c>
      <c r="F31" s="4"/>
      <c r="G31" s="2">
        <f t="shared" si="0"/>
        <v>5338.9999999999991</v>
      </c>
    </row>
    <row r="32" spans="2:7">
      <c r="C32" s="8" t="s">
        <v>824</v>
      </c>
      <c r="E32" s="2">
        <v>869</v>
      </c>
      <c r="F32" s="4"/>
      <c r="G32" s="2">
        <f t="shared" si="0"/>
        <v>6207.9999999999991</v>
      </c>
    </row>
    <row r="33" spans="2:7">
      <c r="C33" s="8" t="s">
        <v>825</v>
      </c>
      <c r="D33">
        <v>1120</v>
      </c>
      <c r="F33" s="4"/>
      <c r="G33" s="2">
        <f t="shared" si="0"/>
        <v>6207.9999999999991</v>
      </c>
    </row>
    <row r="34" spans="2:7">
      <c r="B34" s="1">
        <v>45122</v>
      </c>
      <c r="C34" s="8" t="s">
        <v>826</v>
      </c>
      <c r="F34" s="4">
        <v>3450</v>
      </c>
      <c r="G34" s="2">
        <f t="shared" si="0"/>
        <v>2757.9999999999991</v>
      </c>
    </row>
    <row r="35" spans="2:7">
      <c r="C35" s="8" t="s">
        <v>827</v>
      </c>
      <c r="E35" s="2">
        <v>1750</v>
      </c>
      <c r="F35" s="14"/>
      <c r="G35" s="2">
        <f t="shared" si="0"/>
        <v>4507.9999999999991</v>
      </c>
    </row>
    <row r="36" spans="2:7">
      <c r="B36" s="1">
        <v>45149</v>
      </c>
      <c r="C36" s="8" t="s">
        <v>828</v>
      </c>
      <c r="F36" s="14">
        <v>3450</v>
      </c>
      <c r="G36" s="2">
        <f t="shared" si="0"/>
        <v>1057.9999999999991</v>
      </c>
    </row>
    <row r="37" spans="2:7">
      <c r="F37" s="14"/>
      <c r="G37" s="2">
        <f t="shared" si="0"/>
        <v>1057.9999999999991</v>
      </c>
    </row>
    <row r="38" spans="2:7">
      <c r="F38" s="14"/>
    </row>
    <row r="39" spans="2:7" ht="15.75">
      <c r="B39" s="222">
        <v>45168</v>
      </c>
      <c r="D39" s="15" t="s">
        <v>829</v>
      </c>
      <c r="E39" s="2">
        <f>SUM(E3:E37)</f>
        <v>23894</v>
      </c>
      <c r="F39" s="14">
        <f>SUM(F3:F37)</f>
        <v>22836</v>
      </c>
      <c r="G39" s="223">
        <f>E39-F39</f>
        <v>1058</v>
      </c>
    </row>
    <row r="41" spans="2:7">
      <c r="B41" s="1">
        <v>45179</v>
      </c>
      <c r="C41" s="8" t="s">
        <v>830</v>
      </c>
      <c r="E41" s="2">
        <v>3450</v>
      </c>
      <c r="G41" s="2">
        <f>G39+E41-F41</f>
        <v>4508</v>
      </c>
    </row>
    <row r="42" spans="2:7">
      <c r="B42" s="1">
        <v>45184</v>
      </c>
      <c r="C42" s="8" t="s">
        <v>831</v>
      </c>
      <c r="E42" s="2">
        <v>3300</v>
      </c>
      <c r="G42" s="2">
        <f t="shared" ref="G42:G58" si="1">G41+E42-F42</f>
        <v>7808</v>
      </c>
    </row>
    <row r="43" spans="2:7">
      <c r="B43" s="1">
        <v>45184</v>
      </c>
      <c r="C43" s="8" t="s">
        <v>832</v>
      </c>
      <c r="F43" s="14">
        <v>3450</v>
      </c>
      <c r="G43" s="2">
        <f t="shared" si="1"/>
        <v>4358</v>
      </c>
    </row>
    <row r="44" spans="2:7">
      <c r="B44" s="1">
        <v>45192</v>
      </c>
      <c r="C44" s="8" t="s">
        <v>833</v>
      </c>
      <c r="D44">
        <v>450</v>
      </c>
      <c r="G44" s="2">
        <f t="shared" si="1"/>
        <v>4358</v>
      </c>
    </row>
    <row r="45" spans="2:7">
      <c r="B45" s="1">
        <v>45192</v>
      </c>
      <c r="C45" s="8" t="s">
        <v>834</v>
      </c>
      <c r="D45">
        <v>699</v>
      </c>
      <c r="G45" s="2">
        <f t="shared" si="1"/>
        <v>4358</v>
      </c>
    </row>
    <row r="46" spans="2:7">
      <c r="B46" s="1">
        <v>45189</v>
      </c>
      <c r="C46" s="8" t="s">
        <v>835</v>
      </c>
      <c r="E46" s="2">
        <v>573</v>
      </c>
      <c r="G46" s="2">
        <f t="shared" si="1"/>
        <v>4931</v>
      </c>
    </row>
    <row r="47" spans="2:7">
      <c r="C47" s="8" t="s">
        <v>836</v>
      </c>
      <c r="D47">
        <v>1500</v>
      </c>
      <c r="G47" s="2">
        <f t="shared" si="1"/>
        <v>4931</v>
      </c>
    </row>
    <row r="48" spans="2:7">
      <c r="C48" s="8" t="s">
        <v>837</v>
      </c>
      <c r="E48" s="2">
        <v>1207</v>
      </c>
      <c r="G48" s="2">
        <f t="shared" si="1"/>
        <v>6138</v>
      </c>
    </row>
    <row r="49" spans="2:7">
      <c r="C49" s="8" t="s">
        <v>838</v>
      </c>
      <c r="D49">
        <v>1502</v>
      </c>
      <c r="G49" s="2">
        <f t="shared" si="1"/>
        <v>6138</v>
      </c>
    </row>
    <row r="50" spans="2:7">
      <c r="B50" s="1">
        <v>45214</v>
      </c>
      <c r="C50" s="8" t="s">
        <v>839</v>
      </c>
      <c r="F50" s="14">
        <v>3450</v>
      </c>
      <c r="G50" s="2">
        <f t="shared" si="1"/>
        <v>2688</v>
      </c>
    </row>
    <row r="51" spans="2:7">
      <c r="B51" s="1">
        <v>45246</v>
      </c>
      <c r="C51" s="8" t="s">
        <v>840</v>
      </c>
      <c r="E51" s="2">
        <v>1500</v>
      </c>
      <c r="G51" s="2">
        <f t="shared" si="1"/>
        <v>4188</v>
      </c>
    </row>
    <row r="52" spans="2:7">
      <c r="B52" s="1">
        <v>45246</v>
      </c>
      <c r="C52" s="8" t="s">
        <v>841</v>
      </c>
      <c r="F52" s="2">
        <v>3450</v>
      </c>
      <c r="G52" s="2">
        <f t="shared" si="1"/>
        <v>738</v>
      </c>
    </row>
    <row r="53" spans="2:7">
      <c r="B53" s="1">
        <v>45260</v>
      </c>
      <c r="C53" s="8" t="s">
        <v>842</v>
      </c>
      <c r="E53" s="2">
        <v>573</v>
      </c>
      <c r="G53" s="2">
        <f t="shared" si="1"/>
        <v>1311</v>
      </c>
    </row>
    <row r="54" spans="2:7">
      <c r="B54" s="1">
        <v>45266</v>
      </c>
      <c r="C54" s="8" t="s">
        <v>843</v>
      </c>
      <c r="F54" s="2">
        <v>3450</v>
      </c>
      <c r="G54" s="2">
        <f t="shared" si="1"/>
        <v>-2139</v>
      </c>
    </row>
    <row r="55" spans="2:7">
      <c r="B55" s="1">
        <v>45267</v>
      </c>
      <c r="C55" s="8" t="s">
        <v>844</v>
      </c>
      <c r="E55" s="2">
        <v>1500</v>
      </c>
      <c r="G55" s="2">
        <f t="shared" si="1"/>
        <v>-639</v>
      </c>
    </row>
    <row r="56" spans="2:7">
      <c r="B56" s="1">
        <v>45270</v>
      </c>
      <c r="C56" s="8" t="s">
        <v>124</v>
      </c>
      <c r="E56" s="2">
        <v>1711</v>
      </c>
      <c r="G56" s="2">
        <f t="shared" si="1"/>
        <v>1072</v>
      </c>
    </row>
    <row r="57" spans="2:7">
      <c r="G57" s="2">
        <f t="shared" si="1"/>
        <v>1072</v>
      </c>
    </row>
    <row r="58" spans="2:7">
      <c r="G58" s="224">
        <f t="shared" si="1"/>
        <v>1072</v>
      </c>
    </row>
    <row r="59" spans="2:7">
      <c r="G59" s="225"/>
    </row>
    <row r="60" spans="2:7" ht="15">
      <c r="C60" s="226" t="s">
        <v>845</v>
      </c>
      <c r="D60" s="227">
        <f>SUM(D3:D36)+SUM(D41:D52)</f>
        <v>5271</v>
      </c>
      <c r="E60" s="227">
        <f>SUM(E3:E36)+SUM(E41:E56)</f>
        <v>37708</v>
      </c>
      <c r="F60" s="227">
        <f>SUM(F3:F36)+SUM(F41:F56)</f>
        <v>36636</v>
      </c>
      <c r="G60" s="228">
        <f>E60-F60</f>
        <v>1072</v>
      </c>
    </row>
    <row r="61" spans="2:7">
      <c r="D61" s="229" t="s">
        <v>846</v>
      </c>
      <c r="E61" s="230" t="s">
        <v>847</v>
      </c>
      <c r="F61" s="230" t="s">
        <v>848</v>
      </c>
      <c r="G61" s="231" t="s">
        <v>848</v>
      </c>
    </row>
    <row r="62" spans="2:7">
      <c r="D62" s="229" t="s">
        <v>849</v>
      </c>
      <c r="E62" s="230" t="s">
        <v>850</v>
      </c>
      <c r="F62" s="230" t="s">
        <v>261</v>
      </c>
      <c r="G62" s="232" t="s">
        <v>851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K49"/>
  <sheetViews>
    <sheetView topLeftCell="A5" zoomScale="170" zoomScaleNormal="170" workbookViewId="0">
      <selection activeCell="D16" sqref="D16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165" customWidth="1"/>
    <col min="5" max="5" width="12" style="165" customWidth="1"/>
    <col min="6" max="6" width="12.5703125" style="165" customWidth="1"/>
    <col min="7" max="7" width="4.140625" style="233" customWidth="1"/>
    <col min="8" max="8" width="11.85546875" style="165" customWidth="1"/>
    <col min="9" max="9" width="15.5703125" style="165" customWidth="1"/>
    <col min="10" max="10" width="9.140625" customWidth="1"/>
  </cols>
  <sheetData>
    <row r="2" spans="2:9">
      <c r="C2" s="234" t="s">
        <v>852</v>
      </c>
    </row>
    <row r="3" spans="2:9">
      <c r="D3" s="235" t="s">
        <v>853</v>
      </c>
      <c r="E3" s="120" t="s">
        <v>854</v>
      </c>
      <c r="F3" s="235" t="s">
        <v>855</v>
      </c>
      <c r="G3" s="236"/>
      <c r="I3" s="235" t="s">
        <v>856</v>
      </c>
    </row>
    <row r="4" spans="2:9">
      <c r="D4" s="235" t="s">
        <v>857</v>
      </c>
      <c r="E4" s="120" t="s">
        <v>215</v>
      </c>
      <c r="F4" s="235" t="s">
        <v>857</v>
      </c>
      <c r="G4" s="236"/>
      <c r="I4" s="235" t="s">
        <v>215</v>
      </c>
    </row>
    <row r="5" spans="2:9" ht="14.25">
      <c r="E5" s="237">
        <v>119305.95</v>
      </c>
      <c r="F5" s="237"/>
      <c r="G5" s="238"/>
      <c r="H5" s="239" t="s">
        <v>858</v>
      </c>
      <c r="I5" s="240">
        <f>NZN_23!I8*-1</f>
        <v>119305.95484700002</v>
      </c>
    </row>
    <row r="6" spans="2:9" ht="14.25">
      <c r="H6" s="241" t="s">
        <v>859</v>
      </c>
      <c r="I6" s="242">
        <f>I23*-1</f>
        <v>39967</v>
      </c>
    </row>
    <row r="7" spans="2:9" ht="14.25">
      <c r="I7" s="242">
        <f>I6+I5</f>
        <v>159272.95484700002</v>
      </c>
    </row>
    <row r="8" spans="2:9">
      <c r="B8" s="149">
        <v>45295</v>
      </c>
      <c r="C8" s="8" t="s">
        <v>860</v>
      </c>
      <c r="D8" s="120">
        <v>10000</v>
      </c>
      <c r="E8" s="165">
        <f>I7-D8</f>
        <v>149272.95484700002</v>
      </c>
      <c r="F8" s="243">
        <v>10000</v>
      </c>
      <c r="G8" s="244"/>
      <c r="H8" s="245" t="s">
        <v>861</v>
      </c>
      <c r="I8" s="245">
        <f t="shared" ref="I8:I19" si="0">I7-F8</f>
        <v>149272.95484700002</v>
      </c>
    </row>
    <row r="9" spans="2:9">
      <c r="B9" s="149">
        <v>45324</v>
      </c>
      <c r="C9" s="8" t="s">
        <v>860</v>
      </c>
      <c r="D9" s="120">
        <v>10000</v>
      </c>
      <c r="E9" s="165">
        <f t="shared" ref="E9:E19" si="1">E8-D9</f>
        <v>139272.95484700002</v>
      </c>
      <c r="F9" s="243">
        <v>10000</v>
      </c>
      <c r="H9" s="245" t="s">
        <v>861</v>
      </c>
      <c r="I9" s="165">
        <f t="shared" si="0"/>
        <v>139272.95484700002</v>
      </c>
    </row>
    <row r="10" spans="2:9">
      <c r="B10" s="149">
        <v>45352</v>
      </c>
      <c r="D10" s="120">
        <v>10000</v>
      </c>
      <c r="E10" s="165">
        <f t="shared" si="1"/>
        <v>129272.95484700002</v>
      </c>
      <c r="F10" s="243">
        <v>10000</v>
      </c>
      <c r="H10" s="245" t="s">
        <v>861</v>
      </c>
      <c r="I10" s="165">
        <f t="shared" si="0"/>
        <v>129272.95484700002</v>
      </c>
    </row>
    <row r="11" spans="2:9">
      <c r="B11" s="149">
        <v>45383</v>
      </c>
      <c r="D11" s="120">
        <v>10000</v>
      </c>
      <c r="E11" s="165">
        <f t="shared" si="1"/>
        <v>119272.95484700002</v>
      </c>
      <c r="F11" s="243">
        <v>10000</v>
      </c>
      <c r="H11" s="245" t="s">
        <v>861</v>
      </c>
      <c r="I11" s="165">
        <f t="shared" si="0"/>
        <v>119272.95484700002</v>
      </c>
    </row>
    <row r="12" spans="2:9">
      <c r="B12" s="149">
        <v>45413</v>
      </c>
      <c r="D12" s="120">
        <v>10000</v>
      </c>
      <c r="E12" s="165">
        <f t="shared" si="1"/>
        <v>109272.95484700002</v>
      </c>
      <c r="F12" s="243">
        <v>10000</v>
      </c>
      <c r="H12" s="245" t="s">
        <v>861</v>
      </c>
      <c r="I12" s="165">
        <f t="shared" si="0"/>
        <v>109272.95484700002</v>
      </c>
    </row>
    <row r="13" spans="2:9">
      <c r="B13" s="149">
        <v>45444</v>
      </c>
      <c r="D13" s="120">
        <v>10000</v>
      </c>
      <c r="E13" s="165">
        <f t="shared" si="1"/>
        <v>99272.954847000015</v>
      </c>
      <c r="F13" s="243">
        <v>10000</v>
      </c>
      <c r="H13" s="245" t="s">
        <v>861</v>
      </c>
      <c r="I13" s="165">
        <f t="shared" si="0"/>
        <v>99272.954847000015</v>
      </c>
    </row>
    <row r="14" spans="2:9">
      <c r="B14" s="149">
        <v>45474</v>
      </c>
      <c r="D14" s="120">
        <v>10000</v>
      </c>
      <c r="E14" s="165">
        <f t="shared" si="1"/>
        <v>89272.954847000015</v>
      </c>
      <c r="F14" s="243">
        <v>10000</v>
      </c>
      <c r="H14" s="245" t="s">
        <v>861</v>
      </c>
      <c r="I14" s="165">
        <f t="shared" si="0"/>
        <v>89272.954847000015</v>
      </c>
    </row>
    <row r="15" spans="2:9">
      <c r="B15" s="149">
        <v>45505</v>
      </c>
      <c r="D15" s="120">
        <v>10000</v>
      </c>
      <c r="E15" s="165">
        <f t="shared" si="1"/>
        <v>79272.954847000015</v>
      </c>
      <c r="H15" s="165" t="s">
        <v>862</v>
      </c>
      <c r="I15" s="165">
        <f t="shared" si="0"/>
        <v>89272.954847000015</v>
      </c>
    </row>
    <row r="16" spans="2:9">
      <c r="B16" s="149">
        <v>45536</v>
      </c>
      <c r="D16" s="120">
        <v>10000</v>
      </c>
      <c r="E16" s="165">
        <f t="shared" si="1"/>
        <v>69272.954847000015</v>
      </c>
      <c r="H16" s="165" t="s">
        <v>862</v>
      </c>
      <c r="I16" s="165">
        <f t="shared" si="0"/>
        <v>89272.954847000015</v>
      </c>
    </row>
    <row r="17" spans="2:11">
      <c r="B17" s="149">
        <v>45566</v>
      </c>
      <c r="D17" s="120">
        <v>10000</v>
      </c>
      <c r="E17" s="165">
        <f t="shared" si="1"/>
        <v>59272.954847000015</v>
      </c>
      <c r="H17" s="165" t="s">
        <v>862</v>
      </c>
      <c r="I17" s="165">
        <f t="shared" si="0"/>
        <v>89272.954847000015</v>
      </c>
    </row>
    <row r="18" spans="2:11">
      <c r="B18" s="149">
        <v>45597</v>
      </c>
      <c r="D18" s="120">
        <v>10000</v>
      </c>
      <c r="E18" s="165">
        <f t="shared" si="1"/>
        <v>49272.954847000015</v>
      </c>
      <c r="H18" s="165" t="s">
        <v>862</v>
      </c>
      <c r="I18" s="165">
        <f t="shared" si="0"/>
        <v>89272.954847000015</v>
      </c>
    </row>
    <row r="19" spans="2:11">
      <c r="B19" s="149">
        <v>45627</v>
      </c>
      <c r="D19" s="120">
        <v>10000</v>
      </c>
      <c r="E19" s="165">
        <f t="shared" si="1"/>
        <v>39272.954847000015</v>
      </c>
      <c r="I19" s="165">
        <f t="shared" si="0"/>
        <v>89272.954847000015</v>
      </c>
    </row>
    <row r="20" spans="2:11">
      <c r="D20" s="120"/>
    </row>
    <row r="21" spans="2:11" ht="15.75">
      <c r="C21" s="246" t="s">
        <v>863</v>
      </c>
      <c r="E21" s="247">
        <v>0.2351</v>
      </c>
      <c r="F21" s="247">
        <f>1-E21</f>
        <v>0.76490000000000002</v>
      </c>
    </row>
    <row r="22" spans="2:11">
      <c r="B22" s="248" t="s">
        <v>864</v>
      </c>
      <c r="C22" s="248" t="s">
        <v>865</v>
      </c>
      <c r="D22" s="249" t="s">
        <v>866</v>
      </c>
      <c r="E22" s="250" t="s">
        <v>867</v>
      </c>
      <c r="F22" s="249" t="s">
        <v>868</v>
      </c>
      <c r="G22" s="251" t="s">
        <v>869</v>
      </c>
      <c r="H22" s="249" t="s">
        <v>870</v>
      </c>
      <c r="I22" s="249" t="s">
        <v>871</v>
      </c>
    </row>
    <row r="23" spans="2:11">
      <c r="B23" s="252"/>
      <c r="C23" s="253" t="s">
        <v>872</v>
      </c>
      <c r="D23" s="254">
        <f>SUBTOTAL(109,D24:D37)</f>
        <v>331000</v>
      </c>
      <c r="E23" s="254">
        <f>SUBTOTAL(109,$E$24:$E$37)</f>
        <v>170000</v>
      </c>
      <c r="F23" s="254">
        <f>SUM(F24:F37)</f>
        <v>-37851.1</v>
      </c>
      <c r="G23" s="255"/>
      <c r="H23" s="254">
        <f>SUBTOTAL(109,$H$24:$H$37)</f>
        <v>-39967</v>
      </c>
      <c r="I23" s="254">
        <f>I24</f>
        <v>-39967</v>
      </c>
      <c r="K23" s="256"/>
    </row>
    <row r="24" spans="2:11">
      <c r="B24" s="257">
        <v>45656</v>
      </c>
      <c r="C24" s="8" t="s">
        <v>873</v>
      </c>
      <c r="E24" s="120">
        <f t="shared" ref="E24:E37" si="2">IF(G24=1,$D24,0)</f>
        <v>0</v>
      </c>
      <c r="F24" s="258">
        <f t="shared" ref="F24:F37" si="3">IF(G24=0,D24*$E$21*-1,0)</f>
        <v>0</v>
      </c>
      <c r="G24" s="259">
        <v>0</v>
      </c>
      <c r="H24" s="120">
        <f t="shared" ref="H24:H37" si="4">IF(G24=1,D24*$E$21*-1,0)</f>
        <v>0</v>
      </c>
      <c r="I24" s="165">
        <f t="shared" ref="I24:I36" si="5">I25+H24</f>
        <v>-39967</v>
      </c>
      <c r="K24" s="256"/>
    </row>
    <row r="25" spans="2:11">
      <c r="B25" s="260"/>
      <c r="C25" s="261"/>
      <c r="D25" s="262"/>
      <c r="E25" s="120">
        <f t="shared" si="2"/>
        <v>0</v>
      </c>
      <c r="F25" s="258">
        <f t="shared" si="3"/>
        <v>0</v>
      </c>
      <c r="G25" s="259">
        <v>0</v>
      </c>
      <c r="H25" s="120">
        <f t="shared" si="4"/>
        <v>0</v>
      </c>
      <c r="I25" s="165">
        <f t="shared" si="5"/>
        <v>-39967</v>
      </c>
    </row>
    <row r="26" spans="2:11">
      <c r="B26" s="263"/>
      <c r="C26" s="264"/>
      <c r="D26" s="265"/>
      <c r="E26" s="120">
        <f t="shared" si="2"/>
        <v>0</v>
      </c>
      <c r="F26" s="258">
        <f t="shared" si="3"/>
        <v>0</v>
      </c>
      <c r="G26" s="259">
        <v>0</v>
      </c>
      <c r="H26" s="120">
        <f t="shared" si="4"/>
        <v>0</v>
      </c>
      <c r="I26" s="165">
        <f t="shared" si="5"/>
        <v>-39967</v>
      </c>
    </row>
    <row r="27" spans="2:11">
      <c r="B27" s="263"/>
      <c r="C27" s="264"/>
      <c r="D27" s="265"/>
      <c r="E27" s="120">
        <f t="shared" si="2"/>
        <v>0</v>
      </c>
      <c r="F27" s="258">
        <f t="shared" si="3"/>
        <v>0</v>
      </c>
      <c r="G27" s="259">
        <v>0</v>
      </c>
      <c r="H27" s="120">
        <f t="shared" si="4"/>
        <v>0</v>
      </c>
      <c r="I27" s="165">
        <f t="shared" si="5"/>
        <v>-39967</v>
      </c>
    </row>
    <row r="28" spans="2:11">
      <c r="B28" s="260"/>
      <c r="C28" s="261"/>
      <c r="D28" s="262"/>
      <c r="E28" s="120">
        <f t="shared" si="2"/>
        <v>0</v>
      </c>
      <c r="F28" s="258">
        <f t="shared" si="3"/>
        <v>0</v>
      </c>
      <c r="G28" s="259">
        <v>0</v>
      </c>
      <c r="H28" s="120">
        <f t="shared" si="4"/>
        <v>0</v>
      </c>
      <c r="I28" s="165">
        <f t="shared" si="5"/>
        <v>-39967</v>
      </c>
    </row>
    <row r="29" spans="2:11">
      <c r="B29" s="260"/>
      <c r="C29" s="261" t="s">
        <v>874</v>
      </c>
      <c r="D29" s="262"/>
      <c r="E29" s="120">
        <f t="shared" si="2"/>
        <v>0</v>
      </c>
      <c r="F29" s="258">
        <f t="shared" si="3"/>
        <v>0</v>
      </c>
      <c r="G29" s="259">
        <v>0</v>
      </c>
      <c r="H29" s="120">
        <f t="shared" si="4"/>
        <v>0</v>
      </c>
      <c r="I29" s="165">
        <f t="shared" si="5"/>
        <v>-39967</v>
      </c>
    </row>
    <row r="30" spans="2:11">
      <c r="B30" s="260"/>
      <c r="C30" s="261"/>
      <c r="D30" s="262"/>
      <c r="E30" s="120">
        <f t="shared" si="2"/>
        <v>0</v>
      </c>
      <c r="F30" s="258">
        <f t="shared" si="3"/>
        <v>0</v>
      </c>
      <c r="G30" s="259">
        <v>0</v>
      </c>
      <c r="H30" s="120">
        <f t="shared" si="4"/>
        <v>0</v>
      </c>
      <c r="I30" s="165">
        <f t="shared" si="5"/>
        <v>-39967</v>
      </c>
    </row>
    <row r="31" spans="2:11">
      <c r="B31" s="260"/>
      <c r="C31" s="261"/>
      <c r="D31" s="262"/>
      <c r="E31" s="120">
        <f t="shared" si="2"/>
        <v>0</v>
      </c>
      <c r="F31" s="258">
        <f t="shared" si="3"/>
        <v>0</v>
      </c>
      <c r="G31" s="259">
        <v>0</v>
      </c>
      <c r="H31" s="120">
        <f t="shared" si="4"/>
        <v>0</v>
      </c>
      <c r="I31" s="165">
        <f t="shared" si="5"/>
        <v>-39967</v>
      </c>
    </row>
    <row r="32" spans="2:11">
      <c r="B32" s="263"/>
      <c r="C32" s="264"/>
      <c r="D32" s="265"/>
      <c r="E32" s="120">
        <f t="shared" si="2"/>
        <v>0</v>
      </c>
      <c r="F32" s="258">
        <f t="shared" si="3"/>
        <v>0</v>
      </c>
      <c r="G32" s="259">
        <v>0</v>
      </c>
      <c r="H32" s="120">
        <f t="shared" si="4"/>
        <v>0</v>
      </c>
      <c r="I32" s="165">
        <f t="shared" si="5"/>
        <v>-39967</v>
      </c>
    </row>
    <row r="33" spans="2:11">
      <c r="B33" s="257">
        <v>45321</v>
      </c>
      <c r="C33" s="266" t="s">
        <v>875</v>
      </c>
      <c r="D33" s="267">
        <v>7000</v>
      </c>
      <c r="E33" s="120">
        <f t="shared" si="2"/>
        <v>0</v>
      </c>
      <c r="F33" s="258">
        <f t="shared" si="3"/>
        <v>-1645.7</v>
      </c>
      <c r="G33" s="259">
        <v>0</v>
      </c>
      <c r="H33" s="120">
        <f t="shared" si="4"/>
        <v>0</v>
      </c>
      <c r="I33" s="165">
        <f t="shared" si="5"/>
        <v>-39967</v>
      </c>
    </row>
    <row r="34" spans="2:11">
      <c r="B34" s="263"/>
      <c r="C34" s="264" t="s">
        <v>876</v>
      </c>
      <c r="D34" s="265">
        <v>24000</v>
      </c>
      <c r="E34" s="120">
        <f t="shared" si="2"/>
        <v>24000</v>
      </c>
      <c r="F34" s="258">
        <f t="shared" si="3"/>
        <v>0</v>
      </c>
      <c r="G34" s="259">
        <v>1</v>
      </c>
      <c r="H34" s="120">
        <f t="shared" si="4"/>
        <v>-5642.4</v>
      </c>
      <c r="I34" s="165">
        <f t="shared" si="5"/>
        <v>-39967</v>
      </c>
    </row>
    <row r="35" spans="2:11">
      <c r="B35" s="263">
        <v>45296</v>
      </c>
      <c r="C35" s="264" t="s">
        <v>877</v>
      </c>
      <c r="D35" s="265">
        <v>26000</v>
      </c>
      <c r="E35" s="120">
        <f t="shared" si="2"/>
        <v>26000</v>
      </c>
      <c r="F35" s="258">
        <f t="shared" si="3"/>
        <v>0</v>
      </c>
      <c r="G35" s="259">
        <v>1</v>
      </c>
      <c r="H35" s="120">
        <f t="shared" si="4"/>
        <v>-6112.6</v>
      </c>
      <c r="I35" s="165">
        <f t="shared" si="5"/>
        <v>-34324.6</v>
      </c>
    </row>
    <row r="36" spans="2:11">
      <c r="B36" s="260">
        <v>45295</v>
      </c>
      <c r="C36" s="264" t="s">
        <v>877</v>
      </c>
      <c r="D36" s="262">
        <v>120000</v>
      </c>
      <c r="E36" s="120">
        <f t="shared" si="2"/>
        <v>120000</v>
      </c>
      <c r="F36" s="258">
        <f t="shared" si="3"/>
        <v>0</v>
      </c>
      <c r="G36" s="259">
        <v>1</v>
      </c>
      <c r="H36" s="120">
        <f t="shared" si="4"/>
        <v>-28212</v>
      </c>
      <c r="I36" s="165">
        <f t="shared" si="5"/>
        <v>-28212</v>
      </c>
    </row>
    <row r="37" spans="2:11">
      <c r="B37" s="263">
        <v>45292</v>
      </c>
      <c r="C37" s="264" t="s">
        <v>757</v>
      </c>
      <c r="D37" s="268">
        <v>154000</v>
      </c>
      <c r="E37" s="120">
        <f t="shared" si="2"/>
        <v>0</v>
      </c>
      <c r="F37" s="258">
        <f t="shared" si="3"/>
        <v>-36205.4</v>
      </c>
      <c r="G37" s="269">
        <v>0</v>
      </c>
      <c r="H37" s="120">
        <f t="shared" si="4"/>
        <v>0</v>
      </c>
      <c r="I37" s="165">
        <f>H37</f>
        <v>0</v>
      </c>
    </row>
    <row r="40" spans="2:11">
      <c r="D40" s="120" t="s">
        <v>878</v>
      </c>
      <c r="E40" s="165" t="s">
        <v>879</v>
      </c>
      <c r="F40" s="165" t="s">
        <v>880</v>
      </c>
      <c r="H40" s="270"/>
      <c r="I40" s="270"/>
      <c r="J40" s="271"/>
    </row>
    <row r="41" spans="2:11" ht="15.75">
      <c r="C41" t="s">
        <v>881</v>
      </c>
      <c r="D41" s="272">
        <v>1</v>
      </c>
      <c r="E41" s="273">
        <f>1-F41</f>
        <v>0.76490000000000002</v>
      </c>
      <c r="F41" s="273">
        <f>E21</f>
        <v>0.2351</v>
      </c>
    </row>
    <row r="42" spans="2:11">
      <c r="C42" t="s">
        <v>882</v>
      </c>
      <c r="D42" s="274">
        <f>$D$23*D41</f>
        <v>331000</v>
      </c>
      <c r="E42" s="275">
        <f>$D$23*E41</f>
        <v>253181.9</v>
      </c>
      <c r="F42" s="275">
        <f>$D$23*F41</f>
        <v>77818.100000000006</v>
      </c>
    </row>
    <row r="43" spans="2:11">
      <c r="C43" t="s">
        <v>883</v>
      </c>
      <c r="D43" s="120">
        <f>E43+F43</f>
        <v>170000</v>
      </c>
      <c r="E43" s="165">
        <f>F43/F41*E41</f>
        <v>130033</v>
      </c>
      <c r="F43" s="165">
        <f>$I$23*-1</f>
        <v>39967</v>
      </c>
      <c r="K43" s="60"/>
    </row>
    <row r="44" spans="2:11">
      <c r="C44" t="s">
        <v>884</v>
      </c>
      <c r="D44" s="120">
        <f>D42-D43</f>
        <v>161000</v>
      </c>
      <c r="E44" s="165">
        <f>E42-E43</f>
        <v>123148.9</v>
      </c>
      <c r="F44" s="165">
        <f>F42-F43</f>
        <v>37851.100000000006</v>
      </c>
      <c r="K44" s="60"/>
    </row>
    <row r="45" spans="2:11">
      <c r="D45" s="276"/>
      <c r="E45" s="276"/>
      <c r="F45" s="276"/>
      <c r="K45" s="60"/>
    </row>
    <row r="46" spans="2:11">
      <c r="K46" s="60"/>
    </row>
    <row r="47" spans="2:11">
      <c r="D47" s="235" t="s">
        <v>885</v>
      </c>
      <c r="E47" s="235" t="s">
        <v>886</v>
      </c>
      <c r="F47" s="235" t="s">
        <v>887</v>
      </c>
      <c r="K47" s="60"/>
    </row>
    <row r="48" spans="2:11">
      <c r="E48" s="241"/>
      <c r="K48" s="60"/>
    </row>
    <row r="49" spans="3:6">
      <c r="C49" s="60" t="s">
        <v>791</v>
      </c>
      <c r="D49" s="165">
        <f>E43</f>
        <v>130033</v>
      </c>
      <c r="E49" s="165">
        <v>2.5000000000000001E-2</v>
      </c>
      <c r="F49" s="165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K41"/>
  <sheetViews>
    <sheetView topLeftCell="A13" zoomScale="170" zoomScaleNormal="17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234" t="s">
        <v>852</v>
      </c>
    </row>
    <row r="3" spans="2:11">
      <c r="D3" s="98"/>
      <c r="E3" s="98"/>
      <c r="I3" s="60"/>
    </row>
    <row r="4" spans="2:11">
      <c r="E4" s="98"/>
      <c r="I4" s="60"/>
    </row>
    <row r="5" spans="2:11" ht="15.75">
      <c r="C5" s="246" t="s">
        <v>863</v>
      </c>
      <c r="E5" s="277">
        <v>0.2351</v>
      </c>
      <c r="F5" s="277">
        <f>1-E5</f>
        <v>0.76490000000000002</v>
      </c>
      <c r="I5" s="60"/>
    </row>
    <row r="6" spans="2:11">
      <c r="B6" s="8" t="s">
        <v>864</v>
      </c>
      <c r="C6" s="8" t="s">
        <v>865</v>
      </c>
      <c r="D6" s="32" t="s">
        <v>866</v>
      </c>
      <c r="E6" s="184" t="s">
        <v>867</v>
      </c>
      <c r="F6" s="32" t="s">
        <v>868</v>
      </c>
      <c r="G6" s="278" t="s">
        <v>869</v>
      </c>
      <c r="H6" s="32" t="s">
        <v>870</v>
      </c>
      <c r="I6" s="279" t="s">
        <v>871</v>
      </c>
    </row>
    <row r="7" spans="2:11">
      <c r="K7" s="256"/>
    </row>
    <row r="8" spans="2:11" ht="15.75">
      <c r="B8" s="257">
        <v>45290</v>
      </c>
      <c r="C8" s="8" t="s">
        <v>873</v>
      </c>
      <c r="D8">
        <v>-5843.55</v>
      </c>
      <c r="E8" s="152">
        <f t="shared" ref="E8:E25" si="0">IF(G8=1,$D8,0)</f>
        <v>-5843.55</v>
      </c>
      <c r="F8" s="280">
        <f t="shared" ref="F8:F25" si="1">IF(G8=0,D8*$E$5*-1,0)</f>
        <v>0</v>
      </c>
      <c r="G8" s="281">
        <v>1</v>
      </c>
      <c r="H8" s="152">
        <f t="shared" ref="H8:H25" si="2">IF(G8=1,D8*$E$5*-1,0)</f>
        <v>1373.8186050000002</v>
      </c>
      <c r="I8" s="282">
        <f t="shared" ref="I8:I25" si="3">I9+H8</f>
        <v>-119305.95484700002</v>
      </c>
      <c r="K8" s="256"/>
    </row>
    <row r="9" spans="2:11">
      <c r="B9" s="283">
        <v>45290</v>
      </c>
      <c r="C9" s="82" t="s">
        <v>888</v>
      </c>
      <c r="D9" s="284">
        <v>135000</v>
      </c>
      <c r="E9" s="152">
        <f t="shared" si="0"/>
        <v>135000</v>
      </c>
      <c r="F9" s="280">
        <f t="shared" si="1"/>
        <v>0</v>
      </c>
      <c r="G9" s="281">
        <v>1</v>
      </c>
      <c r="H9" s="152">
        <f t="shared" si="2"/>
        <v>-31738.5</v>
      </c>
      <c r="I9" s="60">
        <f t="shared" si="3"/>
        <v>-120679.77345200001</v>
      </c>
    </row>
    <row r="10" spans="2:11">
      <c r="B10" s="285">
        <v>45260</v>
      </c>
      <c r="C10" s="286" t="s">
        <v>889</v>
      </c>
      <c r="D10" s="287"/>
      <c r="E10" s="288">
        <f t="shared" si="0"/>
        <v>0</v>
      </c>
      <c r="F10" s="289">
        <f t="shared" si="1"/>
        <v>0</v>
      </c>
      <c r="G10" s="290">
        <v>0</v>
      </c>
      <c r="H10" s="288">
        <f t="shared" si="2"/>
        <v>0</v>
      </c>
      <c r="I10" s="287">
        <f t="shared" si="3"/>
        <v>-88941.273452000009</v>
      </c>
    </row>
    <row r="11" spans="2:11">
      <c r="B11" s="283">
        <v>45236</v>
      </c>
      <c r="C11" s="82" t="s">
        <v>890</v>
      </c>
      <c r="D11" s="284">
        <v>15887.06</v>
      </c>
      <c r="E11" s="152">
        <f t="shared" si="0"/>
        <v>15887.06</v>
      </c>
      <c r="F11" s="280">
        <f t="shared" si="1"/>
        <v>0</v>
      </c>
      <c r="G11" s="281">
        <v>1</v>
      </c>
      <c r="H11" s="152">
        <f t="shared" si="2"/>
        <v>-3735.047806</v>
      </c>
      <c r="I11" s="60">
        <f t="shared" si="3"/>
        <v>-88941.273452000009</v>
      </c>
    </row>
    <row r="12" spans="2:11">
      <c r="B12" s="283">
        <v>45195</v>
      </c>
      <c r="C12" s="82" t="s">
        <v>891</v>
      </c>
      <c r="D12" s="284">
        <v>84000</v>
      </c>
      <c r="E12" s="152">
        <f t="shared" si="0"/>
        <v>84000</v>
      </c>
      <c r="F12" s="280">
        <f t="shared" si="1"/>
        <v>0</v>
      </c>
      <c r="G12" s="281">
        <v>1</v>
      </c>
      <c r="H12" s="152">
        <f t="shared" si="2"/>
        <v>-19748.400000000001</v>
      </c>
      <c r="I12" s="60">
        <f t="shared" si="3"/>
        <v>-85206.225646000006</v>
      </c>
    </row>
    <row r="13" spans="2:11">
      <c r="B13" s="283">
        <v>45229</v>
      </c>
      <c r="C13" s="82" t="s">
        <v>892</v>
      </c>
      <c r="D13" s="284">
        <v>10000</v>
      </c>
      <c r="E13" s="152">
        <f t="shared" si="0"/>
        <v>10000</v>
      </c>
      <c r="F13" s="280">
        <f t="shared" si="1"/>
        <v>0</v>
      </c>
      <c r="G13" s="281">
        <v>1</v>
      </c>
      <c r="H13" s="152">
        <f t="shared" si="2"/>
        <v>-2351</v>
      </c>
      <c r="I13" s="60">
        <f t="shared" si="3"/>
        <v>-65457.825645999998</v>
      </c>
    </row>
    <row r="14" spans="2:11">
      <c r="B14" s="283">
        <v>45194</v>
      </c>
      <c r="C14" s="82" t="s">
        <v>892</v>
      </c>
      <c r="D14" s="284">
        <v>3000</v>
      </c>
      <c r="E14" s="152">
        <f t="shared" si="0"/>
        <v>3000</v>
      </c>
      <c r="F14" s="280">
        <f t="shared" si="1"/>
        <v>0</v>
      </c>
      <c r="G14" s="281">
        <v>1</v>
      </c>
      <c r="H14" s="152">
        <f t="shared" si="2"/>
        <v>-705.3</v>
      </c>
      <c r="I14" s="60">
        <f t="shared" si="3"/>
        <v>-63106.825645999998</v>
      </c>
    </row>
    <row r="15" spans="2:11">
      <c r="B15" s="283">
        <v>45192</v>
      </c>
      <c r="C15" s="82" t="s">
        <v>892</v>
      </c>
      <c r="D15" s="284">
        <v>83000</v>
      </c>
      <c r="E15" s="152">
        <f t="shared" si="0"/>
        <v>83000</v>
      </c>
      <c r="F15" s="280">
        <f t="shared" si="1"/>
        <v>0</v>
      </c>
      <c r="G15" s="281">
        <v>1</v>
      </c>
      <c r="H15" s="152">
        <f t="shared" si="2"/>
        <v>-19513.3</v>
      </c>
      <c r="I15" s="60">
        <f t="shared" si="3"/>
        <v>-62401.525645999995</v>
      </c>
    </row>
    <row r="16" spans="2:11">
      <c r="B16" s="257">
        <v>45321</v>
      </c>
      <c r="C16" s="266" t="s">
        <v>875</v>
      </c>
      <c r="D16" s="209">
        <v>7000</v>
      </c>
      <c r="E16" s="152">
        <f t="shared" si="0"/>
        <v>0</v>
      </c>
      <c r="F16" s="280">
        <f t="shared" si="1"/>
        <v>-1645.7</v>
      </c>
      <c r="G16" s="281">
        <v>0</v>
      </c>
      <c r="H16" s="152">
        <f t="shared" si="2"/>
        <v>0</v>
      </c>
      <c r="I16" s="60">
        <f t="shared" si="3"/>
        <v>-42888.225645999992</v>
      </c>
    </row>
    <row r="17" spans="2:10">
      <c r="B17" s="283">
        <v>45290</v>
      </c>
      <c r="C17" s="82" t="s">
        <v>893</v>
      </c>
      <c r="D17" s="284">
        <v>6000</v>
      </c>
      <c r="E17" s="152">
        <f t="shared" si="0"/>
        <v>6000</v>
      </c>
      <c r="F17" s="280">
        <f t="shared" si="1"/>
        <v>0</v>
      </c>
      <c r="G17" s="281">
        <v>1</v>
      </c>
      <c r="H17" s="152">
        <f t="shared" si="2"/>
        <v>-1410.6</v>
      </c>
      <c r="I17" s="60">
        <f t="shared" si="3"/>
        <v>-42888.225645999992</v>
      </c>
    </row>
    <row r="18" spans="2:10">
      <c r="B18" s="283">
        <v>45260</v>
      </c>
      <c r="C18" s="82" t="s">
        <v>894</v>
      </c>
      <c r="D18" s="284">
        <v>6000</v>
      </c>
      <c r="E18" s="152">
        <f t="shared" si="0"/>
        <v>6000</v>
      </c>
      <c r="F18" s="280">
        <f t="shared" si="1"/>
        <v>0</v>
      </c>
      <c r="G18" s="281">
        <v>1</v>
      </c>
      <c r="H18" s="152">
        <f t="shared" si="2"/>
        <v>-1410.6</v>
      </c>
      <c r="I18" s="60">
        <f t="shared" si="3"/>
        <v>-41477.625645999993</v>
      </c>
    </row>
    <row r="19" spans="2:10">
      <c r="B19" s="283">
        <v>45229</v>
      </c>
      <c r="C19" s="82" t="s">
        <v>895</v>
      </c>
      <c r="D19" s="284">
        <v>6000</v>
      </c>
      <c r="E19" s="152">
        <f t="shared" si="0"/>
        <v>6000</v>
      </c>
      <c r="F19" s="280">
        <f t="shared" si="1"/>
        <v>0</v>
      </c>
      <c r="G19" s="281">
        <v>1</v>
      </c>
      <c r="H19" s="152">
        <f t="shared" si="2"/>
        <v>-1410.6</v>
      </c>
      <c r="I19" s="60">
        <f t="shared" si="3"/>
        <v>-40067.025645999995</v>
      </c>
    </row>
    <row r="20" spans="2:10">
      <c r="B20" s="283">
        <v>45199</v>
      </c>
      <c r="C20" s="82" t="s">
        <v>875</v>
      </c>
      <c r="D20" s="284">
        <v>6000</v>
      </c>
      <c r="E20" s="152">
        <f t="shared" si="0"/>
        <v>6000</v>
      </c>
      <c r="F20" s="280">
        <f t="shared" si="1"/>
        <v>0</v>
      </c>
      <c r="G20" s="281">
        <v>1</v>
      </c>
      <c r="H20" s="152">
        <f t="shared" si="2"/>
        <v>-1410.6</v>
      </c>
      <c r="I20" s="60">
        <f t="shared" si="3"/>
        <v>-38656.425645999996</v>
      </c>
    </row>
    <row r="21" spans="2:10">
      <c r="B21" s="283">
        <v>45171</v>
      </c>
      <c r="C21" s="82" t="s">
        <v>875</v>
      </c>
      <c r="D21" s="284">
        <v>65000</v>
      </c>
      <c r="E21" s="152">
        <f t="shared" si="0"/>
        <v>65000</v>
      </c>
      <c r="F21" s="280">
        <f t="shared" si="1"/>
        <v>0</v>
      </c>
      <c r="G21" s="281">
        <v>1</v>
      </c>
      <c r="H21" s="152">
        <f t="shared" si="2"/>
        <v>-15281.5</v>
      </c>
      <c r="I21" s="60">
        <f t="shared" si="3"/>
        <v>-37245.825645999998</v>
      </c>
    </row>
    <row r="22" spans="2:10">
      <c r="B22" s="283">
        <v>45122</v>
      </c>
      <c r="C22" s="82" t="s">
        <v>896</v>
      </c>
      <c r="D22" s="284">
        <v>50000</v>
      </c>
      <c r="E22" s="152">
        <f t="shared" si="0"/>
        <v>50000</v>
      </c>
      <c r="F22" s="280">
        <f t="shared" si="1"/>
        <v>0</v>
      </c>
      <c r="G22" s="281">
        <v>1</v>
      </c>
      <c r="H22" s="152">
        <f t="shared" si="2"/>
        <v>-11755</v>
      </c>
      <c r="I22" s="60">
        <f t="shared" si="3"/>
        <v>-21964.325646000001</v>
      </c>
    </row>
    <row r="23" spans="2:10">
      <c r="B23" s="82"/>
      <c r="C23" s="82" t="s">
        <v>897</v>
      </c>
      <c r="D23" s="284">
        <v>28080</v>
      </c>
      <c r="E23" s="152">
        <f t="shared" si="0"/>
        <v>28080</v>
      </c>
      <c r="F23" s="280">
        <f t="shared" si="1"/>
        <v>0</v>
      </c>
      <c r="G23" s="281">
        <v>1</v>
      </c>
      <c r="H23" s="152">
        <f t="shared" si="2"/>
        <v>-6601.6080000000002</v>
      </c>
      <c r="I23" s="60">
        <f t="shared" si="3"/>
        <v>-10209.325646000001</v>
      </c>
    </row>
    <row r="24" spans="2:10">
      <c r="B24" s="82"/>
      <c r="C24" s="82" t="s">
        <v>898</v>
      </c>
      <c r="D24" s="284">
        <v>8425.4599999999991</v>
      </c>
      <c r="E24" s="152">
        <f t="shared" si="0"/>
        <v>8425.4599999999991</v>
      </c>
      <c r="F24" s="280">
        <f t="shared" si="1"/>
        <v>0</v>
      </c>
      <c r="G24" s="281">
        <v>1</v>
      </c>
      <c r="H24" s="152">
        <f t="shared" si="2"/>
        <v>-1980.8256459999998</v>
      </c>
      <c r="I24" s="60">
        <f t="shared" si="3"/>
        <v>-3607.7176460000001</v>
      </c>
    </row>
    <row r="25" spans="2:10">
      <c r="B25" s="283">
        <v>44963</v>
      </c>
      <c r="C25" s="82" t="s">
        <v>899</v>
      </c>
      <c r="D25" s="284">
        <v>6920</v>
      </c>
      <c r="E25" s="152">
        <f t="shared" si="0"/>
        <v>6920</v>
      </c>
      <c r="F25" s="280">
        <f t="shared" si="1"/>
        <v>0</v>
      </c>
      <c r="G25" s="291">
        <v>1</v>
      </c>
      <c r="H25" s="152">
        <f t="shared" si="2"/>
        <v>-1626.8920000000001</v>
      </c>
      <c r="I25" s="60">
        <f t="shared" si="3"/>
        <v>-1626.8920000000001</v>
      </c>
    </row>
    <row r="27" spans="2:10">
      <c r="C27" t="s">
        <v>872</v>
      </c>
      <c r="D27" s="60">
        <f>SUBTOTAL(109,$D$7:$D$26)</f>
        <v>514468.97000000003</v>
      </c>
      <c r="E27" s="60">
        <f>SUBTOTAL(109,$E$9:$E$26)</f>
        <v>513312.52</v>
      </c>
      <c r="F27" s="60">
        <f>SUM(F8:F25)</f>
        <v>-1645.7</v>
      </c>
      <c r="H27" s="60">
        <f>SUBTOTAL(109,$H$7:$H$26)</f>
        <v>-119305.95484700004</v>
      </c>
      <c r="I27" s="60"/>
    </row>
    <row r="28" spans="2:10">
      <c r="C28" t="s">
        <v>900</v>
      </c>
      <c r="D28" s="60"/>
      <c r="E28" s="60">
        <f>E8</f>
        <v>-5843.55</v>
      </c>
      <c r="F28" s="60"/>
      <c r="H28" s="60"/>
      <c r="I28" s="60"/>
    </row>
    <row r="29" spans="2:10">
      <c r="C29" t="s">
        <v>901</v>
      </c>
      <c r="D29" s="60"/>
      <c r="E29" s="60">
        <f>E28+E27</f>
        <v>507468.97000000003</v>
      </c>
      <c r="F29" s="60"/>
      <c r="H29" s="60"/>
      <c r="I29" s="60"/>
    </row>
    <row r="30" spans="2:10">
      <c r="D30" s="60"/>
      <c r="E30" s="60"/>
      <c r="F30" s="60"/>
      <c r="H30" s="60"/>
      <c r="I30" s="60"/>
    </row>
    <row r="31" spans="2:10">
      <c r="D31" s="152" t="s">
        <v>878</v>
      </c>
      <c r="E31" s="60" t="s">
        <v>879</v>
      </c>
      <c r="F31" s="60" t="s">
        <v>880</v>
      </c>
      <c r="H31" s="292"/>
      <c r="I31" s="292"/>
      <c r="J31" s="271"/>
    </row>
    <row r="32" spans="2:10" ht="15.75">
      <c r="C32" t="s">
        <v>881</v>
      </c>
      <c r="D32" s="293">
        <v>1</v>
      </c>
      <c r="E32" s="294">
        <f>1-F32</f>
        <v>0.76490000000000002</v>
      </c>
      <c r="F32" s="294">
        <v>0.2351</v>
      </c>
      <c r="I32" s="60"/>
    </row>
    <row r="33" spans="3:11">
      <c r="C33" t="s">
        <v>882</v>
      </c>
      <c r="D33" s="295">
        <f>$D$27*D32</f>
        <v>514468.97000000003</v>
      </c>
      <c r="E33" s="296">
        <f>$D$27*E32</f>
        <v>393517.31515300006</v>
      </c>
      <c r="F33" s="296">
        <f>$D$27*F32</f>
        <v>120951.65484700001</v>
      </c>
      <c r="I33" s="60"/>
    </row>
    <row r="34" spans="3:11">
      <c r="C34" t="s">
        <v>883</v>
      </c>
      <c r="D34" s="152">
        <f>E34+F34</f>
        <v>507468.9700000002</v>
      </c>
      <c r="E34" s="60">
        <f>F34/F32*E32</f>
        <v>388163.01515300019</v>
      </c>
      <c r="F34" s="60">
        <f>$H$27*-1</f>
        <v>119305.95484700004</v>
      </c>
      <c r="H34" s="297"/>
      <c r="I34" s="60"/>
      <c r="K34" s="60"/>
    </row>
    <row r="35" spans="3:11">
      <c r="C35" t="s">
        <v>884</v>
      </c>
      <c r="D35" s="152">
        <f>D33-D34</f>
        <v>6999.9999999998254</v>
      </c>
      <c r="E35" s="60">
        <f>E33-E34</f>
        <v>5354.2999999998719</v>
      </c>
      <c r="F35" s="60">
        <f>F33-F34</f>
        <v>1645.699999999968</v>
      </c>
      <c r="H35" s="60"/>
      <c r="I35" s="60"/>
      <c r="K35" s="60"/>
    </row>
    <row r="36" spans="3:11">
      <c r="D36" s="298"/>
      <c r="E36" s="298"/>
      <c r="F36" s="298"/>
      <c r="H36" s="60"/>
      <c r="I36" s="60"/>
      <c r="K36" s="60"/>
    </row>
    <row r="37" spans="3:11">
      <c r="I37" s="60"/>
      <c r="K37" s="60"/>
    </row>
    <row r="38" spans="3:11">
      <c r="D38" s="15" t="s">
        <v>885</v>
      </c>
      <c r="E38" s="15" t="s">
        <v>886</v>
      </c>
      <c r="F38" s="15" t="s">
        <v>887</v>
      </c>
      <c r="H38" s="60"/>
      <c r="I38" s="60"/>
      <c r="K38" s="60"/>
    </row>
    <row r="39" spans="3:11">
      <c r="C39" t="s">
        <v>902</v>
      </c>
      <c r="D39" s="60">
        <f>F34</f>
        <v>119305.95484700004</v>
      </c>
      <c r="E39" s="299">
        <v>2.5000000000000001E-2</v>
      </c>
      <c r="F39" s="60">
        <f>D39*E39</f>
        <v>2982.6488711750012</v>
      </c>
      <c r="I39" s="60"/>
      <c r="K39" s="60"/>
    </row>
    <row r="40" spans="3:11">
      <c r="C40" s="60" t="s">
        <v>791</v>
      </c>
      <c r="D40" s="60">
        <f>E34</f>
        <v>388163.01515300019</v>
      </c>
      <c r="E40" s="160">
        <v>2.5000000000000001E-2</v>
      </c>
      <c r="F40" s="60">
        <f>D40*E40</f>
        <v>9704.0753788250058</v>
      </c>
      <c r="I40" s="60"/>
    </row>
    <row r="41" spans="3:11">
      <c r="F41" s="60"/>
      <c r="H41" s="60"/>
      <c r="I41" s="6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75623"/>
  </sheetPr>
  <dimension ref="A1:H131"/>
  <sheetViews>
    <sheetView zoomScale="170" zoomScaleNormal="17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3.28515625" bestFit="1" customWidth="1"/>
    <col min="6" max="6" width="12.5703125" bestFit="1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903</v>
      </c>
      <c r="C2" s="76" t="s">
        <v>59</v>
      </c>
      <c r="D2" s="295">
        <f>SUM(D5:D35)</f>
        <v>22800</v>
      </c>
      <c r="E2" s="295">
        <f>SUM(E5:E35)</f>
        <v>-38101.83</v>
      </c>
      <c r="F2" s="295">
        <f>SUM(F5:F35)</f>
        <v>16232.529999999999</v>
      </c>
      <c r="G2" s="295">
        <f>SUM(G5:G35)</f>
        <v>-41854.230000000003</v>
      </c>
      <c r="H2" s="295">
        <f>F2+G2</f>
        <v>-25621.700000000004</v>
      </c>
    </row>
    <row r="3" spans="1:8">
      <c r="B3" s="15"/>
      <c r="H3" s="60"/>
    </row>
    <row r="4" spans="1:8">
      <c r="A4" s="154">
        <v>45259</v>
      </c>
      <c r="B4" s="300" t="s">
        <v>416</v>
      </c>
      <c r="C4" s="8" t="s">
        <v>424</v>
      </c>
      <c r="E4" s="60">
        <v>-152</v>
      </c>
      <c r="G4" s="60">
        <v>-152</v>
      </c>
      <c r="H4" s="60">
        <f t="shared" ref="H4:H35" si="0">H3+F4+G4</f>
        <v>-152</v>
      </c>
    </row>
    <row r="5" spans="1:8">
      <c r="A5" s="154">
        <v>45260</v>
      </c>
      <c r="B5" s="97" t="s">
        <v>72</v>
      </c>
      <c r="C5" s="97"/>
      <c r="D5" s="97"/>
      <c r="E5" s="60">
        <v>-400</v>
      </c>
      <c r="G5">
        <v>-240</v>
      </c>
      <c r="H5" s="60">
        <f t="shared" si="0"/>
        <v>-392</v>
      </c>
    </row>
    <row r="6" spans="1:8">
      <c r="A6" s="154">
        <v>45260</v>
      </c>
      <c r="B6" s="97" t="s">
        <v>73</v>
      </c>
      <c r="C6" s="97"/>
      <c r="D6" s="97"/>
      <c r="E6" s="60">
        <v>-500</v>
      </c>
      <c r="G6">
        <v>-455</v>
      </c>
      <c r="H6" s="60">
        <f t="shared" si="0"/>
        <v>-847</v>
      </c>
    </row>
    <row r="7" spans="1:8">
      <c r="A7" s="154">
        <v>45264</v>
      </c>
      <c r="B7" s="97" t="s">
        <v>904</v>
      </c>
      <c r="C7" s="97"/>
      <c r="D7" s="97"/>
      <c r="E7" s="60">
        <v>-250</v>
      </c>
      <c r="G7" s="60">
        <f>E7</f>
        <v>-250</v>
      </c>
      <c r="H7" s="60">
        <f t="shared" si="0"/>
        <v>-1097</v>
      </c>
    </row>
    <row r="8" spans="1:8">
      <c r="B8" s="97" t="s">
        <v>905</v>
      </c>
      <c r="C8" s="97"/>
      <c r="D8" s="97"/>
      <c r="E8" s="152"/>
      <c r="H8" s="60">
        <f t="shared" si="0"/>
        <v>-1097</v>
      </c>
    </row>
    <row r="9" spans="1:8">
      <c r="B9" s="97" t="s">
        <v>906</v>
      </c>
      <c r="C9" s="97"/>
      <c r="D9" s="97"/>
      <c r="E9" s="152"/>
      <c r="H9" s="60">
        <f t="shared" si="0"/>
        <v>-1097</v>
      </c>
    </row>
    <row r="10" spans="1:8">
      <c r="B10" s="97" t="s">
        <v>110</v>
      </c>
      <c r="C10" s="97"/>
      <c r="D10" s="97"/>
      <c r="E10" s="152"/>
      <c r="H10" s="60">
        <f t="shared" si="0"/>
        <v>-1097</v>
      </c>
    </row>
    <row r="11" spans="1:8">
      <c r="B11" s="167" t="s">
        <v>64</v>
      </c>
      <c r="D11" s="60"/>
      <c r="E11" s="60">
        <f>E52*-1</f>
        <v>-138.01</v>
      </c>
      <c r="F11" s="60"/>
      <c r="G11" s="60">
        <f t="shared" ref="G11:G16" si="1">E11</f>
        <v>-138.01</v>
      </c>
      <c r="H11" s="60">
        <f t="shared" si="0"/>
        <v>-1235.01</v>
      </c>
    </row>
    <row r="12" spans="1:8">
      <c r="B12" s="167" t="s">
        <v>60</v>
      </c>
      <c r="E12" s="60">
        <f>E58</f>
        <v>-4628.58</v>
      </c>
      <c r="F12" s="60"/>
      <c r="G12" s="60">
        <f t="shared" si="1"/>
        <v>-4628.58</v>
      </c>
      <c r="H12" s="60">
        <f t="shared" si="0"/>
        <v>-5863.59</v>
      </c>
    </row>
    <row r="13" spans="1:8">
      <c r="A13" s="154">
        <v>45264</v>
      </c>
      <c r="B13" s="167" t="s">
        <v>61</v>
      </c>
      <c r="E13" s="60">
        <f>E81</f>
        <v>-11990.160000000002</v>
      </c>
      <c r="G13" s="60">
        <f t="shared" si="1"/>
        <v>-11990.160000000002</v>
      </c>
      <c r="H13" s="60">
        <f t="shared" si="0"/>
        <v>-17853.75</v>
      </c>
    </row>
    <row r="14" spans="1:8">
      <c r="A14" s="149"/>
      <c r="B14" s="97" t="s">
        <v>907</v>
      </c>
      <c r="C14" s="97"/>
      <c r="D14" s="97"/>
      <c r="E14" s="60">
        <v>-5375</v>
      </c>
      <c r="G14" s="60">
        <f t="shared" si="1"/>
        <v>-5375</v>
      </c>
      <c r="H14" s="60">
        <f t="shared" si="0"/>
        <v>-23228.75</v>
      </c>
    </row>
    <row r="15" spans="1:8">
      <c r="A15" s="149"/>
      <c r="B15" s="97" t="s">
        <v>907</v>
      </c>
      <c r="C15" s="97"/>
      <c r="D15" s="97"/>
      <c r="E15" s="60">
        <v>-2125</v>
      </c>
      <c r="G15" s="60">
        <f t="shared" si="1"/>
        <v>-2125</v>
      </c>
      <c r="H15" s="60">
        <f t="shared" si="0"/>
        <v>-25353.75</v>
      </c>
    </row>
    <row r="16" spans="1:8">
      <c r="B16" s="97" t="s">
        <v>908</v>
      </c>
      <c r="C16" s="97"/>
      <c r="D16" s="97"/>
      <c r="E16" s="60">
        <v>-945.08</v>
      </c>
      <c r="F16" s="152"/>
      <c r="G16" s="60">
        <f t="shared" si="1"/>
        <v>-945.08</v>
      </c>
      <c r="H16" s="60">
        <f t="shared" si="0"/>
        <v>-26298.83</v>
      </c>
    </row>
    <row r="17" spans="1:8">
      <c r="B17" s="97" t="s">
        <v>67</v>
      </c>
      <c r="C17" s="97"/>
      <c r="D17" s="97"/>
      <c r="E17" s="60">
        <v>-150</v>
      </c>
      <c r="F17" s="152"/>
      <c r="G17" s="60">
        <v>-133.4</v>
      </c>
      <c r="H17" s="60">
        <f t="shared" si="0"/>
        <v>-26432.230000000003</v>
      </c>
    </row>
    <row r="18" spans="1:8">
      <c r="B18" s="102" t="s">
        <v>65</v>
      </c>
      <c r="C18" s="102"/>
      <c r="D18" s="102"/>
      <c r="E18" s="60">
        <v>-1000</v>
      </c>
      <c r="F18" s="152"/>
      <c r="G18" s="60">
        <v>-621</v>
      </c>
      <c r="H18" s="60">
        <f t="shared" si="0"/>
        <v>-27053.230000000003</v>
      </c>
    </row>
    <row r="19" spans="1:8">
      <c r="B19" s="102" t="s">
        <v>66</v>
      </c>
      <c r="C19" s="102"/>
      <c r="D19" s="102"/>
      <c r="E19" s="60">
        <v>-100</v>
      </c>
      <c r="F19" s="152"/>
      <c r="G19" s="60">
        <v>0</v>
      </c>
      <c r="H19" s="60">
        <f t="shared" si="0"/>
        <v>-27053.230000000003</v>
      </c>
    </row>
    <row r="20" spans="1:8">
      <c r="A20" s="154">
        <v>45272</v>
      </c>
      <c r="B20" s="102" t="s">
        <v>69</v>
      </c>
      <c r="C20" s="102"/>
      <c r="D20" s="102"/>
      <c r="E20" s="152"/>
      <c r="F20" s="152"/>
      <c r="G20" s="60">
        <v>-3512</v>
      </c>
      <c r="H20" s="60">
        <f t="shared" si="0"/>
        <v>-30565.230000000003</v>
      </c>
    </row>
    <row r="21" spans="1:8">
      <c r="A21" s="154">
        <v>45287</v>
      </c>
      <c r="B21" s="8" t="s">
        <v>69</v>
      </c>
      <c r="E21" s="60">
        <v>-3500</v>
      </c>
      <c r="F21" s="60"/>
      <c r="G21" s="60">
        <v>-3512</v>
      </c>
      <c r="H21" s="60">
        <f t="shared" si="0"/>
        <v>-34077.230000000003</v>
      </c>
    </row>
    <row r="22" spans="1:8">
      <c r="A22" s="154">
        <v>45287</v>
      </c>
      <c r="B22" s="8" t="s">
        <v>70</v>
      </c>
      <c r="E22" s="60">
        <v>-3500</v>
      </c>
      <c r="F22" s="60"/>
      <c r="G22" s="60">
        <v>-3512</v>
      </c>
      <c r="H22" s="60">
        <f t="shared" si="0"/>
        <v>-37589.230000000003</v>
      </c>
    </row>
    <row r="23" spans="1:8">
      <c r="B23" t="s">
        <v>71</v>
      </c>
      <c r="E23" s="60">
        <v>-3500</v>
      </c>
      <c r="F23" s="60"/>
      <c r="G23" s="60">
        <v>-3512</v>
      </c>
      <c r="H23" s="60">
        <f t="shared" si="0"/>
        <v>-41101.230000000003</v>
      </c>
    </row>
    <row r="24" spans="1:8">
      <c r="B24" t="s">
        <v>909</v>
      </c>
      <c r="E24" s="152"/>
      <c r="F24" s="60"/>
      <c r="G24" s="60">
        <v>-155</v>
      </c>
      <c r="H24" s="60">
        <f t="shared" si="0"/>
        <v>-41256.230000000003</v>
      </c>
    </row>
    <row r="25" spans="1:8">
      <c r="A25" s="154">
        <v>45655</v>
      </c>
      <c r="B25" s="97" t="s">
        <v>72</v>
      </c>
      <c r="C25" s="97"/>
      <c r="D25" s="97"/>
      <c r="E25" s="152"/>
      <c r="F25" s="60"/>
      <c r="G25" s="60">
        <v>-250</v>
      </c>
      <c r="H25" s="60">
        <f t="shared" si="0"/>
        <v>-41506.230000000003</v>
      </c>
    </row>
    <row r="26" spans="1:8">
      <c r="A26" s="154">
        <v>45655</v>
      </c>
      <c r="B26" s="97" t="s">
        <v>73</v>
      </c>
      <c r="C26" s="97"/>
      <c r="D26" s="97"/>
      <c r="E26" s="152"/>
      <c r="F26" s="60"/>
      <c r="G26" s="60">
        <v>-500</v>
      </c>
      <c r="H26" s="60">
        <f t="shared" si="0"/>
        <v>-42006.23</v>
      </c>
    </row>
    <row r="27" spans="1:8">
      <c r="E27" s="152"/>
      <c r="F27" s="60"/>
      <c r="G27" s="60"/>
      <c r="H27" s="60">
        <f t="shared" si="0"/>
        <v>-42006.23</v>
      </c>
    </row>
    <row r="28" spans="1:8">
      <c r="B28" t="s">
        <v>68</v>
      </c>
      <c r="D28" s="175">
        <v>7500</v>
      </c>
      <c r="F28" s="60">
        <v>7432.53</v>
      </c>
      <c r="G28" s="60"/>
      <c r="H28" s="60">
        <f t="shared" si="0"/>
        <v>-34573.700000000004</v>
      </c>
    </row>
    <row r="29" spans="1:8">
      <c r="A29" s="154">
        <v>45275</v>
      </c>
      <c r="B29" s="8" t="s">
        <v>910</v>
      </c>
      <c r="D29" s="175">
        <v>2800</v>
      </c>
      <c r="F29" s="60">
        <v>2800</v>
      </c>
      <c r="G29" s="60"/>
      <c r="H29" s="60">
        <f t="shared" si="0"/>
        <v>-31773.700000000004</v>
      </c>
    </row>
    <row r="30" spans="1:8">
      <c r="A30" s="149">
        <v>45293</v>
      </c>
      <c r="B30" s="8" t="s">
        <v>748</v>
      </c>
      <c r="D30" s="175">
        <v>6500</v>
      </c>
      <c r="F30" s="60"/>
      <c r="G30" s="60"/>
      <c r="H30" s="60">
        <f t="shared" si="0"/>
        <v>-31773.700000000004</v>
      </c>
    </row>
    <row r="31" spans="1:8">
      <c r="A31" s="149"/>
      <c r="D31" s="98"/>
      <c r="H31" s="60">
        <f t="shared" si="0"/>
        <v>-31773.700000000004</v>
      </c>
    </row>
    <row r="32" spans="1:8">
      <c r="A32" s="149">
        <v>45294</v>
      </c>
      <c r="B32" s="8" t="s">
        <v>750</v>
      </c>
      <c r="D32" s="175">
        <v>6000</v>
      </c>
      <c r="F32" s="60"/>
      <c r="G32" s="60"/>
      <c r="H32" s="60">
        <f t="shared" si="0"/>
        <v>-31773.700000000004</v>
      </c>
    </row>
    <row r="33" spans="1:8">
      <c r="A33" s="149">
        <v>45266</v>
      </c>
      <c r="B33" s="8" t="s">
        <v>911</v>
      </c>
      <c r="D33" s="98"/>
      <c r="F33" s="60">
        <v>6000</v>
      </c>
      <c r="G33" s="60"/>
      <c r="H33" s="60">
        <f t="shared" si="0"/>
        <v>-25773.700000000004</v>
      </c>
    </row>
    <row r="34" spans="1:8">
      <c r="D34" s="98"/>
      <c r="F34" s="60"/>
      <c r="G34" s="60"/>
      <c r="H34" s="60">
        <f t="shared" si="0"/>
        <v>-25773.700000000004</v>
      </c>
    </row>
    <row r="35" spans="1:8">
      <c r="D35" s="98"/>
      <c r="F35" s="60"/>
      <c r="G35" s="60"/>
      <c r="H35" s="60">
        <f t="shared" si="0"/>
        <v>-25773.700000000004</v>
      </c>
    </row>
    <row r="41" spans="1:8">
      <c r="A41" s="99" t="s">
        <v>318</v>
      </c>
      <c r="B41" s="99"/>
      <c r="C41" s="99"/>
      <c r="D41" s="99"/>
      <c r="E41" s="147"/>
      <c r="G41" s="60"/>
      <c r="H41" s="60"/>
    </row>
    <row r="42" spans="1:8">
      <c r="A42" s="301"/>
      <c r="B42" s="301"/>
      <c r="C42" s="301"/>
      <c r="D42" s="301"/>
      <c r="E42" s="302"/>
      <c r="H42" s="60"/>
    </row>
    <row r="43" spans="1:8">
      <c r="A43" s="301"/>
      <c r="B43" s="301"/>
      <c r="C43" s="303"/>
      <c r="D43" s="301"/>
      <c r="E43" s="301"/>
      <c r="H43" s="60"/>
    </row>
    <row r="44" spans="1:8">
      <c r="A44" s="301"/>
      <c r="B44" s="301"/>
      <c r="C44" s="303"/>
      <c r="D44" s="301"/>
      <c r="E44" s="301"/>
      <c r="H44" s="60"/>
    </row>
    <row r="45" spans="1:8">
      <c r="C45" s="160"/>
      <c r="H45" s="60"/>
    </row>
    <row r="46" spans="1:8">
      <c r="A46" s="304">
        <v>44929</v>
      </c>
      <c r="B46" s="162" t="s">
        <v>319</v>
      </c>
      <c r="C46" s="99"/>
      <c r="D46" s="190">
        <f>SUM(D47:D54)</f>
        <v>5357.51</v>
      </c>
      <c r="E46" s="190">
        <f>SUM(E47:E53)</f>
        <v>5360.01</v>
      </c>
      <c r="H46" s="60"/>
    </row>
    <row r="47" spans="1:8">
      <c r="B47" t="s">
        <v>912</v>
      </c>
      <c r="C47" t="s">
        <v>145</v>
      </c>
      <c r="D47">
        <v>947.93</v>
      </c>
      <c r="E47" s="60">
        <v>950</v>
      </c>
      <c r="F47" s="60"/>
      <c r="G47" s="60"/>
    </row>
    <row r="48" spans="1:8">
      <c r="B48" t="s">
        <v>321</v>
      </c>
      <c r="C48" t="s">
        <v>913</v>
      </c>
      <c r="D48">
        <v>1830.06</v>
      </c>
      <c r="E48" s="60">
        <v>1830</v>
      </c>
      <c r="F48" s="60"/>
      <c r="G48" s="60"/>
    </row>
    <row r="49" spans="1:8">
      <c r="B49" t="s">
        <v>322</v>
      </c>
      <c r="C49" t="s">
        <v>913</v>
      </c>
      <c r="D49">
        <v>209.55</v>
      </c>
      <c r="E49">
        <v>210</v>
      </c>
      <c r="F49" s="60"/>
      <c r="G49" s="60"/>
    </row>
    <row r="50" spans="1:8">
      <c r="B50" t="s">
        <v>323</v>
      </c>
      <c r="C50" t="s">
        <v>914</v>
      </c>
      <c r="D50">
        <v>1732.62</v>
      </c>
      <c r="E50">
        <v>1732</v>
      </c>
      <c r="F50" s="60"/>
      <c r="G50" s="60"/>
    </row>
    <row r="51" spans="1:8">
      <c r="B51" t="s">
        <v>324</v>
      </c>
      <c r="C51" t="s">
        <v>913</v>
      </c>
      <c r="D51">
        <v>499.34</v>
      </c>
      <c r="E51">
        <v>500</v>
      </c>
      <c r="F51" s="60"/>
      <c r="G51" s="60"/>
    </row>
    <row r="52" spans="1:8">
      <c r="B52" t="s">
        <v>325</v>
      </c>
      <c r="C52" s="102"/>
      <c r="D52" s="102">
        <v>138.01</v>
      </c>
      <c r="E52">
        <v>138.01</v>
      </c>
      <c r="F52" s="60"/>
      <c r="G52" s="60"/>
    </row>
    <row r="53" spans="1:8">
      <c r="C53" s="102"/>
      <c r="E53" s="102"/>
      <c r="F53" s="60"/>
      <c r="G53" s="60"/>
    </row>
    <row r="54" spans="1:8">
      <c r="C54" s="102"/>
      <c r="D54" s="102"/>
    </row>
    <row r="56" spans="1:8">
      <c r="B56" s="14"/>
    </row>
    <row r="57" spans="1:8">
      <c r="B57" s="98"/>
    </row>
    <row r="58" spans="1:8">
      <c r="A58" s="99"/>
      <c r="B58" s="100" t="s">
        <v>75</v>
      </c>
      <c r="C58" s="99"/>
      <c r="D58" s="147"/>
      <c r="E58" s="305">
        <f>SUM(E59:E78)</f>
        <v>-4628.58</v>
      </c>
      <c r="F58" s="148">
        <f>SUM(F59:F78)</f>
        <v>0</v>
      </c>
    </row>
    <row r="59" spans="1:8">
      <c r="C59" s="102"/>
      <c r="D59" s="102"/>
      <c r="E59" s="152"/>
      <c r="G59" s="60"/>
      <c r="H59" s="60"/>
    </row>
    <row r="60" spans="1:8">
      <c r="A60" s="149">
        <v>44995</v>
      </c>
      <c r="B60" s="8" t="s">
        <v>763</v>
      </c>
      <c r="C60">
        <v>613.91</v>
      </c>
      <c r="D60" s="32" t="s">
        <v>915</v>
      </c>
      <c r="E60" s="152">
        <v>-61.39</v>
      </c>
      <c r="F60" s="60"/>
      <c r="G60" s="60"/>
      <c r="H60" s="60"/>
    </row>
    <row r="61" spans="1:8">
      <c r="F61" s="60"/>
      <c r="G61" s="60"/>
      <c r="H61" s="60"/>
    </row>
    <row r="62" spans="1:8">
      <c r="A62" s="149">
        <v>45043</v>
      </c>
      <c r="B62" s="102" t="s">
        <v>715</v>
      </c>
      <c r="C62" s="102">
        <v>10764.57</v>
      </c>
      <c r="D62" s="32" t="s">
        <v>387</v>
      </c>
      <c r="E62" s="152">
        <v>-1196.06</v>
      </c>
      <c r="F62" s="60"/>
      <c r="G62" s="60"/>
      <c r="H62" s="60"/>
    </row>
    <row r="63" spans="1:8">
      <c r="A63" s="149">
        <v>45078</v>
      </c>
      <c r="B63" s="102" t="s">
        <v>916</v>
      </c>
      <c r="D63" s="193" t="s">
        <v>431</v>
      </c>
      <c r="E63" s="152">
        <v>-666.65</v>
      </c>
      <c r="F63" s="60"/>
      <c r="G63" s="60"/>
      <c r="H63" s="60"/>
    </row>
    <row r="64" spans="1:8">
      <c r="A64" s="96">
        <v>45187</v>
      </c>
      <c r="B64" s="102" t="s">
        <v>552</v>
      </c>
      <c r="C64" s="102">
        <v>7648.33</v>
      </c>
      <c r="D64" s="193" t="s">
        <v>917</v>
      </c>
      <c r="E64" s="152">
        <v>-849.81</v>
      </c>
      <c r="F64" s="60"/>
      <c r="G64" s="60"/>
      <c r="H64" s="60"/>
    </row>
    <row r="65" spans="1:8">
      <c r="A65" s="96">
        <v>45187</v>
      </c>
      <c r="B65" s="102" t="s">
        <v>667</v>
      </c>
      <c r="C65" s="102">
        <v>11128</v>
      </c>
      <c r="D65" s="193" t="s">
        <v>918</v>
      </c>
      <c r="E65" s="152">
        <v>-1854.67</v>
      </c>
      <c r="F65" s="60"/>
      <c r="G65" s="60"/>
      <c r="H65" s="60"/>
    </row>
    <row r="66" spans="1:8" ht="15">
      <c r="A66" s="96"/>
      <c r="B66" s="102"/>
      <c r="C66" s="102"/>
      <c r="D66" s="101" t="s">
        <v>76</v>
      </c>
      <c r="E66" s="152"/>
      <c r="F66" s="60"/>
      <c r="G66" s="60"/>
      <c r="H66" s="60"/>
    </row>
    <row r="67" spans="1:8">
      <c r="A67" s="96"/>
      <c r="B67" s="102"/>
      <c r="C67" s="102"/>
      <c r="D67" s="193"/>
      <c r="E67" s="152"/>
      <c r="F67" s="60"/>
      <c r="G67" s="60"/>
      <c r="H67" s="60"/>
    </row>
    <row r="68" spans="1:8">
      <c r="A68" s="96"/>
      <c r="B68" s="102"/>
      <c r="C68" s="102"/>
      <c r="D68" s="193"/>
      <c r="E68" s="152"/>
      <c r="F68" s="60"/>
      <c r="G68" s="60"/>
      <c r="H68" s="60"/>
    </row>
    <row r="69" spans="1:8">
      <c r="A69" s="96"/>
      <c r="B69" s="102"/>
      <c r="C69" s="102"/>
      <c r="D69" s="193"/>
      <c r="E69" s="152"/>
      <c r="F69" s="60"/>
      <c r="G69" s="60"/>
      <c r="H69" s="60"/>
    </row>
    <row r="70" spans="1:8">
      <c r="A70" s="96"/>
      <c r="B70" s="102"/>
      <c r="C70" s="102"/>
      <c r="D70" s="193"/>
      <c r="E70" s="152"/>
      <c r="F70" s="60"/>
      <c r="G70" s="60"/>
      <c r="H70" s="60"/>
    </row>
    <row r="71" spans="1:8">
      <c r="A71" s="96"/>
      <c r="B71" s="102"/>
      <c r="C71" s="102"/>
      <c r="D71" s="193"/>
      <c r="E71" s="152"/>
      <c r="F71" s="60"/>
      <c r="G71" s="60"/>
      <c r="H71" s="60"/>
    </row>
    <row r="72" spans="1:8">
      <c r="A72" s="96"/>
      <c r="B72" s="102"/>
      <c r="C72" s="102"/>
      <c r="D72" s="193"/>
      <c r="E72" s="152"/>
      <c r="F72" s="60"/>
      <c r="G72" s="60"/>
      <c r="H72" s="60"/>
    </row>
    <row r="73" spans="1:8">
      <c r="A73" s="96"/>
      <c r="B73" s="102"/>
      <c r="C73" s="102"/>
      <c r="D73" s="193"/>
      <c r="E73" s="152"/>
      <c r="F73" s="60"/>
      <c r="G73" s="60"/>
      <c r="H73" s="60"/>
    </row>
    <row r="74" spans="1:8">
      <c r="B74" s="102"/>
      <c r="C74" s="102"/>
      <c r="D74" s="102"/>
      <c r="E74" s="152"/>
      <c r="F74" s="60"/>
      <c r="G74" s="60"/>
      <c r="H74" s="60"/>
    </row>
    <row r="75" spans="1:8">
      <c r="C75" s="102"/>
      <c r="D75" s="102"/>
      <c r="E75" s="152"/>
      <c r="F75" s="60"/>
      <c r="G75" s="60"/>
      <c r="H75" s="60"/>
    </row>
    <row r="76" spans="1:8">
      <c r="E76" s="152"/>
    </row>
    <row r="77" spans="1:8">
      <c r="E77" s="152"/>
    </row>
    <row r="78" spans="1:8">
      <c r="E78" s="152"/>
    </row>
    <row r="79" spans="1:8">
      <c r="D79" s="32"/>
    </row>
    <row r="81" spans="1:8">
      <c r="A81" s="99"/>
      <c r="B81" s="100" t="s">
        <v>77</v>
      </c>
      <c r="C81" s="99"/>
      <c r="D81" s="99"/>
      <c r="E81" s="190">
        <f>SUM(E82:E107)</f>
        <v>-11990.160000000002</v>
      </c>
      <c r="F81" s="148">
        <f>SUM(F82:F90)</f>
        <v>0</v>
      </c>
    </row>
    <row r="82" spans="1:8">
      <c r="A82" s="96">
        <v>45217</v>
      </c>
      <c r="B82" s="102" t="s">
        <v>674</v>
      </c>
      <c r="C82" s="102"/>
      <c r="D82" s="8" t="s">
        <v>919</v>
      </c>
      <c r="E82" s="152">
        <v>-3974.44</v>
      </c>
      <c r="F82" s="60"/>
      <c r="G82" s="60"/>
      <c r="H82" s="60"/>
    </row>
    <row r="83" spans="1:8">
      <c r="A83" s="154">
        <v>45214</v>
      </c>
      <c r="B83" s="8" t="s">
        <v>647</v>
      </c>
      <c r="D83" s="8" t="s">
        <v>920</v>
      </c>
      <c r="E83" s="152">
        <v>-600</v>
      </c>
      <c r="F83" s="60"/>
      <c r="G83" s="60"/>
      <c r="H83" s="60"/>
    </row>
    <row r="84" spans="1:8">
      <c r="B84" s="103"/>
      <c r="E84" s="152"/>
    </row>
    <row r="85" spans="1:8">
      <c r="A85" s="154">
        <v>45226</v>
      </c>
      <c r="B85" s="8" t="s">
        <v>921</v>
      </c>
      <c r="E85" s="152">
        <v>-1046.0999999999999</v>
      </c>
    </row>
    <row r="86" spans="1:8">
      <c r="A86" s="154">
        <v>45226</v>
      </c>
      <c r="B86" s="8" t="s">
        <v>921</v>
      </c>
      <c r="E86" s="152">
        <v>-1046.0999999999999</v>
      </c>
    </row>
    <row r="87" spans="1:8">
      <c r="A87" s="154">
        <v>45224</v>
      </c>
      <c r="B87" s="8" t="s">
        <v>643</v>
      </c>
      <c r="D87">
        <v>160</v>
      </c>
      <c r="E87" s="152">
        <v>-160</v>
      </c>
    </row>
    <row r="88" spans="1:8">
      <c r="A88" s="154">
        <v>45225</v>
      </c>
      <c r="B88" s="8" t="s">
        <v>643</v>
      </c>
      <c r="D88">
        <v>200</v>
      </c>
      <c r="E88" s="152">
        <v>-200</v>
      </c>
    </row>
    <row r="89" spans="1:8">
      <c r="A89" s="154">
        <v>45225</v>
      </c>
      <c r="B89" s="8" t="s">
        <v>334</v>
      </c>
      <c r="E89" s="152">
        <v>-200</v>
      </c>
    </row>
    <row r="90" spans="1:8">
      <c r="A90" s="154">
        <v>45226</v>
      </c>
      <c r="B90" s="8" t="s">
        <v>643</v>
      </c>
      <c r="D90" s="32">
        <v>150</v>
      </c>
      <c r="E90" s="152">
        <v>-150</v>
      </c>
    </row>
    <row r="91" spans="1:8">
      <c r="A91" s="154">
        <v>45227</v>
      </c>
      <c r="B91" s="8" t="s">
        <v>643</v>
      </c>
      <c r="D91" s="32">
        <v>100</v>
      </c>
      <c r="E91" s="152">
        <v>-100</v>
      </c>
    </row>
    <row r="92" spans="1:8">
      <c r="A92" s="154">
        <v>45227</v>
      </c>
      <c r="B92" s="8" t="s">
        <v>126</v>
      </c>
      <c r="D92">
        <v>70</v>
      </c>
      <c r="E92" s="152">
        <v>-70</v>
      </c>
    </row>
    <row r="93" spans="1:8">
      <c r="A93" s="154">
        <v>45229</v>
      </c>
      <c r="B93" s="8" t="s">
        <v>643</v>
      </c>
      <c r="D93">
        <v>200</v>
      </c>
      <c r="E93" s="152">
        <v>-200</v>
      </c>
    </row>
    <row r="94" spans="1:8">
      <c r="A94" s="154">
        <v>45229</v>
      </c>
      <c r="B94" s="8" t="s">
        <v>922</v>
      </c>
      <c r="D94">
        <v>95.49</v>
      </c>
      <c r="E94" s="152">
        <v>-95.49</v>
      </c>
    </row>
    <row r="95" spans="1:8">
      <c r="A95" s="154">
        <v>45232</v>
      </c>
      <c r="B95" s="8" t="s">
        <v>643</v>
      </c>
      <c r="D95">
        <v>250</v>
      </c>
      <c r="E95" s="152">
        <v>-250</v>
      </c>
    </row>
    <row r="96" spans="1:8">
      <c r="A96" s="154">
        <v>45233</v>
      </c>
      <c r="B96" s="8" t="s">
        <v>643</v>
      </c>
      <c r="D96">
        <v>180</v>
      </c>
      <c r="E96" s="152">
        <v>-160</v>
      </c>
    </row>
    <row r="97" spans="1:5">
      <c r="A97" s="154">
        <v>45234</v>
      </c>
      <c r="B97" s="8" t="s">
        <v>643</v>
      </c>
      <c r="D97">
        <v>320</v>
      </c>
      <c r="E97" s="152">
        <v>-320</v>
      </c>
    </row>
    <row r="98" spans="1:5">
      <c r="A98" s="154">
        <v>45237</v>
      </c>
      <c r="B98" s="8" t="s">
        <v>643</v>
      </c>
      <c r="D98">
        <v>200</v>
      </c>
      <c r="E98" s="152">
        <v>-200</v>
      </c>
    </row>
    <row r="99" spans="1:5">
      <c r="A99" s="154">
        <v>45237</v>
      </c>
      <c r="B99" s="8" t="s">
        <v>171</v>
      </c>
      <c r="E99" s="152">
        <v>-500</v>
      </c>
    </row>
    <row r="100" spans="1:5">
      <c r="A100" s="154">
        <v>45237</v>
      </c>
      <c r="B100" s="8" t="s">
        <v>923</v>
      </c>
      <c r="E100" s="152">
        <v>-180</v>
      </c>
    </row>
    <row r="101" spans="1:5">
      <c r="A101" s="154">
        <v>45238</v>
      </c>
      <c r="B101" s="8" t="s">
        <v>643</v>
      </c>
      <c r="D101">
        <v>160</v>
      </c>
      <c r="E101" s="152">
        <v>-160</v>
      </c>
    </row>
    <row r="102" spans="1:5">
      <c r="A102" s="154">
        <v>45239</v>
      </c>
      <c r="B102" s="8" t="s">
        <v>643</v>
      </c>
      <c r="D102">
        <v>250</v>
      </c>
      <c r="E102" s="152">
        <v>-250</v>
      </c>
    </row>
    <row r="103" spans="1:5">
      <c r="A103" s="154">
        <v>45240</v>
      </c>
      <c r="B103" s="8" t="s">
        <v>643</v>
      </c>
      <c r="D103">
        <v>160</v>
      </c>
      <c r="E103" s="152">
        <v>-160</v>
      </c>
    </row>
    <row r="104" spans="1:5">
      <c r="A104" s="154">
        <v>45241</v>
      </c>
      <c r="B104" s="8" t="s">
        <v>643</v>
      </c>
      <c r="D104">
        <v>250</v>
      </c>
      <c r="E104" s="152">
        <v>-250</v>
      </c>
    </row>
    <row r="105" spans="1:5">
      <c r="A105" s="154">
        <v>45244</v>
      </c>
      <c r="B105" s="8" t="s">
        <v>120</v>
      </c>
      <c r="E105" s="152">
        <v>-1144.1099999999999</v>
      </c>
    </row>
    <row r="106" spans="1:5">
      <c r="A106" s="154">
        <v>45245</v>
      </c>
      <c r="B106" s="8" t="s">
        <v>924</v>
      </c>
      <c r="E106" s="152">
        <v>-373.92</v>
      </c>
    </row>
    <row r="107" spans="1:5">
      <c r="A107" s="154">
        <v>45253</v>
      </c>
      <c r="B107" s="8" t="s">
        <v>643</v>
      </c>
      <c r="D107">
        <v>200</v>
      </c>
      <c r="E107" s="152">
        <v>-200</v>
      </c>
    </row>
    <row r="108" spans="1:5">
      <c r="E108" s="152"/>
    </row>
    <row r="109" spans="1:5">
      <c r="B109" t="s">
        <v>925</v>
      </c>
      <c r="D109">
        <f>SUM(D87:D108)</f>
        <v>2945.49</v>
      </c>
      <c r="E109" s="152"/>
    </row>
    <row r="110" spans="1:5" ht="15">
      <c r="D110" s="101" t="s">
        <v>76</v>
      </c>
    </row>
    <row r="111" spans="1:5">
      <c r="A111" s="109" t="s">
        <v>291</v>
      </c>
      <c r="B111" s="100" t="s">
        <v>128</v>
      </c>
      <c r="C111" s="99">
        <v>2023</v>
      </c>
      <c r="D111" s="147"/>
      <c r="E111" s="148">
        <f>SUM(E112:E128)</f>
        <v>698220.30499999993</v>
      </c>
    </row>
    <row r="112" spans="1:5">
      <c r="A112" s="149">
        <v>45290</v>
      </c>
      <c r="B112" s="8" t="s">
        <v>69</v>
      </c>
      <c r="C112" s="2"/>
      <c r="D112" s="2"/>
      <c r="E112" s="14">
        <v>64000</v>
      </c>
    </row>
    <row r="113" spans="1:5">
      <c r="A113" s="149">
        <f t="shared" ref="A113:A122" si="2">A112</f>
        <v>45290</v>
      </c>
      <c r="B113" s="8" t="s">
        <v>70</v>
      </c>
      <c r="C113" s="2"/>
      <c r="D113" s="2"/>
      <c r="E113" s="14">
        <v>218088</v>
      </c>
    </row>
    <row r="114" spans="1:5">
      <c r="A114" s="149">
        <f t="shared" si="2"/>
        <v>45290</v>
      </c>
      <c r="B114" s="8" t="s">
        <v>292</v>
      </c>
      <c r="C114" s="2"/>
      <c r="D114" s="2"/>
      <c r="E114" s="14">
        <v>3609.29</v>
      </c>
    </row>
    <row r="115" spans="1:5">
      <c r="A115" s="149">
        <f t="shared" si="2"/>
        <v>45290</v>
      </c>
      <c r="B115" s="8" t="s">
        <v>293</v>
      </c>
      <c r="C115" s="2"/>
      <c r="D115" s="2"/>
      <c r="E115" s="14">
        <v>122.31</v>
      </c>
    </row>
    <row r="116" spans="1:5">
      <c r="A116" s="149">
        <f t="shared" si="2"/>
        <v>45290</v>
      </c>
      <c r="B116" s="8" t="s">
        <v>294</v>
      </c>
      <c r="D116" s="2"/>
      <c r="E116" s="14">
        <v>6267.13</v>
      </c>
    </row>
    <row r="117" spans="1:5">
      <c r="A117" s="149">
        <f t="shared" si="2"/>
        <v>45290</v>
      </c>
      <c r="B117" s="8" t="s">
        <v>228</v>
      </c>
      <c r="C117" s="2" t="s">
        <v>295</v>
      </c>
      <c r="D117" s="2"/>
      <c r="E117" s="14">
        <v>21088.49</v>
      </c>
    </row>
    <row r="118" spans="1:5">
      <c r="A118" s="149">
        <f t="shared" si="2"/>
        <v>45290</v>
      </c>
      <c r="B118" s="8" t="s">
        <v>296</v>
      </c>
      <c r="C118" s="2" t="s">
        <v>297</v>
      </c>
      <c r="D118" s="2"/>
      <c r="E118" s="14">
        <v>5587.73</v>
      </c>
    </row>
    <row r="119" spans="1:5">
      <c r="A119" s="149">
        <f t="shared" si="2"/>
        <v>45290</v>
      </c>
      <c r="B119" s="8" t="s">
        <v>298</v>
      </c>
      <c r="C119" s="149">
        <v>45295</v>
      </c>
      <c r="D119" s="150">
        <v>-629.36</v>
      </c>
      <c r="E119" s="14">
        <v>4752.22</v>
      </c>
    </row>
    <row r="120" spans="1:5">
      <c r="A120" s="149">
        <f t="shared" si="2"/>
        <v>45290</v>
      </c>
      <c r="B120" s="8" t="s">
        <v>299</v>
      </c>
      <c r="C120" s="149">
        <v>45295</v>
      </c>
      <c r="D120" s="150">
        <v>-52.52</v>
      </c>
      <c r="E120" s="14">
        <v>315.38</v>
      </c>
    </row>
    <row r="121" spans="1:5">
      <c r="A121" s="149">
        <f t="shared" si="2"/>
        <v>45290</v>
      </c>
      <c r="B121" s="8" t="s">
        <v>300</v>
      </c>
      <c r="C121" s="149">
        <v>45295</v>
      </c>
      <c r="D121" s="150">
        <v>-196</v>
      </c>
      <c r="E121" s="14">
        <v>295.8</v>
      </c>
    </row>
    <row r="122" spans="1:5">
      <c r="A122" s="149">
        <f t="shared" si="2"/>
        <v>45290</v>
      </c>
      <c r="B122" s="8" t="s">
        <v>301</v>
      </c>
      <c r="C122" s="149">
        <v>45295</v>
      </c>
      <c r="D122" s="150">
        <v>-669.7</v>
      </c>
      <c r="E122" s="14">
        <v>4239.3</v>
      </c>
    </row>
    <row r="123" spans="1:5">
      <c r="A123" s="149">
        <f>A116</f>
        <v>45290</v>
      </c>
      <c r="B123" s="8" t="s">
        <v>132</v>
      </c>
      <c r="C123" s="2"/>
      <c r="D123" s="2"/>
      <c r="E123" s="14">
        <v>1000</v>
      </c>
    </row>
    <row r="124" spans="1:5">
      <c r="A124" s="149">
        <f>A115</f>
        <v>45290</v>
      </c>
      <c r="B124" s="8" t="s">
        <v>302</v>
      </c>
      <c r="C124" s="2">
        <v>1928.59</v>
      </c>
      <c r="D124" s="2">
        <v>161</v>
      </c>
      <c r="E124" s="14">
        <f>D124*C124</f>
        <v>310502.99</v>
      </c>
    </row>
    <row r="125" spans="1:5">
      <c r="A125" s="149">
        <f>A124</f>
        <v>45290</v>
      </c>
      <c r="B125" s="8" t="s">
        <v>303</v>
      </c>
      <c r="C125" s="151">
        <v>29.2927</v>
      </c>
      <c r="D125" s="2">
        <v>850</v>
      </c>
      <c r="E125" s="14">
        <f>D125*C125</f>
        <v>24898.794999999998</v>
      </c>
    </row>
    <row r="126" spans="1:5">
      <c r="A126" s="149">
        <f>A125</f>
        <v>45290</v>
      </c>
      <c r="B126" s="8" t="s">
        <v>304</v>
      </c>
      <c r="C126" s="151">
        <v>32.028700000000001</v>
      </c>
      <c r="D126" s="2">
        <v>100</v>
      </c>
      <c r="E126" s="14">
        <f>D126*C126</f>
        <v>3202.87</v>
      </c>
    </row>
    <row r="127" spans="1:5">
      <c r="A127" s="149">
        <f>A126</f>
        <v>45290</v>
      </c>
      <c r="B127" s="8" t="s">
        <v>144</v>
      </c>
      <c r="C127" s="2"/>
      <c r="D127" s="2"/>
      <c r="E127" s="14">
        <v>30000</v>
      </c>
    </row>
    <row r="128" spans="1:5">
      <c r="A128" s="149">
        <f>A127</f>
        <v>45290</v>
      </c>
      <c r="B128" s="8" t="s">
        <v>145</v>
      </c>
      <c r="C128" s="2"/>
      <c r="D128" s="2"/>
      <c r="E128" s="14">
        <v>250</v>
      </c>
    </row>
    <row r="129" spans="3:5">
      <c r="C129" s="3" t="str">
        <f>A111</f>
        <v>ARALIK</v>
      </c>
      <c r="D129" s="15" t="s">
        <v>148</v>
      </c>
      <c r="E129" s="152">
        <f>H33</f>
        <v>-25773.700000000004</v>
      </c>
    </row>
    <row r="130" spans="3:5">
      <c r="D130" s="3"/>
    </row>
    <row r="131" spans="3:5">
      <c r="D131" s="15" t="s">
        <v>147</v>
      </c>
      <c r="E131" s="9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H125"/>
  <sheetViews>
    <sheetView topLeftCell="A15" zoomScale="170" zoomScaleNormal="170" workbookViewId="0">
      <selection activeCell="A13" sqref="A13"/>
    </sheetView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3.28515625" bestFit="1" customWidth="1"/>
    <col min="6" max="6" width="13.7109375" bestFit="1" customWidth="1"/>
    <col min="7" max="7" width="14.42578125" bestFit="1" customWidth="1"/>
    <col min="8" max="8" width="13.28515625" bestFit="1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926</v>
      </c>
      <c r="C2" s="76" t="s">
        <v>59</v>
      </c>
      <c r="D2" s="295">
        <f>SUM(D5:D36)</f>
        <v>262800</v>
      </c>
      <c r="E2" s="295">
        <f>SUM(E4:E27)</f>
        <v>-98843.11</v>
      </c>
      <c r="F2" s="295">
        <f>SUM(F5:F37)</f>
        <v>177687.06</v>
      </c>
      <c r="G2" s="295">
        <f>SUM(G4:G37)</f>
        <v>-242504.11</v>
      </c>
      <c r="H2" s="295">
        <f>F2+G2</f>
        <v>-64817.049999999988</v>
      </c>
    </row>
    <row r="3" spans="1:8">
      <c r="B3" s="15"/>
      <c r="H3" s="60"/>
    </row>
    <row r="4" spans="1:8">
      <c r="A4" s="154">
        <v>45231</v>
      </c>
      <c r="B4" s="300" t="s">
        <v>416</v>
      </c>
      <c r="E4" s="60">
        <v>-152</v>
      </c>
      <c r="G4" s="60">
        <v>-152</v>
      </c>
      <c r="H4" s="60">
        <f t="shared" ref="H4:H33" si="0">H3+F4+G4</f>
        <v>-152</v>
      </c>
    </row>
    <row r="5" spans="1:8">
      <c r="A5" s="154">
        <v>45232</v>
      </c>
      <c r="B5" s="97" t="s">
        <v>72</v>
      </c>
      <c r="C5" s="97"/>
      <c r="D5" s="97"/>
      <c r="E5" s="60">
        <v>-400</v>
      </c>
      <c r="G5" s="60">
        <v>-277</v>
      </c>
      <c r="H5" s="60">
        <f t="shared" si="0"/>
        <v>-429</v>
      </c>
    </row>
    <row r="6" spans="1:8">
      <c r="A6" s="154">
        <v>45232</v>
      </c>
      <c r="B6" s="97" t="s">
        <v>73</v>
      </c>
      <c r="C6" s="97"/>
      <c r="D6" s="97"/>
      <c r="E6" s="60">
        <v>-500</v>
      </c>
      <c r="G6" s="60">
        <v>-512</v>
      </c>
      <c r="H6" s="60">
        <f t="shared" si="0"/>
        <v>-941</v>
      </c>
    </row>
    <row r="7" spans="1:8">
      <c r="A7" s="154">
        <v>45231</v>
      </c>
      <c r="B7" s="97" t="s">
        <v>927</v>
      </c>
      <c r="C7" s="97"/>
      <c r="D7" s="97"/>
      <c r="E7" s="60">
        <v>-250</v>
      </c>
      <c r="G7" s="60">
        <v>-250</v>
      </c>
      <c r="H7" s="60">
        <f t="shared" si="0"/>
        <v>-1191</v>
      </c>
    </row>
    <row r="8" spans="1:8">
      <c r="B8" s="167" t="s">
        <v>64</v>
      </c>
      <c r="D8" s="60"/>
      <c r="E8" s="60">
        <f>E49*-1</f>
        <v>-51.54</v>
      </c>
      <c r="F8" s="60"/>
      <c r="G8" s="60">
        <f>E8</f>
        <v>-51.54</v>
      </c>
      <c r="H8" s="60">
        <f t="shared" si="0"/>
        <v>-1242.54</v>
      </c>
    </row>
    <row r="9" spans="1:8">
      <c r="B9" s="167" t="s">
        <v>60</v>
      </c>
      <c r="E9" s="60">
        <f>E55</f>
        <v>-5698.99</v>
      </c>
      <c r="F9" s="60"/>
      <c r="G9" s="60">
        <f>E9</f>
        <v>-5698.99</v>
      </c>
      <c r="H9" s="60">
        <f t="shared" si="0"/>
        <v>-6941.53</v>
      </c>
    </row>
    <row r="10" spans="1:8">
      <c r="A10" s="154">
        <v>45232</v>
      </c>
      <c r="B10" s="167" t="s">
        <v>61</v>
      </c>
      <c r="E10" s="60">
        <f>E71</f>
        <v>-71595.5</v>
      </c>
      <c r="G10" s="60">
        <f>E10</f>
        <v>-71595.5</v>
      </c>
      <c r="H10" s="60">
        <f t="shared" si="0"/>
        <v>-78537.03</v>
      </c>
    </row>
    <row r="11" spans="1:8">
      <c r="A11" s="96"/>
      <c r="B11" s="97" t="s">
        <v>928</v>
      </c>
      <c r="C11" s="97"/>
      <c r="D11" s="97"/>
      <c r="E11" s="60">
        <v>-5375</v>
      </c>
      <c r="G11" s="60">
        <v>-5375</v>
      </c>
      <c r="H11" s="60">
        <f t="shared" si="0"/>
        <v>-83912.03</v>
      </c>
    </row>
    <row r="12" spans="1:8">
      <c r="A12" s="96"/>
      <c r="B12" s="97" t="s">
        <v>928</v>
      </c>
      <c r="C12" s="97"/>
      <c r="D12" s="97"/>
      <c r="E12" s="60">
        <v>-2125</v>
      </c>
      <c r="G12" s="60">
        <v>-2125</v>
      </c>
      <c r="H12" s="60">
        <f t="shared" si="0"/>
        <v>-86037.03</v>
      </c>
    </row>
    <row r="13" spans="1:8">
      <c r="A13" s="154">
        <v>45231</v>
      </c>
      <c r="B13" s="97" t="s">
        <v>929</v>
      </c>
      <c r="C13" s="97"/>
      <c r="D13" s="97"/>
      <c r="E13" s="60">
        <v>-945.08</v>
      </c>
      <c r="F13" s="152"/>
      <c r="G13" s="60">
        <v>-945.08</v>
      </c>
      <c r="H13" s="60">
        <f t="shared" si="0"/>
        <v>-86982.11</v>
      </c>
    </row>
    <row r="14" spans="1:8">
      <c r="B14" s="97" t="s">
        <v>67</v>
      </c>
      <c r="C14" s="97"/>
      <c r="D14" s="97"/>
      <c r="E14" s="60">
        <v>-150</v>
      </c>
      <c r="F14" s="152"/>
      <c r="G14" s="60">
        <v>0</v>
      </c>
      <c r="H14" s="60">
        <f t="shared" si="0"/>
        <v>-86982.11</v>
      </c>
    </row>
    <row r="15" spans="1:8">
      <c r="B15" s="102" t="s">
        <v>65</v>
      </c>
      <c r="C15" s="102"/>
      <c r="D15" s="102"/>
      <c r="E15" s="60">
        <v>-1000</v>
      </c>
      <c r="F15" s="152"/>
      <c r="G15" s="60">
        <v>0</v>
      </c>
      <c r="H15" s="60">
        <f t="shared" si="0"/>
        <v>-86982.11</v>
      </c>
    </row>
    <row r="16" spans="1:8">
      <c r="B16" s="102" t="s">
        <v>66</v>
      </c>
      <c r="C16" s="102"/>
      <c r="D16" s="102"/>
      <c r="E16" s="60">
        <v>-100</v>
      </c>
      <c r="F16" s="152"/>
      <c r="G16" s="60">
        <v>0</v>
      </c>
      <c r="H16" s="60">
        <f t="shared" si="0"/>
        <v>-86982.11</v>
      </c>
    </row>
    <row r="17" spans="1:8">
      <c r="B17" t="s">
        <v>69</v>
      </c>
      <c r="E17" s="60">
        <v>-3500</v>
      </c>
      <c r="F17" s="60"/>
      <c r="G17" s="60">
        <v>-3511</v>
      </c>
      <c r="H17" s="60">
        <f t="shared" si="0"/>
        <v>-90493.11</v>
      </c>
    </row>
    <row r="18" spans="1:8">
      <c r="B18" t="s">
        <v>70</v>
      </c>
      <c r="E18" s="60">
        <v>-3500</v>
      </c>
      <c r="F18" s="60"/>
      <c r="G18" s="60">
        <v>-3511</v>
      </c>
      <c r="H18" s="60">
        <f t="shared" si="0"/>
        <v>-94004.11</v>
      </c>
    </row>
    <row r="19" spans="1:8">
      <c r="B19" t="s">
        <v>71</v>
      </c>
      <c r="E19" s="60">
        <v>-3500</v>
      </c>
      <c r="F19" s="60"/>
      <c r="G19" s="60">
        <v>-3500</v>
      </c>
      <c r="H19" s="60">
        <f t="shared" si="0"/>
        <v>-97504.11</v>
      </c>
    </row>
    <row r="20" spans="1:8">
      <c r="A20" s="154">
        <v>45236</v>
      </c>
      <c r="B20" s="8" t="s">
        <v>930</v>
      </c>
      <c r="E20" s="152"/>
      <c r="F20" s="60">
        <v>15887.06</v>
      </c>
      <c r="G20" s="60"/>
      <c r="H20" s="60">
        <f t="shared" si="0"/>
        <v>-81617.05</v>
      </c>
    </row>
    <row r="21" spans="1:8">
      <c r="B21" t="s">
        <v>68</v>
      </c>
      <c r="D21" s="175">
        <v>7500</v>
      </c>
      <c r="F21" s="60">
        <v>7500</v>
      </c>
      <c r="G21" s="60"/>
      <c r="H21" s="60">
        <f t="shared" si="0"/>
        <v>-74117.05</v>
      </c>
    </row>
    <row r="22" spans="1:8">
      <c r="A22" s="154">
        <v>45232</v>
      </c>
      <c r="B22" s="8" t="s">
        <v>931</v>
      </c>
      <c r="C22" s="8" t="s">
        <v>932</v>
      </c>
      <c r="D22" s="175">
        <v>2800</v>
      </c>
      <c r="F22" s="60">
        <v>2800</v>
      </c>
      <c r="G22" s="60"/>
      <c r="H22" s="60">
        <f t="shared" si="0"/>
        <v>-71317.05</v>
      </c>
    </row>
    <row r="23" spans="1:8">
      <c r="B23" t="s">
        <v>933</v>
      </c>
      <c r="D23" s="175">
        <v>6500</v>
      </c>
      <c r="F23" s="60">
        <v>6500</v>
      </c>
      <c r="G23" s="60"/>
      <c r="H23" s="60">
        <f t="shared" si="0"/>
        <v>-64817.05</v>
      </c>
    </row>
    <row r="24" spans="1:8">
      <c r="A24" s="96">
        <v>45231</v>
      </c>
      <c r="B24" s="8" t="s">
        <v>934</v>
      </c>
      <c r="D24" s="175"/>
      <c r="G24" s="60"/>
      <c r="H24" s="60">
        <f t="shared" si="0"/>
        <v>-64817.05</v>
      </c>
    </row>
    <row r="25" spans="1:8">
      <c r="A25" s="96">
        <v>45260</v>
      </c>
      <c r="B25" s="8" t="s">
        <v>935</v>
      </c>
      <c r="D25" s="175">
        <v>240000</v>
      </c>
      <c r="F25" s="60">
        <v>135000</v>
      </c>
      <c r="G25" s="60"/>
      <c r="H25" s="60">
        <f t="shared" si="0"/>
        <v>70182.95</v>
      </c>
    </row>
    <row r="26" spans="1:8">
      <c r="A26" s="96"/>
      <c r="D26" s="175"/>
      <c r="F26" s="60"/>
      <c r="G26" s="60">
        <v>-135000</v>
      </c>
      <c r="H26" s="60">
        <f t="shared" si="0"/>
        <v>-64817.05</v>
      </c>
    </row>
    <row r="27" spans="1:8">
      <c r="A27" s="96">
        <v>45266</v>
      </c>
      <c r="B27" s="8" t="s">
        <v>936</v>
      </c>
      <c r="D27" s="175">
        <v>6000</v>
      </c>
      <c r="G27" s="60"/>
      <c r="H27" s="60">
        <f t="shared" si="0"/>
        <v>-64817.05</v>
      </c>
    </row>
    <row r="28" spans="1:8">
      <c r="A28" s="149">
        <v>45258</v>
      </c>
      <c r="B28" s="8" t="s">
        <v>937</v>
      </c>
      <c r="D28" s="175"/>
      <c r="F28" s="60">
        <v>10000</v>
      </c>
      <c r="H28" s="60">
        <f t="shared" si="0"/>
        <v>-54817.05</v>
      </c>
    </row>
    <row r="29" spans="1:8">
      <c r="A29" s="149">
        <v>45258</v>
      </c>
      <c r="B29" s="8" t="s">
        <v>938</v>
      </c>
      <c r="D29" s="175"/>
      <c r="F29" s="60"/>
      <c r="G29" s="60">
        <v>-10000</v>
      </c>
      <c r="H29" s="60">
        <f t="shared" si="0"/>
        <v>-64817.05</v>
      </c>
    </row>
    <row r="30" spans="1:8">
      <c r="A30" s="154">
        <v>45259</v>
      </c>
      <c r="B30" s="8" t="s">
        <v>678</v>
      </c>
      <c r="C30" s="8" t="s">
        <v>424</v>
      </c>
      <c r="E30" s="60">
        <v>-1204.5</v>
      </c>
      <c r="H30" s="60">
        <f t="shared" si="0"/>
        <v>-64817.05</v>
      </c>
    </row>
    <row r="31" spans="1:8">
      <c r="A31" s="154">
        <v>45259</v>
      </c>
      <c r="B31" s="8" t="s">
        <v>680</v>
      </c>
      <c r="C31" s="8" t="s">
        <v>424</v>
      </c>
      <c r="E31" s="60">
        <v>-148.6</v>
      </c>
      <c r="H31" s="60">
        <f t="shared" si="0"/>
        <v>-64817.05</v>
      </c>
    </row>
    <row r="32" spans="1:8">
      <c r="A32" s="154">
        <v>45259</v>
      </c>
      <c r="B32" s="8" t="s">
        <v>681</v>
      </c>
      <c r="C32" s="8" t="s">
        <v>424</v>
      </c>
      <c r="E32" s="60">
        <v>-244.8</v>
      </c>
      <c r="H32" s="60">
        <f t="shared" si="0"/>
        <v>-64817.05</v>
      </c>
    </row>
    <row r="33" spans="1:8">
      <c r="A33" s="154">
        <v>45259</v>
      </c>
      <c r="B33" s="8" t="s">
        <v>939</v>
      </c>
      <c r="C33" s="8" t="s">
        <v>424</v>
      </c>
      <c r="E33" s="60">
        <v>-532.6</v>
      </c>
      <c r="F33" s="60"/>
      <c r="G33" s="60"/>
      <c r="H33" s="60">
        <f t="shared" si="0"/>
        <v>-64817.05</v>
      </c>
    </row>
    <row r="34" spans="1:8">
      <c r="F34" s="60"/>
      <c r="G34" s="60"/>
      <c r="H34" s="60"/>
    </row>
    <row r="35" spans="1:8">
      <c r="F35" s="60"/>
      <c r="G35" s="60"/>
      <c r="H35" s="60"/>
    </row>
    <row r="36" spans="1:8">
      <c r="E36" s="60"/>
      <c r="G36" s="60"/>
      <c r="H36" s="60"/>
    </row>
    <row r="37" spans="1:8">
      <c r="B37" t="s">
        <v>317</v>
      </c>
      <c r="E37" s="60"/>
      <c r="G37" s="60"/>
      <c r="H37" s="60"/>
    </row>
    <row r="38" spans="1:8">
      <c r="A38" s="99" t="s">
        <v>318</v>
      </c>
      <c r="B38" s="99"/>
      <c r="C38" s="99"/>
      <c r="D38" s="99"/>
      <c r="E38" s="147"/>
      <c r="G38" s="60"/>
      <c r="H38" s="60"/>
    </row>
    <row r="39" spans="1:8">
      <c r="A39" s="306"/>
      <c r="B39" s="301"/>
      <c r="C39" s="301"/>
      <c r="D39" s="301"/>
      <c r="E39" s="302"/>
      <c r="H39" s="60"/>
    </row>
    <row r="40" spans="1:8">
      <c r="A40" s="306"/>
      <c r="B40" s="301"/>
      <c r="C40" s="303"/>
      <c r="D40" s="301"/>
      <c r="E40" s="301"/>
      <c r="H40" s="60"/>
    </row>
    <row r="41" spans="1:8">
      <c r="A41" s="306"/>
      <c r="B41" s="301"/>
      <c r="C41" s="303"/>
      <c r="D41" s="301"/>
      <c r="E41" s="301"/>
      <c r="H41" s="60"/>
    </row>
    <row r="42" spans="1:8">
      <c r="A42" s="96"/>
      <c r="C42" s="160"/>
      <c r="H42" s="60"/>
    </row>
    <row r="43" spans="1:8">
      <c r="A43" s="161">
        <v>44929</v>
      </c>
      <c r="B43" s="162" t="s">
        <v>319</v>
      </c>
      <c r="C43" s="99"/>
      <c r="D43" s="190">
        <f>SUM(D44:D51)</f>
        <v>3906.8500000000004</v>
      </c>
      <c r="E43" s="190">
        <f>SUM(E44:E51)</f>
        <v>3907.8</v>
      </c>
      <c r="H43" s="60"/>
    </row>
    <row r="44" spans="1:8">
      <c r="B44" t="s">
        <v>912</v>
      </c>
      <c r="D44">
        <v>628.12</v>
      </c>
      <c r="E44" s="60">
        <v>630</v>
      </c>
      <c r="F44" s="60"/>
      <c r="G44" s="60"/>
    </row>
    <row r="45" spans="1:8">
      <c r="B45" t="s">
        <v>321</v>
      </c>
      <c r="D45">
        <v>1539.74</v>
      </c>
      <c r="E45" s="60">
        <v>1540</v>
      </c>
      <c r="F45" s="60"/>
      <c r="G45" s="60"/>
    </row>
    <row r="46" spans="1:8">
      <c r="B46" t="s">
        <v>322</v>
      </c>
      <c r="D46">
        <v>165.4</v>
      </c>
      <c r="E46">
        <v>165</v>
      </c>
      <c r="F46" s="60"/>
      <c r="G46" s="60"/>
    </row>
    <row r="47" spans="1:8">
      <c r="B47" t="s">
        <v>323</v>
      </c>
      <c r="D47">
        <v>1142.79</v>
      </c>
      <c r="E47">
        <v>1142</v>
      </c>
      <c r="F47" s="60"/>
      <c r="G47" s="60"/>
    </row>
    <row r="48" spans="1:8">
      <c r="B48" t="s">
        <v>324</v>
      </c>
      <c r="D48" s="3">
        <v>379.26</v>
      </c>
      <c r="E48">
        <v>379.26</v>
      </c>
      <c r="F48" s="60"/>
      <c r="G48" s="60"/>
    </row>
    <row r="49" spans="1:8">
      <c r="B49" t="s">
        <v>325</v>
      </c>
      <c r="C49" s="102"/>
      <c r="D49" s="102">
        <v>51.54</v>
      </c>
      <c r="E49">
        <v>51.54</v>
      </c>
      <c r="F49" s="60"/>
      <c r="G49" s="60"/>
    </row>
    <row r="50" spans="1:8">
      <c r="C50" s="102"/>
      <c r="E50" s="102"/>
      <c r="F50" s="60"/>
      <c r="G50" s="60"/>
    </row>
    <row r="51" spans="1:8">
      <c r="C51" s="102"/>
      <c r="D51" s="102"/>
      <c r="E51" s="152"/>
      <c r="F51" s="60"/>
      <c r="G51" s="60"/>
    </row>
    <row r="53" spans="1:8">
      <c r="B53" s="14"/>
    </row>
    <row r="54" spans="1:8">
      <c r="B54" s="98"/>
    </row>
    <row r="55" spans="1:8">
      <c r="A55" s="99"/>
      <c r="B55" s="100" t="s">
        <v>75</v>
      </c>
      <c r="C55" s="99"/>
      <c r="D55" s="147"/>
      <c r="E55" s="148">
        <f>SUM(E56:E68)</f>
        <v>-5698.99</v>
      </c>
    </row>
    <row r="56" spans="1:8">
      <c r="A56" s="96"/>
      <c r="C56" s="102"/>
      <c r="D56" s="102"/>
      <c r="E56" s="152"/>
      <c r="G56" s="60"/>
      <c r="H56" s="60"/>
    </row>
    <row r="57" spans="1:8">
      <c r="A57" s="96">
        <v>44995</v>
      </c>
      <c r="B57" s="8" t="s">
        <v>763</v>
      </c>
      <c r="C57">
        <v>613.91</v>
      </c>
      <c r="D57" s="32" t="s">
        <v>940</v>
      </c>
      <c r="E57" s="152">
        <v>-61.39</v>
      </c>
      <c r="F57" s="60"/>
      <c r="G57" s="60"/>
      <c r="H57" s="60"/>
    </row>
    <row r="58" spans="1:8">
      <c r="A58" s="96">
        <v>45043</v>
      </c>
      <c r="B58" s="102" t="s">
        <v>941</v>
      </c>
      <c r="C58" s="102">
        <v>3299</v>
      </c>
      <c r="D58" s="32" t="s">
        <v>942</v>
      </c>
      <c r="E58" s="152">
        <v>-549.85</v>
      </c>
      <c r="F58" s="60"/>
      <c r="G58" s="60"/>
      <c r="H58" s="60"/>
    </row>
    <row r="59" spans="1:8">
      <c r="A59" s="96">
        <v>45043</v>
      </c>
      <c r="B59" s="102" t="s">
        <v>715</v>
      </c>
      <c r="C59" s="102">
        <v>10764.57</v>
      </c>
      <c r="D59" s="32" t="s">
        <v>666</v>
      </c>
      <c r="E59" s="152">
        <v>-1196.06</v>
      </c>
      <c r="F59" s="60"/>
      <c r="G59" s="60"/>
      <c r="H59" s="60"/>
    </row>
    <row r="60" spans="1:8">
      <c r="A60" s="96">
        <v>45044</v>
      </c>
      <c r="B60" s="8" t="s">
        <v>943</v>
      </c>
      <c r="C60" s="102">
        <v>3123.29</v>
      </c>
      <c r="D60" s="193" t="s">
        <v>942</v>
      </c>
      <c r="E60" s="152">
        <v>-520.54</v>
      </c>
      <c r="F60" s="60"/>
      <c r="G60" s="60"/>
      <c r="H60" s="60"/>
    </row>
    <row r="61" spans="1:8">
      <c r="A61" s="96">
        <v>45078</v>
      </c>
      <c r="B61" s="102" t="s">
        <v>916</v>
      </c>
      <c r="D61" s="193" t="s">
        <v>462</v>
      </c>
      <c r="E61" s="152">
        <v>-666.67</v>
      </c>
      <c r="F61" s="60"/>
      <c r="G61" s="60"/>
      <c r="H61" s="60"/>
    </row>
    <row r="62" spans="1:8">
      <c r="A62" s="96">
        <v>45187</v>
      </c>
      <c r="B62" s="102" t="s">
        <v>552</v>
      </c>
      <c r="C62" s="102">
        <v>7648.33</v>
      </c>
      <c r="D62" s="193" t="s">
        <v>599</v>
      </c>
      <c r="E62" s="152">
        <v>-849.81</v>
      </c>
      <c r="F62" s="60"/>
      <c r="G62" s="60"/>
      <c r="H62" s="60"/>
    </row>
    <row r="63" spans="1:8">
      <c r="A63" s="96">
        <v>45187</v>
      </c>
      <c r="B63" s="102" t="s">
        <v>667</v>
      </c>
      <c r="C63" s="102">
        <v>11128</v>
      </c>
      <c r="D63" s="193" t="s">
        <v>597</v>
      </c>
      <c r="E63" s="152">
        <v>-1854.67</v>
      </c>
      <c r="F63" s="60"/>
      <c r="G63" s="60"/>
      <c r="H63" s="60"/>
    </row>
    <row r="64" spans="1:8">
      <c r="A64" s="96">
        <v>45204</v>
      </c>
      <c r="B64" s="102" t="s">
        <v>121</v>
      </c>
      <c r="C64" s="102">
        <v>-6481.59</v>
      </c>
      <c r="D64" s="102"/>
      <c r="E64" s="152"/>
      <c r="F64" s="60"/>
      <c r="G64" s="60"/>
      <c r="H64" s="60"/>
    </row>
    <row r="65" spans="1:8">
      <c r="A65" s="96"/>
      <c r="C65" s="102"/>
      <c r="D65" s="102"/>
      <c r="E65" s="152"/>
      <c r="F65" s="60"/>
      <c r="G65" s="60"/>
      <c r="H65" s="60"/>
    </row>
    <row r="66" spans="1:8" ht="15">
      <c r="A66" s="96"/>
      <c r="D66" s="101" t="s">
        <v>76</v>
      </c>
      <c r="E66" s="152"/>
    </row>
    <row r="67" spans="1:8">
      <c r="A67" s="96"/>
      <c r="E67" s="152"/>
    </row>
    <row r="69" spans="1:8">
      <c r="D69" s="32"/>
    </row>
    <row r="71" spans="1:8">
      <c r="A71" s="99"/>
      <c r="B71" s="100" t="s">
        <v>77</v>
      </c>
      <c r="C71" s="99"/>
      <c r="D71" s="99"/>
      <c r="E71" s="148">
        <f>SUM(E72:E104)</f>
        <v>-71595.5</v>
      </c>
    </row>
    <row r="72" spans="1:8">
      <c r="A72" s="96">
        <v>45026</v>
      </c>
      <c r="B72" s="8" t="s">
        <v>944</v>
      </c>
      <c r="C72">
        <v>1140.99</v>
      </c>
      <c r="D72" s="8" t="s">
        <v>648</v>
      </c>
      <c r="E72" s="152">
        <v>-190.14</v>
      </c>
      <c r="F72" s="60"/>
      <c r="G72" s="60"/>
      <c r="H72" s="60"/>
    </row>
    <row r="73" spans="1:8">
      <c r="A73" s="154">
        <v>45141</v>
      </c>
      <c r="B73" s="8" t="s">
        <v>945</v>
      </c>
      <c r="D73" s="32" t="s">
        <v>946</v>
      </c>
      <c r="E73" s="152">
        <v>-181.84</v>
      </c>
      <c r="F73" s="60"/>
      <c r="G73" s="60"/>
      <c r="H73" s="60"/>
    </row>
    <row r="74" spans="1:8">
      <c r="A74" s="96">
        <v>45217</v>
      </c>
      <c r="B74" s="102" t="s">
        <v>674</v>
      </c>
      <c r="C74" s="102"/>
      <c r="D74" s="8" t="s">
        <v>920</v>
      </c>
      <c r="E74" s="152">
        <v>-3974.44</v>
      </c>
      <c r="F74" s="60"/>
      <c r="G74" s="60"/>
      <c r="H74" s="60"/>
    </row>
    <row r="75" spans="1:8">
      <c r="A75" s="96">
        <v>45194</v>
      </c>
      <c r="B75" s="102" t="s">
        <v>356</v>
      </c>
      <c r="C75" s="102"/>
      <c r="D75" s="102"/>
      <c r="E75" s="152">
        <v>-59483.25</v>
      </c>
    </row>
    <row r="76" spans="1:8">
      <c r="A76" s="154">
        <v>45214</v>
      </c>
      <c r="B76" s="8" t="s">
        <v>647</v>
      </c>
      <c r="D76" s="8" t="s">
        <v>947</v>
      </c>
      <c r="E76" s="152">
        <v>-600</v>
      </c>
      <c r="F76" s="60"/>
    </row>
    <row r="77" spans="1:8">
      <c r="A77" s="154">
        <v>45198</v>
      </c>
      <c r="B77" s="8" t="s">
        <v>643</v>
      </c>
      <c r="E77" s="152">
        <v>-160</v>
      </c>
    </row>
    <row r="78" spans="1:8">
      <c r="A78" s="154">
        <v>45201</v>
      </c>
      <c r="B78" s="8" t="s">
        <v>948</v>
      </c>
      <c r="E78" s="152">
        <v>-1180</v>
      </c>
    </row>
    <row r="79" spans="1:8">
      <c r="A79" s="154">
        <v>45204</v>
      </c>
      <c r="B79" s="8" t="s">
        <v>949</v>
      </c>
      <c r="E79" s="152">
        <v>-713.25</v>
      </c>
    </row>
    <row r="80" spans="1:8">
      <c r="A80" s="154">
        <v>45204</v>
      </c>
      <c r="B80" s="8" t="s">
        <v>949</v>
      </c>
      <c r="E80" s="152">
        <v>-713.25</v>
      </c>
    </row>
    <row r="81" spans="1:5">
      <c r="A81" s="154">
        <v>45194</v>
      </c>
      <c r="B81" s="8" t="s">
        <v>643</v>
      </c>
      <c r="D81" s="32"/>
      <c r="E81" s="152">
        <v>-200</v>
      </c>
    </row>
    <row r="82" spans="1:5">
      <c r="A82" s="154">
        <v>45225</v>
      </c>
      <c r="B82" s="8" t="s">
        <v>643</v>
      </c>
      <c r="D82" s="32"/>
      <c r="E82" s="152">
        <v>-160</v>
      </c>
    </row>
    <row r="83" spans="1:5">
      <c r="A83" s="154">
        <v>45226</v>
      </c>
      <c r="B83" s="8" t="s">
        <v>643</v>
      </c>
      <c r="E83" s="152">
        <v>-200</v>
      </c>
    </row>
    <row r="84" spans="1:5">
      <c r="A84" s="154">
        <v>45227</v>
      </c>
      <c r="B84" s="8" t="s">
        <v>643</v>
      </c>
      <c r="E84" s="152">
        <v>-200</v>
      </c>
    </row>
    <row r="85" spans="1:5">
      <c r="A85" s="154">
        <v>45227</v>
      </c>
      <c r="B85" s="8" t="s">
        <v>532</v>
      </c>
      <c r="E85" s="152">
        <v>-245</v>
      </c>
    </row>
    <row r="86" spans="1:5">
      <c r="A86" s="154">
        <v>45228</v>
      </c>
      <c r="B86" s="8" t="s">
        <v>643</v>
      </c>
      <c r="E86" s="152">
        <v>-160</v>
      </c>
    </row>
    <row r="87" spans="1:5">
      <c r="A87" s="154">
        <v>45228</v>
      </c>
      <c r="B87" s="8" t="s">
        <v>950</v>
      </c>
      <c r="E87" s="152">
        <v>-33.65</v>
      </c>
    </row>
    <row r="88" spans="1:5">
      <c r="A88" s="154">
        <v>45201</v>
      </c>
      <c r="B88" s="8" t="s">
        <v>643</v>
      </c>
      <c r="E88" s="152">
        <v>-160</v>
      </c>
    </row>
    <row r="89" spans="1:5">
      <c r="A89" s="154">
        <v>45201</v>
      </c>
      <c r="B89" s="8" t="s">
        <v>121</v>
      </c>
      <c r="C89">
        <v>-16000.55</v>
      </c>
      <c r="E89" s="152"/>
    </row>
    <row r="90" spans="1:5">
      <c r="A90" s="154">
        <v>45202</v>
      </c>
      <c r="B90" s="8" t="s">
        <v>643</v>
      </c>
      <c r="E90" s="152">
        <v>-250</v>
      </c>
    </row>
    <row r="91" spans="1:5">
      <c r="A91" s="154">
        <v>45204</v>
      </c>
      <c r="B91" s="8" t="s">
        <v>643</v>
      </c>
      <c r="E91" s="152">
        <v>-300</v>
      </c>
    </row>
    <row r="92" spans="1:5">
      <c r="A92" s="154">
        <v>45205</v>
      </c>
      <c r="B92" s="8" t="s">
        <v>643</v>
      </c>
      <c r="E92" s="152">
        <v>-250</v>
      </c>
    </row>
    <row r="93" spans="1:5">
      <c r="A93" s="154">
        <v>45206</v>
      </c>
      <c r="B93" s="8" t="s">
        <v>643</v>
      </c>
      <c r="E93" s="152">
        <v>-250</v>
      </c>
    </row>
    <row r="94" spans="1:5">
      <c r="A94" s="154">
        <v>45206</v>
      </c>
      <c r="B94" s="8" t="s">
        <v>951</v>
      </c>
      <c r="E94" s="152">
        <v>-107.32</v>
      </c>
    </row>
    <row r="95" spans="1:5">
      <c r="A95" s="154">
        <v>45210</v>
      </c>
      <c r="B95" s="8" t="s">
        <v>643</v>
      </c>
      <c r="E95" s="152">
        <v>-200</v>
      </c>
    </row>
    <row r="96" spans="1:5">
      <c r="A96" s="154">
        <v>45215</v>
      </c>
      <c r="B96" s="8" t="s">
        <v>643</v>
      </c>
      <c r="E96" s="152">
        <v>-160</v>
      </c>
    </row>
    <row r="97" spans="1:5">
      <c r="A97" s="154">
        <v>45216</v>
      </c>
      <c r="B97" s="8" t="s">
        <v>643</v>
      </c>
      <c r="E97" s="152">
        <v>-160</v>
      </c>
    </row>
    <row r="98" spans="1:5">
      <c r="A98" s="154">
        <v>45217</v>
      </c>
      <c r="B98" s="8" t="s">
        <v>643</v>
      </c>
      <c r="E98" s="152">
        <v>-160</v>
      </c>
    </row>
    <row r="99" spans="1:5">
      <c r="A99" s="154">
        <v>45218</v>
      </c>
      <c r="B99" s="8" t="s">
        <v>643</v>
      </c>
      <c r="E99" s="152">
        <v>-200</v>
      </c>
    </row>
    <row r="100" spans="1:5">
      <c r="A100" s="154">
        <v>45219</v>
      </c>
      <c r="B100" s="8" t="s">
        <v>643</v>
      </c>
      <c r="E100" s="152">
        <v>-165</v>
      </c>
    </row>
    <row r="101" spans="1:5">
      <c r="A101" s="154">
        <v>45219</v>
      </c>
      <c r="B101" s="8" t="s">
        <v>950</v>
      </c>
      <c r="E101" s="152">
        <v>-93.36</v>
      </c>
    </row>
    <row r="102" spans="1:5">
      <c r="A102" s="154">
        <v>45220</v>
      </c>
      <c r="B102" s="8" t="s">
        <v>643</v>
      </c>
      <c r="E102" s="152">
        <v>-165</v>
      </c>
    </row>
    <row r="103" spans="1:5">
      <c r="A103" s="154">
        <v>45220</v>
      </c>
      <c r="B103" s="8" t="s">
        <v>952</v>
      </c>
      <c r="E103" s="152">
        <v>-80</v>
      </c>
    </row>
    <row r="104" spans="1:5">
      <c r="A104" s="154">
        <v>45221</v>
      </c>
      <c r="B104" s="8" t="s">
        <v>953</v>
      </c>
      <c r="E104" s="152">
        <v>-500</v>
      </c>
    </row>
    <row r="105" spans="1:5" ht="15">
      <c r="D105" s="101" t="s">
        <v>76</v>
      </c>
    </row>
    <row r="107" spans="1:5">
      <c r="B107" t="s">
        <v>954</v>
      </c>
      <c r="E107" s="152">
        <v>3707.01</v>
      </c>
    </row>
    <row r="108" spans="1:5">
      <c r="B108" t="s">
        <v>955</v>
      </c>
      <c r="E108" s="152">
        <v>540</v>
      </c>
    </row>
    <row r="109" spans="1:5">
      <c r="E109" s="60">
        <f>SUM(E107:E108)</f>
        <v>4247.01</v>
      </c>
    </row>
    <row r="111" spans="1:5">
      <c r="A111" s="109" t="s">
        <v>956</v>
      </c>
      <c r="B111" s="100" t="s">
        <v>128</v>
      </c>
      <c r="C111" s="99">
        <v>2023</v>
      </c>
      <c r="D111" s="147"/>
      <c r="E111" s="148">
        <f>SUM(E112:E122)</f>
        <v>709393.08499999996</v>
      </c>
    </row>
    <row r="112" spans="1:5">
      <c r="A112" s="149">
        <v>45260</v>
      </c>
      <c r="B112" s="8" t="s">
        <v>69</v>
      </c>
      <c r="C112" s="2"/>
      <c r="D112" s="2"/>
      <c r="E112" s="14">
        <v>64000</v>
      </c>
    </row>
    <row r="113" spans="1:5">
      <c r="A113" s="149">
        <f>A112</f>
        <v>45260</v>
      </c>
      <c r="B113" s="8" t="s">
        <v>957</v>
      </c>
      <c r="C113" s="2">
        <v>145000</v>
      </c>
      <c r="D113" s="2"/>
      <c r="E113" s="14">
        <v>218088</v>
      </c>
    </row>
    <row r="114" spans="1:5">
      <c r="A114" s="149">
        <f>A113</f>
        <v>45260</v>
      </c>
      <c r="B114" s="8" t="s">
        <v>292</v>
      </c>
      <c r="C114" s="2"/>
      <c r="D114" s="2"/>
      <c r="E114" s="14">
        <v>37657.35</v>
      </c>
    </row>
    <row r="115" spans="1:5">
      <c r="A115" s="149">
        <f>A114</f>
        <v>45260</v>
      </c>
      <c r="B115" s="8" t="s">
        <v>293</v>
      </c>
      <c r="C115" s="2"/>
      <c r="D115" s="2"/>
      <c r="E115" s="14">
        <v>64.31</v>
      </c>
    </row>
    <row r="116" spans="1:5">
      <c r="A116" s="149">
        <v>45260</v>
      </c>
      <c r="B116" s="8" t="s">
        <v>294</v>
      </c>
      <c r="C116" s="2"/>
      <c r="D116" s="2"/>
      <c r="E116" s="14">
        <v>3242.78</v>
      </c>
    </row>
    <row r="117" spans="1:5">
      <c r="A117" s="149">
        <v>45260</v>
      </c>
      <c r="B117" s="8" t="s">
        <v>132</v>
      </c>
      <c r="C117" s="2"/>
      <c r="D117" s="2"/>
      <c r="E117" s="14">
        <v>1000</v>
      </c>
    </row>
    <row r="118" spans="1:5">
      <c r="A118" s="149">
        <f>A115</f>
        <v>45260</v>
      </c>
      <c r="B118" s="8" t="s">
        <v>302</v>
      </c>
      <c r="C118" s="2">
        <v>1851.05</v>
      </c>
      <c r="D118" s="2">
        <v>161</v>
      </c>
      <c r="E118" s="14">
        <f>D118*C118</f>
        <v>298019.05</v>
      </c>
    </row>
    <row r="119" spans="1:5">
      <c r="A119" s="149">
        <f>A118</f>
        <v>45260</v>
      </c>
      <c r="B119" s="8" t="s">
        <v>958</v>
      </c>
      <c r="C119" s="151">
        <v>28.198699999999999</v>
      </c>
      <c r="D119" s="2">
        <v>850</v>
      </c>
      <c r="E119" s="14">
        <f>D119*C119</f>
        <v>23968.895</v>
      </c>
    </row>
    <row r="120" spans="1:5">
      <c r="A120" s="149">
        <f>A119</f>
        <v>45260</v>
      </c>
      <c r="B120" s="8" t="s">
        <v>959</v>
      </c>
      <c r="C120" s="151">
        <v>31.027000000000001</v>
      </c>
      <c r="D120" s="2">
        <v>100</v>
      </c>
      <c r="E120" s="14">
        <f>D120*C120</f>
        <v>3102.7000000000003</v>
      </c>
    </row>
    <row r="121" spans="1:5">
      <c r="A121" s="149">
        <f>A120</f>
        <v>45260</v>
      </c>
      <c r="B121" s="8" t="s">
        <v>144</v>
      </c>
      <c r="C121" s="2"/>
      <c r="D121" s="2"/>
      <c r="E121" s="14">
        <v>60000</v>
      </c>
    </row>
    <row r="122" spans="1:5">
      <c r="A122" s="149">
        <f>A121</f>
        <v>45260</v>
      </c>
      <c r="B122" s="8" t="s">
        <v>145</v>
      </c>
      <c r="C122" s="2"/>
      <c r="D122" s="2"/>
      <c r="E122" s="14">
        <v>250</v>
      </c>
    </row>
    <row r="123" spans="1:5">
      <c r="C123" s="3" t="str">
        <f>A111</f>
        <v>KASIM</v>
      </c>
      <c r="D123" s="15" t="s">
        <v>148</v>
      </c>
      <c r="E123" s="152">
        <f>H33</f>
        <v>-64817.05</v>
      </c>
    </row>
    <row r="124" spans="1:5">
      <c r="D124" s="3"/>
    </row>
    <row r="125" spans="1:5">
      <c r="D125" s="15" t="s">
        <v>147</v>
      </c>
      <c r="E125" s="9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375623"/>
  </sheetPr>
  <dimension ref="A1:I124"/>
  <sheetViews>
    <sheetView topLeftCell="A4" zoomScale="170" zoomScaleNormal="170" workbookViewId="0">
      <selection activeCell="A4" sqref="A4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960</v>
      </c>
      <c r="C2" s="76" t="s">
        <v>59</v>
      </c>
      <c r="D2" s="295">
        <f>SUM(D4:D32)</f>
        <v>32800</v>
      </c>
      <c r="E2" s="295">
        <f>SUM(E4:E32)</f>
        <v>-44478.170000000006</v>
      </c>
      <c r="F2" s="295">
        <f>SUM(F4:F32)</f>
        <v>23200</v>
      </c>
      <c r="G2" s="295">
        <f>SUM(G4:G32)</f>
        <v>-43968.17</v>
      </c>
      <c r="H2" s="295">
        <f>F2+G2</f>
        <v>-20768.169999999998</v>
      </c>
    </row>
    <row r="3" spans="1:8">
      <c r="B3" s="15"/>
      <c r="H3" s="60"/>
    </row>
    <row r="4" spans="1:8">
      <c r="A4" s="149">
        <v>45201</v>
      </c>
      <c r="B4" s="97" t="s">
        <v>72</v>
      </c>
      <c r="C4" s="97"/>
      <c r="D4" s="97"/>
      <c r="E4" s="60">
        <v>-400</v>
      </c>
      <c r="G4" s="60">
        <v>-327</v>
      </c>
      <c r="H4" s="60">
        <f t="shared" ref="H4:H29" si="0">H3+F4+G4</f>
        <v>-327</v>
      </c>
    </row>
    <row r="5" spans="1:8">
      <c r="A5" s="149">
        <v>45201</v>
      </c>
      <c r="B5" s="97" t="s">
        <v>73</v>
      </c>
      <c r="C5" s="97"/>
      <c r="D5" s="97"/>
      <c r="E5" s="60">
        <v>-500</v>
      </c>
      <c r="G5" s="60">
        <v>-593</v>
      </c>
      <c r="H5" s="60">
        <f t="shared" si="0"/>
        <v>-920</v>
      </c>
    </row>
    <row r="6" spans="1:8">
      <c r="A6" s="149">
        <v>45201</v>
      </c>
      <c r="B6" s="97" t="s">
        <v>961</v>
      </c>
      <c r="C6" s="97"/>
      <c r="D6" s="97"/>
      <c r="E6" s="60">
        <v>-137.19999999999999</v>
      </c>
      <c r="G6" s="60">
        <v>-137.19999999999999</v>
      </c>
      <c r="H6" s="60">
        <f t="shared" si="0"/>
        <v>-1057.2</v>
      </c>
    </row>
    <row r="7" spans="1:8">
      <c r="A7" s="149">
        <v>45201</v>
      </c>
      <c r="B7" s="97" t="s">
        <v>962</v>
      </c>
      <c r="C7" s="97"/>
      <c r="D7" s="97"/>
      <c r="E7" s="60">
        <v>-1180</v>
      </c>
      <c r="G7" s="60">
        <v>-1180</v>
      </c>
      <c r="H7" s="60">
        <f t="shared" si="0"/>
        <v>-2237.1999999999998</v>
      </c>
    </row>
    <row r="8" spans="1:8">
      <c r="A8" s="149">
        <v>45201</v>
      </c>
      <c r="B8" s="97" t="s">
        <v>963</v>
      </c>
      <c r="C8" s="97"/>
      <c r="D8" s="97"/>
      <c r="E8" s="60">
        <v>-250</v>
      </c>
      <c r="G8" s="60">
        <v>-250</v>
      </c>
      <c r="H8" s="60">
        <f t="shared" si="0"/>
        <v>-2487.1999999999998</v>
      </c>
    </row>
    <row r="9" spans="1:8">
      <c r="B9" s="167" t="s">
        <v>64</v>
      </c>
      <c r="D9" s="60"/>
      <c r="E9" s="60">
        <f>D45*-1</f>
        <v>-33.729999999999997</v>
      </c>
      <c r="F9" s="60"/>
      <c r="G9" s="60">
        <f>E9</f>
        <v>-33.729999999999997</v>
      </c>
      <c r="H9" s="60">
        <f t="shared" si="0"/>
        <v>-2520.9299999999998</v>
      </c>
    </row>
    <row r="10" spans="1:8">
      <c r="B10" s="167" t="s">
        <v>60</v>
      </c>
      <c r="E10" s="60">
        <f>E51</f>
        <v>-6481.6100000000006</v>
      </c>
      <c r="F10" s="60"/>
      <c r="G10" s="60">
        <v>-6481.61</v>
      </c>
      <c r="H10" s="60">
        <f t="shared" si="0"/>
        <v>-9002.5399999999991</v>
      </c>
    </row>
    <row r="11" spans="1:8">
      <c r="B11" s="167" t="s">
        <v>61</v>
      </c>
      <c r="E11" s="60">
        <f>E68</f>
        <v>-16000.550000000001</v>
      </c>
      <c r="G11" s="60">
        <v>-16000.55</v>
      </c>
      <c r="H11" s="60">
        <f t="shared" si="0"/>
        <v>-25003.089999999997</v>
      </c>
    </row>
    <row r="12" spans="1:8">
      <c r="A12" s="149">
        <v>44933</v>
      </c>
      <c r="B12" s="97" t="s">
        <v>964</v>
      </c>
      <c r="C12" s="97"/>
      <c r="D12" s="97"/>
      <c r="E12" s="60">
        <v>-5375</v>
      </c>
      <c r="G12" s="60">
        <v>-5375</v>
      </c>
      <c r="H12" s="60">
        <f t="shared" si="0"/>
        <v>-30378.089999999997</v>
      </c>
    </row>
    <row r="13" spans="1:8">
      <c r="B13" s="97" t="s">
        <v>965</v>
      </c>
      <c r="C13" s="97"/>
      <c r="D13" s="97"/>
      <c r="E13" s="60">
        <v>-2125</v>
      </c>
      <c r="G13" s="60">
        <v>-2125</v>
      </c>
      <c r="H13" s="60">
        <f t="shared" si="0"/>
        <v>-32503.089999999997</v>
      </c>
    </row>
    <row r="14" spans="1:8">
      <c r="B14" s="97" t="s">
        <v>966</v>
      </c>
      <c r="C14" s="97"/>
      <c r="D14" s="97"/>
      <c r="E14" s="60">
        <v>-945.08</v>
      </c>
      <c r="F14" s="152"/>
      <c r="G14" s="60">
        <v>-945.08</v>
      </c>
      <c r="H14" s="60">
        <f t="shared" si="0"/>
        <v>-33448.17</v>
      </c>
    </row>
    <row r="15" spans="1:8">
      <c r="B15" s="97" t="s">
        <v>67</v>
      </c>
      <c r="C15" s="97" t="s">
        <v>315</v>
      </c>
      <c r="D15" s="97"/>
      <c r="E15" s="60">
        <v>-150</v>
      </c>
      <c r="F15" s="152"/>
      <c r="G15" s="60"/>
      <c r="H15" s="60">
        <f t="shared" si="0"/>
        <v>-33448.17</v>
      </c>
    </row>
    <row r="16" spans="1:8">
      <c r="B16" s="102" t="s">
        <v>65</v>
      </c>
      <c r="C16" s="102" t="s">
        <v>315</v>
      </c>
      <c r="D16" s="102"/>
      <c r="E16" s="60">
        <v>-300</v>
      </c>
      <c r="F16" s="152"/>
      <c r="G16" s="60"/>
      <c r="H16" s="60">
        <f t="shared" si="0"/>
        <v>-33448.17</v>
      </c>
    </row>
    <row r="17" spans="1:8">
      <c r="B17" s="102" t="s">
        <v>66</v>
      </c>
      <c r="C17" s="102" t="s">
        <v>315</v>
      </c>
      <c r="D17" s="102"/>
      <c r="E17" s="60">
        <v>-100</v>
      </c>
      <c r="F17" s="152"/>
      <c r="G17" s="60"/>
      <c r="H17" s="60">
        <f t="shared" si="0"/>
        <v>-33448.17</v>
      </c>
    </row>
    <row r="18" spans="1:8">
      <c r="B18" t="s">
        <v>69</v>
      </c>
      <c r="E18" s="60">
        <v>-3500</v>
      </c>
      <c r="F18" s="60"/>
      <c r="G18" s="60">
        <v>-3510</v>
      </c>
      <c r="H18" s="60">
        <f t="shared" si="0"/>
        <v>-36958.17</v>
      </c>
    </row>
    <row r="19" spans="1:8">
      <c r="B19" t="s">
        <v>967</v>
      </c>
      <c r="E19" s="60"/>
      <c r="F19" s="60"/>
      <c r="G19" s="60"/>
      <c r="H19" s="60">
        <f t="shared" si="0"/>
        <v>-36958.17</v>
      </c>
    </row>
    <row r="20" spans="1:8">
      <c r="B20" t="s">
        <v>70</v>
      </c>
      <c r="E20" s="60">
        <v>-3500</v>
      </c>
      <c r="F20" s="60"/>
      <c r="G20" s="60">
        <v>-3510</v>
      </c>
      <c r="H20" s="60">
        <f t="shared" si="0"/>
        <v>-40468.17</v>
      </c>
    </row>
    <row r="21" spans="1:8">
      <c r="B21" t="s">
        <v>71</v>
      </c>
      <c r="E21" s="60">
        <v>-3500</v>
      </c>
      <c r="F21" s="60"/>
      <c r="G21" s="60">
        <v>-3500</v>
      </c>
      <c r="H21" s="60">
        <f t="shared" si="0"/>
        <v>-43968.17</v>
      </c>
    </row>
    <row r="22" spans="1:8">
      <c r="E22" s="152"/>
      <c r="F22" s="60"/>
      <c r="G22" s="60"/>
      <c r="H22" s="60">
        <f t="shared" si="0"/>
        <v>-43968.17</v>
      </c>
    </row>
    <row r="23" spans="1:8">
      <c r="B23" t="s">
        <v>68</v>
      </c>
      <c r="D23" s="175">
        <v>7500</v>
      </c>
      <c r="F23" s="60">
        <v>7500</v>
      </c>
      <c r="G23" s="60"/>
      <c r="H23" s="60">
        <f t="shared" si="0"/>
        <v>-36468.17</v>
      </c>
    </row>
    <row r="24" spans="1:8">
      <c r="A24" s="149">
        <v>45232</v>
      </c>
      <c r="B24" s="8" t="s">
        <v>968</v>
      </c>
      <c r="C24" s="8" t="s">
        <v>932</v>
      </c>
      <c r="D24" s="175">
        <v>2800</v>
      </c>
      <c r="F24" s="60">
        <v>2800</v>
      </c>
      <c r="G24" s="60"/>
      <c r="H24" s="60">
        <f t="shared" si="0"/>
        <v>-33668.17</v>
      </c>
    </row>
    <row r="25" spans="1:8">
      <c r="B25" t="s">
        <v>969</v>
      </c>
      <c r="D25" s="175">
        <v>6500</v>
      </c>
      <c r="F25" s="60">
        <v>6500</v>
      </c>
      <c r="G25" s="60"/>
      <c r="H25" s="60">
        <f t="shared" si="0"/>
        <v>-27168.17</v>
      </c>
    </row>
    <row r="26" spans="1:8">
      <c r="A26" s="149">
        <v>45236</v>
      </c>
      <c r="B26" s="8" t="s">
        <v>970</v>
      </c>
      <c r="D26" s="175">
        <v>6000</v>
      </c>
      <c r="F26" s="60">
        <v>6000</v>
      </c>
      <c r="H26" s="60">
        <f t="shared" si="0"/>
        <v>-21168.17</v>
      </c>
    </row>
    <row r="27" spans="1:8">
      <c r="A27" s="149">
        <v>45229</v>
      </c>
      <c r="B27" s="8" t="s">
        <v>937</v>
      </c>
      <c r="D27" s="175">
        <v>10000</v>
      </c>
      <c r="F27" s="60"/>
      <c r="G27" s="60"/>
      <c r="H27" s="60">
        <f t="shared" si="0"/>
        <v>-21168.17</v>
      </c>
    </row>
    <row r="28" spans="1:8">
      <c r="A28" s="149"/>
      <c r="B28" s="8" t="s">
        <v>971</v>
      </c>
      <c r="D28" s="98"/>
      <c r="F28" s="60"/>
      <c r="G28" s="60"/>
      <c r="H28" s="60">
        <f t="shared" si="0"/>
        <v>-21168.17</v>
      </c>
    </row>
    <row r="29" spans="1:8">
      <c r="A29" s="149">
        <v>45227</v>
      </c>
      <c r="B29" s="8" t="s">
        <v>972</v>
      </c>
      <c r="D29" s="98"/>
      <c r="F29" s="60">
        <v>400</v>
      </c>
      <c r="H29" s="60">
        <f t="shared" si="0"/>
        <v>-20768.169999999998</v>
      </c>
    </row>
    <row r="30" spans="1:8">
      <c r="D30" s="60"/>
      <c r="F30" s="60"/>
      <c r="G30" s="60"/>
      <c r="H30" s="60"/>
    </row>
    <row r="31" spans="1:8" ht="15.75">
      <c r="B31" s="168"/>
      <c r="F31" s="60"/>
      <c r="G31" s="60"/>
      <c r="H31" s="60"/>
    </row>
    <row r="32" spans="1:8">
      <c r="E32" s="60"/>
      <c r="G32" s="60"/>
      <c r="H32" s="60"/>
    </row>
    <row r="33" spans="1:8">
      <c r="B33" t="s">
        <v>317</v>
      </c>
      <c r="E33" s="60"/>
      <c r="G33" s="60"/>
      <c r="H33" s="60"/>
    </row>
    <row r="34" spans="1:8">
      <c r="A34" s="99" t="s">
        <v>318</v>
      </c>
      <c r="B34" s="99"/>
      <c r="C34" s="99"/>
      <c r="D34" s="99"/>
      <c r="E34" s="147"/>
      <c r="G34" s="60"/>
      <c r="H34" s="60"/>
    </row>
    <row r="35" spans="1:8">
      <c r="A35" s="301"/>
      <c r="B35" s="301"/>
      <c r="C35" s="301"/>
      <c r="D35" s="301"/>
      <c r="E35" s="302"/>
      <c r="H35" s="60"/>
    </row>
    <row r="36" spans="1:8">
      <c r="A36" s="301"/>
      <c r="B36" s="301"/>
      <c r="C36" s="303"/>
      <c r="D36" s="301"/>
      <c r="E36" s="301"/>
      <c r="H36" s="60"/>
    </row>
    <row r="37" spans="1:8">
      <c r="A37" s="301"/>
      <c r="B37" s="301"/>
      <c r="C37" s="303"/>
      <c r="D37" s="301"/>
      <c r="E37" s="301"/>
      <c r="H37" s="60"/>
    </row>
    <row r="38" spans="1:8">
      <c r="C38" s="160"/>
      <c r="H38" s="60"/>
    </row>
    <row r="39" spans="1:8">
      <c r="A39" s="304">
        <v>44929</v>
      </c>
      <c r="B39" s="162" t="s">
        <v>319</v>
      </c>
      <c r="C39" s="99"/>
      <c r="D39" s="190">
        <f>SUM(D40:D47)</f>
        <v>3425.3799999999997</v>
      </c>
      <c r="E39" s="190">
        <f>SUM(E40:E47)</f>
        <v>3422.73</v>
      </c>
      <c r="H39" s="60"/>
    </row>
    <row r="40" spans="1:8">
      <c r="B40" t="s">
        <v>912</v>
      </c>
      <c r="D40">
        <v>578.66</v>
      </c>
      <c r="E40" s="60">
        <v>578</v>
      </c>
      <c r="F40" s="60"/>
      <c r="G40" s="60"/>
    </row>
    <row r="41" spans="1:8">
      <c r="B41" t="s">
        <v>321</v>
      </c>
      <c r="D41">
        <v>1237.75</v>
      </c>
      <c r="E41" s="60">
        <v>1237</v>
      </c>
      <c r="F41" s="60"/>
      <c r="G41" s="60"/>
    </row>
    <row r="42" spans="1:8">
      <c r="B42" t="s">
        <v>322</v>
      </c>
      <c r="D42">
        <v>155.32</v>
      </c>
      <c r="E42">
        <v>155</v>
      </c>
      <c r="F42" s="60"/>
      <c r="G42" s="60"/>
    </row>
    <row r="43" spans="1:8">
      <c r="B43" t="s">
        <v>323</v>
      </c>
      <c r="D43">
        <v>1102.24</v>
      </c>
      <c r="E43">
        <v>1102</v>
      </c>
      <c r="F43" s="60"/>
      <c r="G43" s="60"/>
    </row>
    <row r="44" spans="1:8">
      <c r="B44" t="s">
        <v>324</v>
      </c>
      <c r="D44">
        <v>317.68</v>
      </c>
      <c r="E44">
        <v>317</v>
      </c>
      <c r="F44" s="60"/>
      <c r="G44" s="60"/>
    </row>
    <row r="45" spans="1:8">
      <c r="B45" t="s">
        <v>325</v>
      </c>
      <c r="C45" s="102"/>
      <c r="D45" s="102">
        <v>33.729999999999997</v>
      </c>
      <c r="E45">
        <v>33.729999999999997</v>
      </c>
      <c r="F45" s="60"/>
      <c r="G45" s="60"/>
    </row>
    <row r="46" spans="1:8">
      <c r="C46" s="102"/>
      <c r="E46" s="102"/>
      <c r="F46" s="60"/>
      <c r="G46" s="60"/>
    </row>
    <row r="47" spans="1:8">
      <c r="C47" s="102"/>
      <c r="D47" s="102"/>
      <c r="E47" s="152"/>
      <c r="F47" s="60"/>
      <c r="G47" s="60"/>
    </row>
    <row r="49" spans="1:8">
      <c r="B49" s="14"/>
    </row>
    <row r="50" spans="1:8">
      <c r="B50" s="98"/>
    </row>
    <row r="51" spans="1:8">
      <c r="A51" s="99"/>
      <c r="B51" s="100" t="s">
        <v>75</v>
      </c>
      <c r="C51" s="99"/>
      <c r="D51" s="147"/>
      <c r="E51" s="148">
        <f>SUM(E52:E65)</f>
        <v>-6481.6100000000006</v>
      </c>
    </row>
    <row r="52" spans="1:8">
      <c r="A52" s="149">
        <v>44995</v>
      </c>
      <c r="B52" s="8" t="s">
        <v>763</v>
      </c>
      <c r="C52">
        <v>613.91</v>
      </c>
      <c r="D52" s="32" t="s">
        <v>973</v>
      </c>
      <c r="E52" s="152">
        <v>-61.39</v>
      </c>
      <c r="G52" s="60"/>
      <c r="H52" s="60"/>
    </row>
    <row r="53" spans="1:8">
      <c r="A53" s="149">
        <v>45043</v>
      </c>
      <c r="B53" s="102" t="s">
        <v>941</v>
      </c>
      <c r="C53" s="102">
        <v>3299</v>
      </c>
      <c r="D53" s="32" t="s">
        <v>462</v>
      </c>
      <c r="E53" s="152">
        <v>-549.83000000000004</v>
      </c>
      <c r="F53" s="60"/>
      <c r="G53" s="60"/>
      <c r="H53" s="60"/>
    </row>
    <row r="54" spans="1:8">
      <c r="A54" s="149">
        <v>45043</v>
      </c>
      <c r="B54" s="102" t="s">
        <v>715</v>
      </c>
      <c r="C54" s="102">
        <v>10764.57</v>
      </c>
      <c r="D54" s="32" t="s">
        <v>717</v>
      </c>
      <c r="E54" s="152">
        <v>-1196.06</v>
      </c>
      <c r="F54" s="60"/>
      <c r="G54" s="60"/>
      <c r="H54" s="60"/>
    </row>
    <row r="55" spans="1:8">
      <c r="A55" s="149">
        <v>45044</v>
      </c>
      <c r="B55" s="8" t="s">
        <v>943</v>
      </c>
      <c r="C55" s="102">
        <v>3123.29</v>
      </c>
      <c r="D55" s="193" t="s">
        <v>462</v>
      </c>
      <c r="E55" s="152">
        <v>-520.54999999999995</v>
      </c>
      <c r="F55" s="60"/>
      <c r="G55" s="60"/>
      <c r="H55" s="60"/>
    </row>
    <row r="56" spans="1:8">
      <c r="A56" s="149">
        <v>45078</v>
      </c>
      <c r="B56" s="102" t="s">
        <v>916</v>
      </c>
      <c r="D56" s="193" t="s">
        <v>505</v>
      </c>
      <c r="E56" s="152">
        <v>-666.67</v>
      </c>
      <c r="F56" s="60"/>
      <c r="G56" s="60"/>
      <c r="H56" s="60"/>
    </row>
    <row r="57" spans="1:8">
      <c r="A57" s="149">
        <v>45168</v>
      </c>
      <c r="B57" s="102" t="s">
        <v>475</v>
      </c>
      <c r="D57" s="193"/>
      <c r="E57" s="152">
        <v>-250</v>
      </c>
      <c r="F57" s="60"/>
      <c r="G57" s="60"/>
      <c r="H57" s="60"/>
    </row>
    <row r="58" spans="1:8">
      <c r="A58" s="149">
        <v>45077</v>
      </c>
      <c r="B58" s="102" t="s">
        <v>974</v>
      </c>
      <c r="C58" s="102">
        <v>148.6</v>
      </c>
      <c r="D58" s="193" t="s">
        <v>975</v>
      </c>
      <c r="E58" s="152">
        <v>-37.15</v>
      </c>
      <c r="F58" s="60"/>
      <c r="G58" s="60"/>
      <c r="H58" s="60"/>
    </row>
    <row r="59" spans="1:8">
      <c r="A59" s="149">
        <v>45077</v>
      </c>
      <c r="B59" s="102" t="s">
        <v>976</v>
      </c>
      <c r="C59" s="102">
        <v>244.8</v>
      </c>
      <c r="D59" s="193" t="s">
        <v>975</v>
      </c>
      <c r="E59" s="152">
        <v>-61.2</v>
      </c>
      <c r="F59" s="60"/>
      <c r="G59" s="60"/>
      <c r="H59" s="60"/>
    </row>
    <row r="60" spans="1:8">
      <c r="A60" s="149">
        <v>45077</v>
      </c>
      <c r="B60" s="102" t="s">
        <v>977</v>
      </c>
      <c r="C60" s="102">
        <v>1204.5</v>
      </c>
      <c r="D60" s="193" t="s">
        <v>975</v>
      </c>
      <c r="E60" s="152">
        <v>-301.13</v>
      </c>
      <c r="F60" s="60"/>
      <c r="G60" s="60"/>
      <c r="H60" s="60"/>
    </row>
    <row r="61" spans="1:8">
      <c r="A61" s="149">
        <v>45077</v>
      </c>
      <c r="B61" s="8" t="s">
        <v>978</v>
      </c>
      <c r="C61" s="102">
        <v>532.6</v>
      </c>
      <c r="D61" s="193" t="s">
        <v>975</v>
      </c>
      <c r="E61" s="152">
        <v>-133.15</v>
      </c>
      <c r="F61" s="60"/>
      <c r="G61" s="60"/>
      <c r="H61" s="60"/>
    </row>
    <row r="62" spans="1:8">
      <c r="A62" s="149">
        <v>45173</v>
      </c>
      <c r="B62" s="102" t="s">
        <v>979</v>
      </c>
      <c r="C62" s="102">
        <v>7338.29</v>
      </c>
      <c r="D62" s="102"/>
      <c r="E62" s="152"/>
      <c r="F62" s="60"/>
      <c r="G62" s="60"/>
      <c r="H62" s="60"/>
    </row>
    <row r="63" spans="1:8">
      <c r="A63" s="149">
        <v>45187</v>
      </c>
      <c r="B63" s="102" t="s">
        <v>552</v>
      </c>
      <c r="C63" s="102">
        <v>7648.33</v>
      </c>
      <c r="D63" s="193" t="s">
        <v>980</v>
      </c>
      <c r="E63" s="152">
        <v>-849.81</v>
      </c>
      <c r="F63" s="60"/>
    </row>
    <row r="64" spans="1:8">
      <c r="A64" s="149">
        <v>45187</v>
      </c>
      <c r="B64" s="102" t="s">
        <v>981</v>
      </c>
      <c r="C64" s="102">
        <v>11128</v>
      </c>
      <c r="D64" s="193" t="s">
        <v>636</v>
      </c>
      <c r="E64" s="152">
        <v>-1854.67</v>
      </c>
      <c r="F64" s="60"/>
    </row>
    <row r="66" spans="1:9" ht="15">
      <c r="D66" s="101" t="s">
        <v>76</v>
      </c>
    </row>
    <row r="68" spans="1:9">
      <c r="A68" s="99"/>
      <c r="B68" s="100" t="s">
        <v>77</v>
      </c>
      <c r="C68" s="99"/>
      <c r="D68" s="99"/>
      <c r="E68" s="148">
        <f>SUM(E69:E104)</f>
        <v>-16000.550000000001</v>
      </c>
    </row>
    <row r="69" spans="1:9">
      <c r="A69" s="149">
        <v>45026</v>
      </c>
      <c r="B69" s="8" t="s">
        <v>944</v>
      </c>
      <c r="C69">
        <v>1140.99</v>
      </c>
      <c r="D69" s="8" t="s">
        <v>676</v>
      </c>
      <c r="E69" s="152">
        <v>-190.17</v>
      </c>
      <c r="F69" s="60"/>
      <c r="G69" s="60"/>
      <c r="H69" s="60"/>
    </row>
    <row r="70" spans="1:9">
      <c r="A70" s="149">
        <v>45141</v>
      </c>
      <c r="B70" s="8" t="s">
        <v>945</v>
      </c>
      <c r="D70" s="32" t="s">
        <v>982</v>
      </c>
      <c r="E70" s="152">
        <v>-181.83</v>
      </c>
      <c r="F70" s="60"/>
      <c r="G70" s="60"/>
      <c r="H70" s="60"/>
    </row>
    <row r="71" spans="1:9">
      <c r="A71" s="149">
        <v>45187</v>
      </c>
      <c r="B71" s="102" t="s">
        <v>983</v>
      </c>
      <c r="C71" s="102"/>
      <c r="D71" s="8" t="s">
        <v>947</v>
      </c>
      <c r="E71" s="152">
        <v>-3974.44</v>
      </c>
      <c r="G71" s="60"/>
      <c r="H71" s="60"/>
      <c r="I71" s="60"/>
    </row>
    <row r="72" spans="1:9">
      <c r="A72" s="149">
        <v>45187</v>
      </c>
      <c r="B72" s="102" t="s">
        <v>984</v>
      </c>
      <c r="C72" s="102"/>
      <c r="D72" s="102"/>
      <c r="E72" s="152">
        <v>-573.17999999999995</v>
      </c>
      <c r="F72" s="60"/>
      <c r="G72" s="60"/>
      <c r="H72" s="60"/>
    </row>
    <row r="73" spans="1:9">
      <c r="A73" s="149">
        <v>45163</v>
      </c>
      <c r="B73" s="102"/>
      <c r="C73" s="102"/>
      <c r="D73" s="102"/>
      <c r="E73" s="152">
        <v>-525</v>
      </c>
      <c r="F73" s="60"/>
      <c r="G73" s="60"/>
    </row>
    <row r="74" spans="1:9">
      <c r="A74" s="149">
        <v>45163</v>
      </c>
      <c r="B74" s="102"/>
      <c r="C74" s="102"/>
      <c r="D74" s="102"/>
      <c r="E74" s="152">
        <v>-200</v>
      </c>
      <c r="F74" s="60"/>
    </row>
    <row r="75" spans="1:9">
      <c r="A75" s="149">
        <v>45164</v>
      </c>
      <c r="B75" s="102"/>
      <c r="C75" s="102"/>
      <c r="D75" s="102"/>
      <c r="E75" s="152">
        <v>-200</v>
      </c>
      <c r="F75" s="60"/>
    </row>
    <row r="76" spans="1:9">
      <c r="A76" s="149">
        <v>45165</v>
      </c>
      <c r="B76" s="102" t="s">
        <v>985</v>
      </c>
      <c r="C76" s="102"/>
      <c r="D76" s="102"/>
      <c r="E76" s="152">
        <v>-200</v>
      </c>
      <c r="F76" s="60"/>
    </row>
    <row r="77" spans="1:9">
      <c r="A77" s="149">
        <v>45165</v>
      </c>
      <c r="B77" s="102" t="s">
        <v>986</v>
      </c>
      <c r="C77" s="102"/>
      <c r="D77" s="102"/>
      <c r="E77" s="152">
        <v>-300</v>
      </c>
      <c r="F77" s="60"/>
    </row>
    <row r="78" spans="1:9">
      <c r="A78" s="149">
        <v>45167</v>
      </c>
      <c r="B78" s="102" t="s">
        <v>987</v>
      </c>
      <c r="C78" s="102"/>
      <c r="D78" s="102"/>
      <c r="E78" s="152">
        <v>-70</v>
      </c>
      <c r="F78" s="60"/>
      <c r="G78" s="60"/>
      <c r="H78" s="60"/>
    </row>
    <row r="79" spans="1:9">
      <c r="A79" s="149">
        <v>45169</v>
      </c>
      <c r="B79" s="102" t="s">
        <v>988</v>
      </c>
      <c r="C79" s="102"/>
      <c r="D79" s="102"/>
      <c r="E79" s="152">
        <v>-300</v>
      </c>
      <c r="F79" s="60"/>
      <c r="G79" s="60"/>
      <c r="H79" s="60"/>
    </row>
    <row r="80" spans="1:9">
      <c r="A80" s="149">
        <v>45169</v>
      </c>
      <c r="B80" s="102"/>
      <c r="C80" s="102"/>
      <c r="D80" s="102"/>
      <c r="E80" s="152">
        <v>-200</v>
      </c>
      <c r="F80" s="60"/>
      <c r="G80" s="60"/>
      <c r="H80" s="60"/>
    </row>
    <row r="81" spans="1:8">
      <c r="A81" s="149">
        <v>45170</v>
      </c>
      <c r="B81" s="102" t="s">
        <v>121</v>
      </c>
      <c r="C81" s="102">
        <v>-3842.65</v>
      </c>
      <c r="D81" s="102"/>
      <c r="E81" s="152"/>
      <c r="F81" s="60"/>
      <c r="G81" s="60"/>
      <c r="H81" s="60"/>
    </row>
    <row r="82" spans="1:8">
      <c r="A82" s="149">
        <v>45170</v>
      </c>
      <c r="B82" s="102"/>
      <c r="C82" s="102"/>
      <c r="D82" s="102"/>
      <c r="E82" s="152">
        <v>-200</v>
      </c>
      <c r="F82" s="60"/>
      <c r="G82" s="60"/>
      <c r="H82" s="60"/>
    </row>
    <row r="83" spans="1:8">
      <c r="A83" s="149">
        <v>45171</v>
      </c>
      <c r="B83" s="102"/>
      <c r="C83" s="102"/>
      <c r="D83" s="102"/>
      <c r="E83" s="152">
        <v>-180</v>
      </c>
      <c r="F83" s="60"/>
      <c r="G83" s="60"/>
      <c r="H83" s="60"/>
    </row>
    <row r="84" spans="1:8">
      <c r="A84" s="149">
        <v>45172</v>
      </c>
      <c r="B84" s="102" t="s">
        <v>401</v>
      </c>
      <c r="C84" s="102"/>
      <c r="D84" s="102"/>
      <c r="E84" s="152">
        <v>-339.4</v>
      </c>
      <c r="F84" s="60"/>
      <c r="G84" s="60"/>
      <c r="H84" s="60"/>
    </row>
    <row r="85" spans="1:8">
      <c r="A85" s="149">
        <v>45174</v>
      </c>
      <c r="B85" s="102"/>
      <c r="C85" s="102"/>
      <c r="D85" s="102"/>
      <c r="E85" s="152">
        <v>-250</v>
      </c>
      <c r="F85" s="60"/>
      <c r="G85" s="60"/>
      <c r="H85" s="60"/>
    </row>
    <row r="86" spans="1:8">
      <c r="A86" s="149">
        <v>45175</v>
      </c>
      <c r="B86" s="103"/>
      <c r="E86" s="152">
        <v>-200</v>
      </c>
    </row>
    <row r="87" spans="1:8">
      <c r="A87" s="149">
        <v>45177</v>
      </c>
      <c r="E87" s="152">
        <v>-200</v>
      </c>
    </row>
    <row r="88" spans="1:8">
      <c r="A88" s="149">
        <v>45179</v>
      </c>
      <c r="B88" s="8" t="s">
        <v>397</v>
      </c>
      <c r="E88" s="152">
        <v>-529.98</v>
      </c>
    </row>
    <row r="89" spans="1:8">
      <c r="A89" s="149">
        <v>45179</v>
      </c>
      <c r="B89" s="8" t="s">
        <v>397</v>
      </c>
      <c r="E89" s="152">
        <v>-2351.9499999999998</v>
      </c>
    </row>
    <row r="90" spans="1:8">
      <c r="A90" s="149">
        <v>45180</v>
      </c>
      <c r="B90" s="8" t="s">
        <v>989</v>
      </c>
      <c r="E90" s="152">
        <v>-200</v>
      </c>
    </row>
    <row r="91" spans="1:8">
      <c r="A91" s="149">
        <v>45181</v>
      </c>
      <c r="E91" s="152">
        <v>-165</v>
      </c>
    </row>
    <row r="92" spans="1:8">
      <c r="A92" s="149">
        <v>45182</v>
      </c>
      <c r="B92" s="8" t="s">
        <v>989</v>
      </c>
      <c r="D92" s="32"/>
      <c r="E92" s="152">
        <v>-200</v>
      </c>
    </row>
    <row r="93" spans="1:8">
      <c r="A93" s="149">
        <v>45183</v>
      </c>
      <c r="D93" s="32"/>
      <c r="E93" s="152">
        <v>-200</v>
      </c>
    </row>
    <row r="94" spans="1:8">
      <c r="A94" s="149">
        <v>45184</v>
      </c>
      <c r="B94" s="8" t="s">
        <v>990</v>
      </c>
      <c r="E94" s="152">
        <v>-578</v>
      </c>
    </row>
    <row r="95" spans="1:8">
      <c r="A95" s="149">
        <v>45184</v>
      </c>
      <c r="B95" s="8" t="s">
        <v>991</v>
      </c>
      <c r="E95" s="152">
        <v>-1000</v>
      </c>
    </row>
    <row r="96" spans="1:8">
      <c r="A96" s="149">
        <v>45184</v>
      </c>
      <c r="E96" s="152">
        <v>-250</v>
      </c>
    </row>
    <row r="97" spans="1:5">
      <c r="A97" s="149">
        <v>45185</v>
      </c>
      <c r="E97" s="152">
        <v>-200</v>
      </c>
    </row>
    <row r="98" spans="1:5">
      <c r="A98" s="149">
        <v>45187</v>
      </c>
      <c r="E98" s="152">
        <v>-160</v>
      </c>
    </row>
    <row r="99" spans="1:5">
      <c r="A99" s="149">
        <v>45188</v>
      </c>
      <c r="E99" s="152">
        <v>-250</v>
      </c>
    </row>
    <row r="100" spans="1:5">
      <c r="A100" s="149">
        <v>45189</v>
      </c>
      <c r="E100" s="152">
        <v>-160</v>
      </c>
    </row>
    <row r="101" spans="1:5">
      <c r="A101" s="149">
        <v>45191</v>
      </c>
      <c r="B101" s="8" t="s">
        <v>992</v>
      </c>
      <c r="E101" s="152">
        <v>-230</v>
      </c>
    </row>
    <row r="102" spans="1:5">
      <c r="A102" s="149">
        <v>45191</v>
      </c>
      <c r="B102" s="8" t="s">
        <v>993</v>
      </c>
      <c r="E102" s="152">
        <v>-382</v>
      </c>
    </row>
    <row r="103" spans="1:5">
      <c r="A103" s="149">
        <v>45191</v>
      </c>
      <c r="B103" s="8" t="s">
        <v>994</v>
      </c>
      <c r="E103" s="152">
        <v>-699.6</v>
      </c>
    </row>
    <row r="104" spans="1:5">
      <c r="A104" s="149">
        <v>45192</v>
      </c>
      <c r="B104" s="8" t="s">
        <v>126</v>
      </c>
      <c r="E104" s="152">
        <v>-160</v>
      </c>
    </row>
    <row r="106" spans="1:5" ht="15">
      <c r="D106" s="101" t="s">
        <v>76</v>
      </c>
    </row>
    <row r="111" spans="1:5">
      <c r="A111" s="109" t="s">
        <v>995</v>
      </c>
      <c r="B111" s="100" t="s">
        <v>128</v>
      </c>
      <c r="C111" s="99">
        <v>2023</v>
      </c>
      <c r="D111" s="147"/>
      <c r="E111" s="148">
        <f>SUM(E112:E121)</f>
        <v>610649.73</v>
      </c>
    </row>
    <row r="112" spans="1:5">
      <c r="A112" s="149">
        <v>45230</v>
      </c>
      <c r="B112" s="8" t="s">
        <v>69</v>
      </c>
      <c r="C112" s="2"/>
      <c r="D112" s="2"/>
      <c r="E112" s="14">
        <v>64000</v>
      </c>
    </row>
    <row r="113" spans="1:5">
      <c r="A113" s="149">
        <v>45230</v>
      </c>
      <c r="B113" s="8" t="s">
        <v>996</v>
      </c>
      <c r="C113" s="2"/>
      <c r="D113" s="2"/>
      <c r="E113" s="14">
        <v>73088</v>
      </c>
    </row>
    <row r="114" spans="1:5">
      <c r="A114" s="149">
        <v>45230</v>
      </c>
      <c r="B114" s="8" t="s">
        <v>292</v>
      </c>
      <c r="C114" s="2"/>
      <c r="D114" s="2"/>
      <c r="E114" s="14">
        <v>20950.34</v>
      </c>
    </row>
    <row r="115" spans="1:5">
      <c r="A115" s="149">
        <v>45230</v>
      </c>
      <c r="B115" s="8" t="s">
        <v>293</v>
      </c>
      <c r="C115" s="2"/>
      <c r="D115" s="2"/>
      <c r="E115" s="14">
        <v>73011.39</v>
      </c>
    </row>
    <row r="116" spans="1:5">
      <c r="A116" s="149">
        <v>45230</v>
      </c>
      <c r="B116" s="8" t="s">
        <v>997</v>
      </c>
      <c r="C116" s="2">
        <v>1800</v>
      </c>
      <c r="D116" s="2">
        <v>111</v>
      </c>
      <c r="E116" s="14">
        <f>D116*C116</f>
        <v>199800</v>
      </c>
    </row>
    <row r="117" spans="1:5">
      <c r="B117" t="s">
        <v>998</v>
      </c>
      <c r="C117" s="2">
        <v>1800</v>
      </c>
      <c r="D117" s="2">
        <v>50</v>
      </c>
      <c r="E117" s="14">
        <f>D117*C117</f>
        <v>90000</v>
      </c>
    </row>
    <row r="118" spans="1:5">
      <c r="A118" s="149">
        <v>45230</v>
      </c>
      <c r="B118" s="8" t="s">
        <v>999</v>
      </c>
      <c r="C118" s="151">
        <v>28</v>
      </c>
      <c r="D118" s="2">
        <v>850</v>
      </c>
      <c r="E118" s="14">
        <f>D118*C118</f>
        <v>23800</v>
      </c>
    </row>
    <row r="119" spans="1:5">
      <c r="A119" s="149">
        <v>45230</v>
      </c>
      <c r="B119" s="8" t="s">
        <v>1000</v>
      </c>
      <c r="C119" s="151">
        <v>30</v>
      </c>
      <c r="D119" s="2">
        <v>100</v>
      </c>
      <c r="E119" s="14">
        <f>D119*C119</f>
        <v>3000</v>
      </c>
    </row>
    <row r="120" spans="1:5">
      <c r="A120" s="149">
        <v>45230</v>
      </c>
      <c r="B120" s="8" t="s">
        <v>144</v>
      </c>
      <c r="C120" s="2"/>
      <c r="D120" s="2"/>
      <c r="E120" s="14">
        <v>60000</v>
      </c>
    </row>
    <row r="121" spans="1:5">
      <c r="A121" s="149">
        <v>45230</v>
      </c>
      <c r="B121" s="8" t="s">
        <v>145</v>
      </c>
      <c r="C121" s="2"/>
      <c r="D121" s="2"/>
      <c r="E121" s="14">
        <v>3000</v>
      </c>
    </row>
    <row r="122" spans="1:5">
      <c r="C122" s="3" t="s">
        <v>995</v>
      </c>
      <c r="D122" s="15" t="s">
        <v>148</v>
      </c>
      <c r="E122" s="152">
        <f>H41</f>
        <v>0</v>
      </c>
    </row>
    <row r="123" spans="1:5">
      <c r="D123" s="3"/>
    </row>
    <row r="124" spans="1:5">
      <c r="D124" s="15" t="s">
        <v>147</v>
      </c>
      <c r="E124" s="9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95511"/>
  </sheetPr>
  <dimension ref="A1:H123"/>
  <sheetViews>
    <sheetView topLeftCell="A14" zoomScale="170" zoomScaleNormal="170" workbookViewId="0">
      <selection activeCell="B9" sqref="B9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1001</v>
      </c>
      <c r="C2" s="76" t="s">
        <v>59</v>
      </c>
      <c r="D2" s="295">
        <f>SUM(D4:D38)</f>
        <v>133300</v>
      </c>
      <c r="E2" s="295">
        <f>SUM(E4:E37)</f>
        <v>-31871.02</v>
      </c>
      <c r="F2" s="295">
        <f>SUM(F4:F44)</f>
        <v>257800</v>
      </c>
      <c r="G2" s="295">
        <f>SUM(G4:G44)</f>
        <v>-34914.910000000003</v>
      </c>
      <c r="H2" s="295">
        <f>F2+G2</f>
        <v>222885.09</v>
      </c>
    </row>
    <row r="3" spans="1:8">
      <c r="B3" s="15"/>
      <c r="H3" s="60"/>
    </row>
    <row r="4" spans="1:8">
      <c r="B4" s="97" t="s">
        <v>72</v>
      </c>
      <c r="C4" s="97"/>
      <c r="D4" s="97"/>
      <c r="E4" s="60">
        <v>-400</v>
      </c>
      <c r="G4" s="60">
        <v>-317</v>
      </c>
      <c r="H4" s="60">
        <f t="shared" ref="H4:H40" si="0">H3+F4+G4</f>
        <v>-317</v>
      </c>
    </row>
    <row r="5" spans="1:8">
      <c r="B5" s="97" t="s">
        <v>73</v>
      </c>
      <c r="C5" s="97"/>
      <c r="D5" s="97"/>
      <c r="E5" s="60">
        <v>-500</v>
      </c>
      <c r="G5" s="60">
        <v>-559</v>
      </c>
      <c r="H5" s="60">
        <f t="shared" si="0"/>
        <v>-876</v>
      </c>
    </row>
    <row r="6" spans="1:8">
      <c r="B6" s="97" t="s">
        <v>1002</v>
      </c>
      <c r="C6" s="97"/>
      <c r="D6" s="97"/>
      <c r="E6" s="60">
        <v>-250</v>
      </c>
      <c r="G6" s="60">
        <v>-250</v>
      </c>
      <c r="H6" s="60">
        <f t="shared" si="0"/>
        <v>-1126</v>
      </c>
    </row>
    <row r="7" spans="1:8">
      <c r="B7" s="167" t="s">
        <v>64</v>
      </c>
      <c r="D7" s="60"/>
      <c r="E7" s="60">
        <f>D56*-1</f>
        <v>-44.99</v>
      </c>
      <c r="F7" s="60"/>
      <c r="G7" s="60">
        <f>E56*-1</f>
        <v>-44.99</v>
      </c>
      <c r="H7" s="60">
        <f t="shared" si="0"/>
        <v>-1170.99</v>
      </c>
    </row>
    <row r="8" spans="1:8">
      <c r="B8" s="167" t="s">
        <v>60</v>
      </c>
      <c r="E8" s="60">
        <f>E62</f>
        <v>-7338.2899999999991</v>
      </c>
      <c r="F8" s="60"/>
      <c r="G8" s="60">
        <v>-7338.29</v>
      </c>
      <c r="H8" s="60">
        <f t="shared" si="0"/>
        <v>-8509.2800000000007</v>
      </c>
    </row>
    <row r="9" spans="1:8">
      <c r="A9" s="154">
        <v>45173</v>
      </c>
      <c r="B9" s="167" t="s">
        <v>61</v>
      </c>
      <c r="E9" s="60">
        <f>E87</f>
        <v>-3842.66</v>
      </c>
      <c r="G9" s="60">
        <v>-3842.65</v>
      </c>
      <c r="H9" s="60">
        <f t="shared" si="0"/>
        <v>-12351.93</v>
      </c>
    </row>
    <row r="10" spans="1:8">
      <c r="A10" s="96">
        <v>45173</v>
      </c>
      <c r="B10" s="97" t="s">
        <v>1003</v>
      </c>
      <c r="C10" s="97"/>
      <c r="D10" s="97"/>
      <c r="E10" s="60">
        <v>-5375</v>
      </c>
      <c r="G10" s="60">
        <v>-5375</v>
      </c>
      <c r="H10" s="60">
        <f t="shared" si="0"/>
        <v>-17726.93</v>
      </c>
    </row>
    <row r="11" spans="1:8">
      <c r="A11" s="96"/>
      <c r="B11" s="97" t="s">
        <v>1003</v>
      </c>
      <c r="C11" s="97"/>
      <c r="D11" s="97"/>
      <c r="E11" s="60">
        <v>-2125</v>
      </c>
      <c r="G11" s="60">
        <v>-2125</v>
      </c>
      <c r="H11" s="60">
        <f t="shared" si="0"/>
        <v>-19851.93</v>
      </c>
    </row>
    <row r="12" spans="1:8">
      <c r="B12" s="97" t="s">
        <v>1004</v>
      </c>
      <c r="C12" s="97"/>
      <c r="D12" s="97"/>
      <c r="E12" s="60">
        <v>-945.08</v>
      </c>
      <c r="F12" s="152"/>
      <c r="G12" s="60">
        <v>-945.08</v>
      </c>
      <c r="H12" s="60">
        <f t="shared" si="0"/>
        <v>-20797.010000000002</v>
      </c>
    </row>
    <row r="13" spans="1:8">
      <c r="B13" s="97" t="s">
        <v>67</v>
      </c>
      <c r="C13" s="97" t="s">
        <v>315</v>
      </c>
      <c r="D13" s="97"/>
      <c r="E13" s="60">
        <v>-150</v>
      </c>
      <c r="F13" s="152"/>
      <c r="G13" s="60"/>
      <c r="H13" s="60">
        <f t="shared" si="0"/>
        <v>-20797.010000000002</v>
      </c>
    </row>
    <row r="14" spans="1:8">
      <c r="B14" s="102" t="s">
        <v>65</v>
      </c>
      <c r="C14" s="102" t="s">
        <v>315</v>
      </c>
      <c r="D14" s="102"/>
      <c r="E14" s="60">
        <v>-300</v>
      </c>
      <c r="F14" s="152"/>
      <c r="G14" s="60"/>
      <c r="H14" s="60">
        <f t="shared" si="0"/>
        <v>-20797.010000000002</v>
      </c>
    </row>
    <row r="15" spans="1:8">
      <c r="B15" s="102" t="s">
        <v>66</v>
      </c>
      <c r="C15" s="102" t="s">
        <v>315</v>
      </c>
      <c r="D15" s="102"/>
      <c r="E15" s="60">
        <v>-100</v>
      </c>
      <c r="F15" s="152"/>
      <c r="G15" s="60"/>
      <c r="H15" s="60">
        <f t="shared" si="0"/>
        <v>-20797.010000000002</v>
      </c>
    </row>
    <row r="16" spans="1:8">
      <c r="B16" t="s">
        <v>69</v>
      </c>
      <c r="E16" s="60">
        <v>-3500</v>
      </c>
      <c r="F16" s="60"/>
      <c r="G16" s="60">
        <v>-3509</v>
      </c>
      <c r="H16" s="60">
        <f t="shared" si="0"/>
        <v>-24306.010000000002</v>
      </c>
    </row>
    <row r="17" spans="1:8">
      <c r="B17" t="s">
        <v>69</v>
      </c>
      <c r="E17" s="60"/>
      <c r="F17" s="60"/>
      <c r="G17" s="60">
        <v>-3509</v>
      </c>
      <c r="H17" s="60">
        <f t="shared" si="0"/>
        <v>-27815.010000000002</v>
      </c>
    </row>
    <row r="18" spans="1:8">
      <c r="B18" t="s">
        <v>70</v>
      </c>
      <c r="E18" s="60">
        <v>-3500</v>
      </c>
      <c r="F18" s="60"/>
      <c r="G18" s="60">
        <v>-3509</v>
      </c>
      <c r="H18" s="60">
        <f t="shared" si="0"/>
        <v>-31324.010000000002</v>
      </c>
    </row>
    <row r="19" spans="1:8">
      <c r="B19" t="s">
        <v>71</v>
      </c>
      <c r="E19" s="60">
        <v>-3500</v>
      </c>
      <c r="F19" s="60"/>
      <c r="G19" s="60">
        <v>-3500</v>
      </c>
      <c r="H19" s="60">
        <f t="shared" si="0"/>
        <v>-34824.01</v>
      </c>
    </row>
    <row r="20" spans="1:8">
      <c r="E20" s="152"/>
      <c r="F20" s="60"/>
      <c r="G20" s="60"/>
      <c r="H20" s="60">
        <f t="shared" si="0"/>
        <v>-34824.01</v>
      </c>
    </row>
    <row r="21" spans="1:8">
      <c r="B21" t="s">
        <v>68</v>
      </c>
      <c r="D21" s="175">
        <v>7500</v>
      </c>
      <c r="F21" s="60">
        <v>7500</v>
      </c>
      <c r="G21" s="60"/>
      <c r="H21" s="60">
        <f t="shared" si="0"/>
        <v>-27324.010000000002</v>
      </c>
    </row>
    <row r="22" spans="1:8">
      <c r="A22" s="96">
        <v>45202</v>
      </c>
      <c r="B22" s="8" t="s">
        <v>663</v>
      </c>
      <c r="D22" s="175">
        <v>2800</v>
      </c>
      <c r="F22" s="60">
        <v>2800</v>
      </c>
      <c r="G22" s="60"/>
      <c r="H22" s="60">
        <f t="shared" si="0"/>
        <v>-24524.010000000002</v>
      </c>
    </row>
    <row r="23" spans="1:8">
      <c r="A23" s="96">
        <v>45204</v>
      </c>
      <c r="B23" s="8" t="s">
        <v>1005</v>
      </c>
      <c r="D23" s="175">
        <v>6500</v>
      </c>
      <c r="F23" s="60">
        <v>6500</v>
      </c>
      <c r="G23" s="60"/>
      <c r="H23" s="60">
        <f t="shared" si="0"/>
        <v>-18024.010000000002</v>
      </c>
    </row>
    <row r="24" spans="1:8">
      <c r="A24" s="96">
        <v>45170</v>
      </c>
      <c r="B24" s="8" t="s">
        <v>1006</v>
      </c>
      <c r="D24" s="175">
        <v>37500</v>
      </c>
      <c r="F24" s="60"/>
      <c r="G24" s="60"/>
      <c r="H24" s="60">
        <f t="shared" si="0"/>
        <v>-18024.010000000002</v>
      </c>
    </row>
    <row r="25" spans="1:8">
      <c r="A25" s="96">
        <v>45199</v>
      </c>
      <c r="B25" s="8" t="s">
        <v>429</v>
      </c>
      <c r="D25" s="175">
        <v>70000</v>
      </c>
      <c r="G25" s="60"/>
      <c r="H25" s="60">
        <f t="shared" si="0"/>
        <v>-18024.010000000002</v>
      </c>
    </row>
    <row r="26" spans="1:8">
      <c r="A26" s="96"/>
      <c r="B26" s="8" t="s">
        <v>1007</v>
      </c>
      <c r="D26" s="98"/>
      <c r="G26" s="60"/>
      <c r="H26" s="60">
        <f t="shared" si="0"/>
        <v>-18024.010000000002</v>
      </c>
    </row>
    <row r="27" spans="1:8">
      <c r="A27" s="96"/>
      <c r="B27" s="8" t="s">
        <v>1008</v>
      </c>
      <c r="D27" s="98"/>
      <c r="F27" s="60">
        <v>83000</v>
      </c>
      <c r="G27" s="60"/>
      <c r="H27" s="60">
        <f t="shared" si="0"/>
        <v>64975.99</v>
      </c>
    </row>
    <row r="28" spans="1:8">
      <c r="A28" s="96"/>
      <c r="B28" s="8" t="s">
        <v>1009</v>
      </c>
      <c r="D28" s="175">
        <v>3000</v>
      </c>
      <c r="F28">
        <v>3000</v>
      </c>
      <c r="G28" s="60"/>
      <c r="H28" s="60">
        <f t="shared" si="0"/>
        <v>67975.989999999991</v>
      </c>
    </row>
    <row r="29" spans="1:8">
      <c r="A29" s="96"/>
      <c r="B29" s="8" t="s">
        <v>1010</v>
      </c>
      <c r="G29" s="60"/>
      <c r="H29" s="60">
        <f t="shared" si="0"/>
        <v>67975.989999999991</v>
      </c>
    </row>
    <row r="30" spans="1:8">
      <c r="A30" s="154">
        <v>45171</v>
      </c>
      <c r="B30" s="8" t="s">
        <v>1011</v>
      </c>
      <c r="D30" s="98"/>
      <c r="F30" s="60">
        <v>65000</v>
      </c>
      <c r="G30" s="60"/>
      <c r="H30" s="60">
        <f t="shared" si="0"/>
        <v>132975.99</v>
      </c>
    </row>
    <row r="31" spans="1:8">
      <c r="A31" s="96">
        <v>45199</v>
      </c>
      <c r="B31" s="8" t="s">
        <v>1012</v>
      </c>
      <c r="D31" s="175">
        <v>6000</v>
      </c>
      <c r="F31">
        <v>6000</v>
      </c>
      <c r="G31" s="60"/>
      <c r="H31" s="60">
        <f t="shared" si="0"/>
        <v>138975.99</v>
      </c>
    </row>
    <row r="32" spans="1:8">
      <c r="A32" s="96"/>
      <c r="B32" s="8" t="s">
        <v>1013</v>
      </c>
      <c r="D32" s="98"/>
      <c r="G32" s="60"/>
      <c r="H32" s="60">
        <f t="shared" si="0"/>
        <v>138975.99</v>
      </c>
    </row>
    <row r="33" spans="1:8">
      <c r="A33" s="96"/>
      <c r="B33" s="8" t="s">
        <v>1014</v>
      </c>
      <c r="D33" s="98"/>
      <c r="G33" s="60"/>
      <c r="H33" s="60">
        <f t="shared" si="0"/>
        <v>138975.99</v>
      </c>
    </row>
    <row r="34" spans="1:8">
      <c r="A34" s="96"/>
      <c r="B34" s="8" t="s">
        <v>1015</v>
      </c>
      <c r="D34" s="98"/>
      <c r="G34" s="60"/>
      <c r="H34" s="60">
        <f t="shared" si="0"/>
        <v>138975.99</v>
      </c>
    </row>
    <row r="35" spans="1:8">
      <c r="A35" s="96"/>
      <c r="B35" s="8" t="s">
        <v>713</v>
      </c>
      <c r="D35" s="98"/>
      <c r="G35" s="60"/>
      <c r="H35" s="60">
        <f t="shared" si="0"/>
        <v>138975.99</v>
      </c>
    </row>
    <row r="36" spans="1:8">
      <c r="A36" s="154">
        <v>45173</v>
      </c>
      <c r="B36" s="8" t="s">
        <v>1016</v>
      </c>
      <c r="D36" s="60"/>
      <c r="F36" s="60"/>
      <c r="G36" s="60">
        <v>-90.9</v>
      </c>
      <c r="H36" s="60">
        <f t="shared" si="0"/>
        <v>138885.09</v>
      </c>
    </row>
    <row r="37" spans="1:8">
      <c r="A37" s="96">
        <v>45196</v>
      </c>
      <c r="B37" s="8" t="s">
        <v>1017</v>
      </c>
      <c r="F37" s="60">
        <v>74000</v>
      </c>
      <c r="G37" s="60"/>
      <c r="H37" s="60">
        <f t="shared" si="0"/>
        <v>212885.09</v>
      </c>
    </row>
    <row r="38" spans="1:8">
      <c r="A38" s="96">
        <v>45196</v>
      </c>
      <c r="B38" s="8" t="s">
        <v>1018</v>
      </c>
      <c r="E38" s="60"/>
      <c r="F38">
        <v>10000</v>
      </c>
      <c r="G38" s="60"/>
      <c r="H38" s="60">
        <f t="shared" si="0"/>
        <v>222885.09</v>
      </c>
    </row>
    <row r="39" spans="1:8">
      <c r="A39" s="96"/>
      <c r="E39" s="60"/>
      <c r="G39" s="60"/>
      <c r="H39" s="60">
        <f t="shared" si="0"/>
        <v>222885.09</v>
      </c>
    </row>
    <row r="40" spans="1:8">
      <c r="A40" s="96"/>
      <c r="E40" s="60"/>
      <c r="G40" s="60"/>
      <c r="H40" s="152">
        <f t="shared" si="0"/>
        <v>222885.09</v>
      </c>
    </row>
    <row r="41" spans="1:8">
      <c r="A41" s="96"/>
      <c r="E41" s="60"/>
      <c r="G41" s="60"/>
      <c r="H41" s="60"/>
    </row>
    <row r="42" spans="1:8">
      <c r="A42" s="96"/>
      <c r="E42" s="60"/>
      <c r="G42" s="60"/>
      <c r="H42" s="60"/>
    </row>
    <row r="43" spans="1:8">
      <c r="A43" s="96"/>
      <c r="E43" s="60"/>
      <c r="G43" s="60"/>
      <c r="H43" s="60"/>
    </row>
    <row r="44" spans="1:8">
      <c r="B44" t="s">
        <v>317</v>
      </c>
      <c r="E44" s="60"/>
      <c r="G44" s="60"/>
      <c r="H44" s="60"/>
    </row>
    <row r="45" spans="1:8">
      <c r="A45" s="99" t="s">
        <v>318</v>
      </c>
      <c r="B45" s="99"/>
      <c r="C45" s="99"/>
      <c r="D45" s="99"/>
      <c r="E45" s="147"/>
      <c r="G45" s="60"/>
      <c r="H45" s="60"/>
    </row>
    <row r="46" spans="1:8">
      <c r="A46" s="306"/>
      <c r="B46" s="301"/>
      <c r="C46" s="301"/>
      <c r="D46" s="301"/>
      <c r="E46" s="302"/>
      <c r="H46" s="60"/>
    </row>
    <row r="47" spans="1:8">
      <c r="A47" s="306"/>
      <c r="B47" s="301"/>
      <c r="C47" s="303"/>
      <c r="D47" s="301"/>
      <c r="E47" s="301"/>
      <c r="H47" s="60"/>
    </row>
    <row r="48" spans="1:8">
      <c r="A48" s="306"/>
      <c r="B48" s="301"/>
      <c r="C48" s="303"/>
      <c r="D48" s="301"/>
      <c r="E48" s="301"/>
      <c r="H48" s="60"/>
    </row>
    <row r="49" spans="1:8">
      <c r="A49" s="96"/>
      <c r="C49" s="160"/>
      <c r="H49" s="60"/>
    </row>
    <row r="50" spans="1:8">
      <c r="A50" s="161">
        <v>44929</v>
      </c>
      <c r="B50" s="162" t="s">
        <v>319</v>
      </c>
      <c r="C50" s="99"/>
      <c r="D50" s="190">
        <f>SUM(D51:D58)</f>
        <v>3502.0099999999998</v>
      </c>
      <c r="E50" s="190">
        <f>SUM(E51:E58)</f>
        <v>3502.0099999999998</v>
      </c>
      <c r="H50" s="60"/>
    </row>
    <row r="51" spans="1:8">
      <c r="B51" t="s">
        <v>912</v>
      </c>
      <c r="D51">
        <v>673.8</v>
      </c>
      <c r="E51" s="60">
        <v>673.8</v>
      </c>
      <c r="F51" s="60"/>
      <c r="G51" s="60"/>
    </row>
    <row r="52" spans="1:8">
      <c r="B52" t="s">
        <v>321</v>
      </c>
      <c r="D52">
        <v>1165.77</v>
      </c>
      <c r="E52" s="60">
        <v>1165.77</v>
      </c>
      <c r="F52" s="60"/>
      <c r="G52" s="60"/>
    </row>
    <row r="53" spans="1:8">
      <c r="B53" t="s">
        <v>322</v>
      </c>
      <c r="D53">
        <v>106.22</v>
      </c>
      <c r="E53">
        <v>106.22</v>
      </c>
      <c r="F53" s="60"/>
      <c r="G53" s="60"/>
    </row>
    <row r="54" spans="1:8">
      <c r="B54" t="s">
        <v>323</v>
      </c>
      <c r="D54">
        <v>1157.58</v>
      </c>
      <c r="E54">
        <v>1157.58</v>
      </c>
      <c r="F54" s="60"/>
      <c r="G54" s="60"/>
    </row>
    <row r="55" spans="1:8">
      <c r="B55" t="s">
        <v>324</v>
      </c>
      <c r="D55">
        <v>353.65</v>
      </c>
      <c r="E55">
        <v>353.65</v>
      </c>
      <c r="F55" s="60"/>
      <c r="G55" s="60"/>
    </row>
    <row r="56" spans="1:8">
      <c r="B56" t="s">
        <v>325</v>
      </c>
      <c r="D56" s="102">
        <v>44.99</v>
      </c>
      <c r="E56">
        <v>44.99</v>
      </c>
      <c r="F56" s="60"/>
      <c r="G56" s="60"/>
    </row>
    <row r="57" spans="1:8">
      <c r="C57" s="102"/>
      <c r="E57" s="102"/>
      <c r="F57" s="60"/>
      <c r="G57" s="60"/>
    </row>
    <row r="58" spans="1:8">
      <c r="C58" s="102"/>
      <c r="D58" s="102"/>
      <c r="E58" s="152"/>
      <c r="F58" s="60"/>
      <c r="G58" s="60"/>
    </row>
    <row r="60" spans="1:8">
      <c r="B60" s="14"/>
    </row>
    <row r="61" spans="1:8">
      <c r="B61" s="98"/>
    </row>
    <row r="62" spans="1:8">
      <c r="A62" s="99"/>
      <c r="B62" s="100" t="s">
        <v>75</v>
      </c>
      <c r="C62" s="99"/>
      <c r="D62" s="147"/>
      <c r="E62" s="190">
        <f>SUM(E63:E84)</f>
        <v>-7338.2899999999991</v>
      </c>
    </row>
    <row r="63" spans="1:8">
      <c r="A63" s="96"/>
      <c r="C63" s="102"/>
      <c r="D63" s="102"/>
      <c r="E63" s="152"/>
      <c r="G63" s="60"/>
      <c r="H63" s="60"/>
    </row>
    <row r="64" spans="1:8">
      <c r="A64" s="96">
        <v>44995</v>
      </c>
      <c r="B64" s="8" t="s">
        <v>763</v>
      </c>
      <c r="C64">
        <v>613.91</v>
      </c>
      <c r="D64" s="32" t="s">
        <v>1019</v>
      </c>
      <c r="E64" s="152">
        <v>-61.39</v>
      </c>
      <c r="F64" s="60"/>
      <c r="G64" s="60"/>
      <c r="H64" s="60"/>
    </row>
    <row r="65" spans="1:8">
      <c r="A65" s="96">
        <v>44995</v>
      </c>
      <c r="B65" s="8" t="s">
        <v>1020</v>
      </c>
      <c r="C65">
        <v>2258.94</v>
      </c>
      <c r="D65" s="32" t="s">
        <v>431</v>
      </c>
      <c r="E65" s="152">
        <v>-376.49</v>
      </c>
      <c r="F65" s="60"/>
      <c r="G65" s="60"/>
      <c r="H65" s="60"/>
    </row>
    <row r="66" spans="1:8">
      <c r="A66" s="96">
        <v>45043</v>
      </c>
      <c r="B66" s="102" t="s">
        <v>941</v>
      </c>
      <c r="C66" s="102">
        <v>3299</v>
      </c>
      <c r="D66" s="32" t="s">
        <v>505</v>
      </c>
      <c r="E66" s="152">
        <v>-549.83000000000004</v>
      </c>
      <c r="F66" s="60"/>
      <c r="G66" s="60"/>
      <c r="H66" s="60"/>
    </row>
    <row r="67" spans="1:8">
      <c r="A67" s="96">
        <v>45043</v>
      </c>
      <c r="B67" s="102" t="s">
        <v>715</v>
      </c>
      <c r="C67" s="102">
        <v>10764.57</v>
      </c>
      <c r="D67" s="32" t="s">
        <v>762</v>
      </c>
      <c r="E67" s="152">
        <v>-1196.06</v>
      </c>
      <c r="F67" s="60"/>
      <c r="G67" s="60"/>
      <c r="H67" s="60"/>
    </row>
    <row r="68" spans="1:8">
      <c r="A68" s="96">
        <v>45044</v>
      </c>
      <c r="B68" s="8" t="s">
        <v>943</v>
      </c>
      <c r="C68" s="102">
        <v>3123.29</v>
      </c>
      <c r="D68" s="193" t="s">
        <v>505</v>
      </c>
      <c r="E68" s="152">
        <v>-520.54999999999995</v>
      </c>
      <c r="F68" s="60"/>
      <c r="G68" s="60"/>
      <c r="H68" s="60"/>
    </row>
    <row r="69" spans="1:8">
      <c r="A69" s="96">
        <v>45078</v>
      </c>
      <c r="B69" s="102" t="s">
        <v>916</v>
      </c>
      <c r="D69" s="193" t="s">
        <v>918</v>
      </c>
      <c r="E69" s="152">
        <v>-666.67</v>
      </c>
      <c r="F69" s="60"/>
      <c r="G69" s="60"/>
      <c r="H69" s="60"/>
    </row>
    <row r="70" spans="1:8">
      <c r="A70" s="96">
        <v>45077</v>
      </c>
      <c r="B70" s="102" t="s">
        <v>974</v>
      </c>
      <c r="C70" s="102">
        <v>148.6</v>
      </c>
      <c r="D70" s="193" t="s">
        <v>1021</v>
      </c>
      <c r="E70" s="152">
        <v>-37.15</v>
      </c>
      <c r="F70" s="60"/>
      <c r="G70" s="60"/>
      <c r="H70" s="60"/>
    </row>
    <row r="71" spans="1:8">
      <c r="A71" s="96">
        <v>45077</v>
      </c>
      <c r="B71" s="102" t="s">
        <v>976</v>
      </c>
      <c r="C71" s="102">
        <v>244.8</v>
      </c>
      <c r="D71" s="193" t="s">
        <v>1021</v>
      </c>
      <c r="E71" s="152">
        <v>-61.2</v>
      </c>
      <c r="F71" s="60"/>
      <c r="G71" s="60"/>
      <c r="H71" s="60"/>
    </row>
    <row r="72" spans="1:8">
      <c r="A72" s="96">
        <v>45077</v>
      </c>
      <c r="B72" s="102" t="s">
        <v>977</v>
      </c>
      <c r="C72" s="102">
        <v>1204.5</v>
      </c>
      <c r="D72" s="193" t="s">
        <v>1021</v>
      </c>
      <c r="E72" s="152">
        <v>-301.13</v>
      </c>
      <c r="F72" s="60"/>
      <c r="G72" s="60"/>
      <c r="H72" s="60"/>
    </row>
    <row r="73" spans="1:8">
      <c r="A73" s="96">
        <v>45077</v>
      </c>
      <c r="B73" s="8" t="s">
        <v>978</v>
      </c>
      <c r="C73" s="102">
        <v>532.6</v>
      </c>
      <c r="D73" s="193" t="s">
        <v>1021</v>
      </c>
      <c r="E73" s="152">
        <v>-133.15</v>
      </c>
      <c r="F73" s="60"/>
    </row>
    <row r="74" spans="1:8">
      <c r="A74" s="96">
        <v>45139</v>
      </c>
      <c r="B74" s="102" t="s">
        <v>1022</v>
      </c>
      <c r="E74" s="152">
        <v>-260.02</v>
      </c>
    </row>
    <row r="75" spans="1:8">
      <c r="A75" s="154">
        <v>45139</v>
      </c>
      <c r="B75" s="102" t="s">
        <v>437</v>
      </c>
      <c r="E75" s="152">
        <v>-116.6</v>
      </c>
    </row>
    <row r="76" spans="1:8">
      <c r="A76" s="154">
        <v>45139</v>
      </c>
      <c r="B76" s="102" t="s">
        <v>437</v>
      </c>
      <c r="E76" s="152">
        <v>-23.75</v>
      </c>
    </row>
    <row r="77" spans="1:8">
      <c r="A77" s="154">
        <v>45140</v>
      </c>
      <c r="B77" s="102" t="s">
        <v>1023</v>
      </c>
      <c r="E77" s="152">
        <v>-600</v>
      </c>
    </row>
    <row r="78" spans="1:8">
      <c r="A78" s="154">
        <v>45147</v>
      </c>
      <c r="B78" s="102">
        <v>2240</v>
      </c>
      <c r="E78" s="152">
        <v>-165.4</v>
      </c>
    </row>
    <row r="79" spans="1:8">
      <c r="A79" s="154">
        <v>45148</v>
      </c>
      <c r="B79" s="102" t="s">
        <v>1024</v>
      </c>
      <c r="E79" s="152">
        <v>-71</v>
      </c>
    </row>
    <row r="80" spans="1:8">
      <c r="A80" s="154">
        <v>45153</v>
      </c>
      <c r="B80" s="102" t="s">
        <v>1025</v>
      </c>
      <c r="E80" s="152">
        <v>-1806</v>
      </c>
    </row>
    <row r="81" spans="1:8">
      <c r="A81" s="154">
        <v>45158</v>
      </c>
      <c r="B81" s="102" t="s">
        <v>1026</v>
      </c>
      <c r="E81" s="152">
        <v>-160.9</v>
      </c>
    </row>
    <row r="82" spans="1:8">
      <c r="A82" s="154">
        <v>45160</v>
      </c>
      <c r="B82" s="102" t="s">
        <v>1027</v>
      </c>
      <c r="D82" s="32"/>
      <c r="E82" s="152">
        <v>-231</v>
      </c>
    </row>
    <row r="83" spans="1:8" ht="15">
      <c r="A83" s="154"/>
      <c r="B83" s="102"/>
      <c r="D83" s="101" t="s">
        <v>76</v>
      </c>
      <c r="E83" s="152"/>
    </row>
    <row r="84" spans="1:8">
      <c r="A84" s="154"/>
      <c r="B84" s="102"/>
      <c r="D84" s="32"/>
      <c r="E84" s="152"/>
    </row>
    <row r="85" spans="1:8">
      <c r="A85" s="154"/>
      <c r="B85" s="102"/>
      <c r="D85" s="32"/>
      <c r="E85" s="152"/>
    </row>
    <row r="87" spans="1:8">
      <c r="A87" s="99"/>
      <c r="B87" s="100" t="s">
        <v>77</v>
      </c>
      <c r="C87" s="99"/>
      <c r="D87" s="99"/>
      <c r="E87" s="148">
        <f>SUM(E88:E108)</f>
        <v>-3842.66</v>
      </c>
    </row>
    <row r="88" spans="1:8">
      <c r="A88" s="96">
        <v>45026</v>
      </c>
      <c r="B88" s="8" t="s">
        <v>944</v>
      </c>
      <c r="C88">
        <v>1140.99</v>
      </c>
      <c r="D88" s="8" t="s">
        <v>719</v>
      </c>
      <c r="E88">
        <v>-190.17</v>
      </c>
      <c r="F88" s="60"/>
      <c r="G88" s="60"/>
      <c r="H88" s="60"/>
    </row>
    <row r="89" spans="1:8">
      <c r="A89" s="96">
        <v>45133</v>
      </c>
      <c r="B89" s="102" t="s">
        <v>1028</v>
      </c>
      <c r="C89" s="102"/>
      <c r="D89" s="102"/>
      <c r="E89" s="152">
        <v>-245</v>
      </c>
      <c r="F89" s="60"/>
      <c r="G89" s="60"/>
      <c r="H89" s="60"/>
    </row>
    <row r="90" spans="1:8">
      <c r="A90" s="96">
        <v>45134</v>
      </c>
      <c r="B90" s="102" t="s">
        <v>643</v>
      </c>
      <c r="C90" s="102"/>
      <c r="D90" s="102"/>
      <c r="E90" s="152">
        <v>-150</v>
      </c>
      <c r="F90" s="60"/>
      <c r="G90" s="60"/>
      <c r="H90" s="60"/>
    </row>
    <row r="91" spans="1:8">
      <c r="A91" s="96">
        <v>45135</v>
      </c>
      <c r="B91" s="102" t="s">
        <v>1029</v>
      </c>
      <c r="C91" s="102"/>
      <c r="D91" s="102"/>
      <c r="E91" s="152">
        <v>-555.87</v>
      </c>
      <c r="F91" s="60"/>
      <c r="G91" s="60"/>
      <c r="H91" s="60"/>
    </row>
    <row r="92" spans="1:8">
      <c r="A92" s="96">
        <v>45135</v>
      </c>
      <c r="B92" s="102" t="s">
        <v>1030</v>
      </c>
      <c r="C92" s="102"/>
      <c r="D92" s="102"/>
      <c r="E92" s="152">
        <v>-328</v>
      </c>
      <c r="F92" s="60"/>
      <c r="G92" s="60"/>
      <c r="H92" s="60"/>
    </row>
    <row r="93" spans="1:8">
      <c r="A93" s="96">
        <v>45136</v>
      </c>
      <c r="B93" s="103" t="s">
        <v>119</v>
      </c>
      <c r="E93" s="152">
        <v>-42.15</v>
      </c>
      <c r="F93" s="60"/>
    </row>
    <row r="94" spans="1:8">
      <c r="A94" s="96">
        <v>45136</v>
      </c>
      <c r="B94" s="8" t="s">
        <v>1031</v>
      </c>
      <c r="E94">
        <v>-400</v>
      </c>
      <c r="F94" s="60"/>
    </row>
    <row r="95" spans="1:8">
      <c r="A95" s="96">
        <v>45136</v>
      </c>
      <c r="B95" s="8" t="s">
        <v>1032</v>
      </c>
      <c r="E95">
        <v>-266</v>
      </c>
      <c r="F95" s="60"/>
    </row>
    <row r="96" spans="1:8">
      <c r="A96" s="96">
        <v>45199</v>
      </c>
      <c r="B96" s="8" t="s">
        <v>1033</v>
      </c>
      <c r="E96">
        <v>-489.97</v>
      </c>
      <c r="F96" s="60"/>
    </row>
    <row r="97" spans="1:6">
      <c r="A97" s="96">
        <v>45139</v>
      </c>
      <c r="B97" s="8" t="s">
        <v>121</v>
      </c>
      <c r="C97">
        <v>6556.63</v>
      </c>
    </row>
    <row r="98" spans="1:6">
      <c r="E98">
        <v>-156.47999999999999</v>
      </c>
    </row>
    <row r="99" spans="1:6">
      <c r="A99" s="154">
        <v>45141</v>
      </c>
      <c r="B99" s="8" t="s">
        <v>945</v>
      </c>
      <c r="D99" s="32" t="s">
        <v>1034</v>
      </c>
      <c r="E99">
        <v>-181.83</v>
      </c>
    </row>
    <row r="100" spans="1:6">
      <c r="A100" s="154">
        <v>45141</v>
      </c>
      <c r="B100" s="8" t="s">
        <v>126</v>
      </c>
      <c r="D100" s="32"/>
      <c r="E100">
        <v>-150</v>
      </c>
    </row>
    <row r="101" spans="1:6">
      <c r="A101" s="154">
        <v>45143</v>
      </c>
      <c r="B101" s="8" t="s">
        <v>126</v>
      </c>
      <c r="E101">
        <v>-150</v>
      </c>
    </row>
    <row r="102" spans="1:6">
      <c r="A102" s="154">
        <v>45143</v>
      </c>
      <c r="B102" s="8" t="s">
        <v>119</v>
      </c>
      <c r="E102">
        <v>-337.19</v>
      </c>
    </row>
    <row r="103" spans="1:6">
      <c r="A103" s="154">
        <v>45161</v>
      </c>
      <c r="B103" s="8" t="s">
        <v>126</v>
      </c>
      <c r="E103">
        <v>-200</v>
      </c>
    </row>
    <row r="104" spans="1:6" ht="15">
      <c r="D104" s="101" t="s">
        <v>76</v>
      </c>
    </row>
    <row r="111" spans="1:6">
      <c r="A111" s="109" t="s">
        <v>1035</v>
      </c>
      <c r="B111" s="100" t="s">
        <v>128</v>
      </c>
      <c r="C111" s="99">
        <v>2023</v>
      </c>
      <c r="D111" s="147"/>
      <c r="E111" s="148">
        <f>SUM(E112:E120)</f>
        <v>604370.1</v>
      </c>
    </row>
    <row r="112" spans="1:6">
      <c r="A112" s="96">
        <v>45169</v>
      </c>
      <c r="B112" s="8" t="s">
        <v>69</v>
      </c>
      <c r="C112" s="2"/>
      <c r="D112" s="2"/>
      <c r="E112" s="14">
        <v>64000</v>
      </c>
      <c r="F112">
        <v>0</v>
      </c>
    </row>
    <row r="113" spans="1:6">
      <c r="A113" s="96">
        <v>45169</v>
      </c>
      <c r="B113" s="8" t="s">
        <v>1036</v>
      </c>
      <c r="C113" s="2"/>
      <c r="D113" s="2"/>
      <c r="E113" s="14">
        <v>63088</v>
      </c>
      <c r="F113">
        <v>0</v>
      </c>
    </row>
    <row r="114" spans="1:6">
      <c r="A114" s="96">
        <v>45169</v>
      </c>
      <c r="B114" s="8" t="s">
        <v>292</v>
      </c>
      <c r="C114" s="2"/>
      <c r="D114" s="2"/>
      <c r="E114" s="14">
        <v>126493.51</v>
      </c>
      <c r="F114">
        <v>0</v>
      </c>
    </row>
    <row r="115" spans="1:6">
      <c r="A115" s="96">
        <v>45169</v>
      </c>
      <c r="B115" s="8" t="s">
        <v>293</v>
      </c>
      <c r="C115" s="2"/>
      <c r="D115" s="2"/>
      <c r="E115" s="14">
        <v>359.59</v>
      </c>
      <c r="F115">
        <v>0</v>
      </c>
    </row>
    <row r="116" spans="1:6">
      <c r="A116" s="96">
        <v>45169</v>
      </c>
      <c r="B116" s="8" t="s">
        <v>997</v>
      </c>
      <c r="C116" s="2">
        <v>1573</v>
      </c>
      <c r="D116" s="2">
        <v>111</v>
      </c>
      <c r="E116" s="14">
        <f>D116*C116</f>
        <v>174603</v>
      </c>
      <c r="F116">
        <v>0</v>
      </c>
    </row>
    <row r="117" spans="1:6">
      <c r="A117" s="96">
        <v>45169</v>
      </c>
      <c r="B117" s="8" t="s">
        <v>999</v>
      </c>
      <c r="C117" s="151">
        <v>26.76</v>
      </c>
      <c r="D117" s="2">
        <v>850</v>
      </c>
      <c r="E117" s="14">
        <f>D117*C117</f>
        <v>22746</v>
      </c>
      <c r="F117">
        <v>0</v>
      </c>
    </row>
    <row r="118" spans="1:6">
      <c r="A118" s="96">
        <v>45169</v>
      </c>
      <c r="B118" s="8" t="s">
        <v>1000</v>
      </c>
      <c r="C118" s="151">
        <v>28.3</v>
      </c>
      <c r="D118" s="2">
        <v>100</v>
      </c>
      <c r="E118" s="14">
        <f>D118*C118</f>
        <v>2830</v>
      </c>
      <c r="F118">
        <v>0</v>
      </c>
    </row>
    <row r="119" spans="1:6">
      <c r="A119" s="96">
        <v>45192</v>
      </c>
      <c r="B119" s="8" t="s">
        <v>144</v>
      </c>
      <c r="C119" s="2"/>
      <c r="D119" s="2"/>
      <c r="E119" s="14">
        <v>146650</v>
      </c>
      <c r="F119">
        <v>0</v>
      </c>
    </row>
    <row r="120" spans="1:6">
      <c r="A120" s="96">
        <v>45192</v>
      </c>
      <c r="B120" s="8" t="s">
        <v>145</v>
      </c>
      <c r="C120" s="2"/>
      <c r="D120" s="2"/>
      <c r="E120" s="14">
        <v>3600</v>
      </c>
    </row>
    <row r="121" spans="1:6">
      <c r="C121" s="3" t="str">
        <f>A111</f>
        <v>EYLÜL</v>
      </c>
      <c r="D121" s="15" t="s">
        <v>148</v>
      </c>
      <c r="E121" s="152">
        <f>H40</f>
        <v>222885.09</v>
      </c>
    </row>
    <row r="122" spans="1:6">
      <c r="D122" s="3"/>
    </row>
    <row r="123" spans="1:6">
      <c r="D123" s="15" t="s">
        <v>147</v>
      </c>
      <c r="E123" s="9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95511"/>
  </sheetPr>
  <dimension ref="A1:H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1037</v>
      </c>
      <c r="C2" s="76" t="s">
        <v>59</v>
      </c>
      <c r="D2" s="295">
        <f>SUM(D4:D30)</f>
        <v>87911</v>
      </c>
      <c r="E2" s="295">
        <f>SUM(E4:E29)</f>
        <v>-32079.01</v>
      </c>
      <c r="F2" s="295">
        <f>SUM(F4:F31)</f>
        <v>16800</v>
      </c>
      <c r="G2" s="295">
        <f>SUM(G4:G31)</f>
        <v>-37135.350000000006</v>
      </c>
      <c r="H2" s="295">
        <f>F2+G2</f>
        <v>-20335.350000000006</v>
      </c>
    </row>
    <row r="3" spans="1:8">
      <c r="B3" s="15"/>
      <c r="H3" s="60"/>
    </row>
    <row r="4" spans="1:8">
      <c r="A4" s="154">
        <v>45141</v>
      </c>
      <c r="B4" s="97" t="s">
        <v>72</v>
      </c>
      <c r="C4" s="97"/>
      <c r="D4" s="97"/>
      <c r="E4" s="60">
        <v>-400</v>
      </c>
      <c r="G4" s="60">
        <v>-311</v>
      </c>
      <c r="H4" s="60">
        <f t="shared" ref="H4:H28" si="0">H3+F4+G4</f>
        <v>-311</v>
      </c>
    </row>
    <row r="5" spans="1:8">
      <c r="A5" s="154">
        <v>45141</v>
      </c>
      <c r="B5" s="97" t="s">
        <v>73</v>
      </c>
      <c r="C5" s="97"/>
      <c r="D5" s="97"/>
      <c r="E5" s="60">
        <v>-500</v>
      </c>
      <c r="G5" s="60">
        <v>-520</v>
      </c>
      <c r="H5" s="60">
        <f t="shared" si="0"/>
        <v>-831</v>
      </c>
    </row>
    <row r="6" spans="1:8">
      <c r="B6" s="97" t="s">
        <v>1038</v>
      </c>
      <c r="C6" s="97"/>
      <c r="D6" s="97"/>
      <c r="E6" s="60">
        <v>-250</v>
      </c>
      <c r="G6" s="60">
        <v>-250</v>
      </c>
      <c r="H6" s="60">
        <f t="shared" si="0"/>
        <v>-1081</v>
      </c>
    </row>
    <row r="7" spans="1:8">
      <c r="B7" s="167" t="s">
        <v>64</v>
      </c>
      <c r="D7" s="60">
        <f>D37</f>
        <v>0</v>
      </c>
      <c r="E7" s="2"/>
      <c r="F7" s="60">
        <f>E37</f>
        <v>0</v>
      </c>
      <c r="G7" s="60"/>
      <c r="H7" s="60">
        <f t="shared" si="0"/>
        <v>-1081</v>
      </c>
    </row>
    <row r="8" spans="1:8">
      <c r="B8" s="167" t="s">
        <v>60</v>
      </c>
      <c r="E8" s="60">
        <f>E49</f>
        <v>-5147.6399999999985</v>
      </c>
      <c r="F8" s="60"/>
      <c r="G8" s="60">
        <v>-5147.6400000000003</v>
      </c>
      <c r="H8" s="60">
        <f t="shared" si="0"/>
        <v>-6228.64</v>
      </c>
    </row>
    <row r="9" spans="1:8">
      <c r="B9" s="167" t="s">
        <v>61</v>
      </c>
      <c r="E9" s="60">
        <f>E67</f>
        <v>-6556.6299999999992</v>
      </c>
      <c r="G9" s="60">
        <v>-6556.63</v>
      </c>
      <c r="H9" s="60">
        <f t="shared" si="0"/>
        <v>-12785.27</v>
      </c>
    </row>
    <row r="10" spans="1:8">
      <c r="A10" s="96">
        <v>45139</v>
      </c>
      <c r="B10" s="97" t="s">
        <v>1039</v>
      </c>
      <c r="C10" s="97"/>
      <c r="D10" s="97"/>
      <c r="E10" s="60">
        <v>-5375</v>
      </c>
      <c r="G10" s="60">
        <v>-5375</v>
      </c>
      <c r="H10" s="60">
        <f t="shared" si="0"/>
        <v>-18160.27</v>
      </c>
    </row>
    <row r="11" spans="1:8">
      <c r="A11" s="96">
        <v>45139</v>
      </c>
      <c r="B11" s="97" t="s">
        <v>1039</v>
      </c>
      <c r="C11" s="97"/>
      <c r="D11" s="97"/>
      <c r="E11" s="60">
        <v>-2125</v>
      </c>
      <c r="G11" s="60">
        <v>-2125</v>
      </c>
      <c r="H11" s="60">
        <f t="shared" si="0"/>
        <v>-20285.27</v>
      </c>
    </row>
    <row r="12" spans="1:8">
      <c r="B12" s="97" t="s">
        <v>1040</v>
      </c>
      <c r="C12" s="97"/>
      <c r="D12" s="97"/>
      <c r="E12" s="60">
        <v>-674.74</v>
      </c>
      <c r="F12" s="152"/>
      <c r="G12" s="60">
        <v>-945.08</v>
      </c>
      <c r="H12" s="60">
        <f t="shared" si="0"/>
        <v>-21230.350000000002</v>
      </c>
    </row>
    <row r="13" spans="1:8">
      <c r="B13" s="97" t="s">
        <v>67</v>
      </c>
      <c r="C13" s="97" t="s">
        <v>315</v>
      </c>
      <c r="D13" s="97"/>
      <c r="E13" s="60">
        <v>-150</v>
      </c>
      <c r="F13" s="152"/>
      <c r="G13" s="60">
        <v>0</v>
      </c>
      <c r="H13" s="60">
        <f t="shared" si="0"/>
        <v>-21230.350000000002</v>
      </c>
    </row>
    <row r="14" spans="1:8">
      <c r="B14" s="102" t="s">
        <v>65</v>
      </c>
      <c r="C14" s="102" t="s">
        <v>315</v>
      </c>
      <c r="D14" s="102"/>
      <c r="E14" s="60">
        <v>-300</v>
      </c>
      <c r="F14" s="152"/>
      <c r="G14" s="60">
        <v>0</v>
      </c>
      <c r="H14" s="60">
        <f t="shared" si="0"/>
        <v>-21230.350000000002</v>
      </c>
    </row>
    <row r="15" spans="1:8">
      <c r="B15" s="102" t="s">
        <v>66</v>
      </c>
      <c r="C15" s="102" t="s">
        <v>315</v>
      </c>
      <c r="D15" s="102"/>
      <c r="E15" s="60">
        <v>-100</v>
      </c>
      <c r="F15" s="152"/>
      <c r="G15" s="60">
        <v>0</v>
      </c>
      <c r="H15" s="60">
        <f t="shared" si="0"/>
        <v>-21230.350000000002</v>
      </c>
    </row>
    <row r="16" spans="1:8">
      <c r="A16" s="154">
        <v>45152</v>
      </c>
      <c r="B16" s="97" t="s">
        <v>447</v>
      </c>
      <c r="G16" s="60">
        <v>-139</v>
      </c>
      <c r="H16" s="60">
        <f t="shared" si="0"/>
        <v>-21369.350000000002</v>
      </c>
    </row>
    <row r="17" spans="1:8">
      <c r="H17" s="60">
        <f t="shared" si="0"/>
        <v>-21369.350000000002</v>
      </c>
    </row>
    <row r="18" spans="1:8">
      <c r="B18" t="s">
        <v>69</v>
      </c>
      <c r="E18" s="60">
        <v>-3500</v>
      </c>
      <c r="F18" s="60"/>
      <c r="G18" s="60">
        <v>-3508</v>
      </c>
      <c r="H18" s="60">
        <f t="shared" si="0"/>
        <v>-24877.350000000002</v>
      </c>
    </row>
    <row r="19" spans="1:8">
      <c r="B19" t="s">
        <v>70</v>
      </c>
      <c r="E19" s="60">
        <v>-3500</v>
      </c>
      <c r="F19" s="60"/>
      <c r="G19" s="60">
        <v>-3508</v>
      </c>
      <c r="H19" s="60">
        <f t="shared" si="0"/>
        <v>-28385.350000000002</v>
      </c>
    </row>
    <row r="20" spans="1:8">
      <c r="B20" t="s">
        <v>71</v>
      </c>
      <c r="E20" s="60">
        <v>-3500</v>
      </c>
      <c r="F20" s="60"/>
      <c r="G20" s="60">
        <v>-3500</v>
      </c>
      <c r="H20" s="60">
        <f t="shared" si="0"/>
        <v>-31885.350000000002</v>
      </c>
    </row>
    <row r="21" spans="1:8">
      <c r="B21" t="s">
        <v>2</v>
      </c>
      <c r="D21">
        <v>1111</v>
      </c>
      <c r="E21" s="152"/>
      <c r="F21" s="60"/>
      <c r="G21" s="60"/>
      <c r="H21" s="60">
        <f t="shared" si="0"/>
        <v>-31885.350000000002</v>
      </c>
    </row>
    <row r="22" spans="1:8">
      <c r="B22" t="s">
        <v>68</v>
      </c>
      <c r="D22" s="175">
        <v>7500</v>
      </c>
      <c r="F22" s="60">
        <v>7500</v>
      </c>
      <c r="G22" s="60"/>
      <c r="H22" s="60">
        <f t="shared" si="0"/>
        <v>-24385.350000000002</v>
      </c>
    </row>
    <row r="23" spans="1:8">
      <c r="B23" t="s">
        <v>663</v>
      </c>
      <c r="D23" s="175">
        <v>2800</v>
      </c>
      <c r="F23" s="60">
        <v>2800</v>
      </c>
      <c r="G23" s="60"/>
      <c r="H23" s="60">
        <f t="shared" si="0"/>
        <v>-21585.350000000002</v>
      </c>
    </row>
    <row r="24" spans="1:8">
      <c r="B24" t="s">
        <v>1041</v>
      </c>
      <c r="D24" s="175">
        <v>6500</v>
      </c>
      <c r="F24" s="60">
        <v>6500</v>
      </c>
      <c r="G24" s="60"/>
      <c r="H24" s="60">
        <f t="shared" si="0"/>
        <v>-15085.350000000002</v>
      </c>
    </row>
    <row r="25" spans="1:8">
      <c r="A25" s="96">
        <v>45167</v>
      </c>
      <c r="B25" s="8" t="s">
        <v>1042</v>
      </c>
      <c r="D25" s="98"/>
      <c r="F25" s="60"/>
      <c r="G25" s="60"/>
      <c r="H25" s="60">
        <f t="shared" si="0"/>
        <v>-15085.350000000002</v>
      </c>
    </row>
    <row r="26" spans="1:8">
      <c r="B26" t="s">
        <v>1043</v>
      </c>
      <c r="D26" s="98"/>
      <c r="F26" s="60"/>
      <c r="G26" s="60"/>
      <c r="H26" s="60">
        <f t="shared" si="0"/>
        <v>-15085.350000000002</v>
      </c>
    </row>
    <row r="27" spans="1:8">
      <c r="A27" s="96"/>
      <c r="B27" s="8" t="s">
        <v>1044</v>
      </c>
      <c r="D27" s="175">
        <v>70000</v>
      </c>
      <c r="G27" s="60"/>
      <c r="H27" s="60">
        <f t="shared" si="0"/>
        <v>-15085.350000000002</v>
      </c>
    </row>
    <row r="28" spans="1:8">
      <c r="B28" t="s">
        <v>1045</v>
      </c>
      <c r="D28" s="98"/>
      <c r="F28" s="60"/>
      <c r="G28" s="60">
        <v>-5250</v>
      </c>
      <c r="H28" s="60">
        <f t="shared" si="0"/>
        <v>-20335.350000000002</v>
      </c>
    </row>
    <row r="29" spans="1:8" ht="15.75">
      <c r="B29" s="168"/>
      <c r="F29" s="60"/>
      <c r="G29" s="60"/>
      <c r="H29" s="60"/>
    </row>
    <row r="30" spans="1:8">
      <c r="E30" s="60"/>
      <c r="G30" s="60"/>
      <c r="H30" s="60"/>
    </row>
    <row r="31" spans="1:8">
      <c r="B31" t="s">
        <v>317</v>
      </c>
      <c r="E31" s="60"/>
      <c r="G31" s="60"/>
      <c r="H31" s="60"/>
    </row>
    <row r="32" spans="1:8">
      <c r="A32" s="99" t="s">
        <v>318</v>
      </c>
      <c r="B32" s="99"/>
      <c r="C32" s="99"/>
      <c r="D32" s="99"/>
      <c r="E32" s="147"/>
      <c r="G32" s="60"/>
      <c r="H32" s="60"/>
    </row>
    <row r="33" spans="1:8">
      <c r="A33" s="306"/>
      <c r="B33" s="301"/>
      <c r="C33" s="301"/>
      <c r="D33" s="301"/>
      <c r="E33" s="302"/>
      <c r="H33" s="60"/>
    </row>
    <row r="34" spans="1:8">
      <c r="A34" s="306"/>
      <c r="B34" s="301"/>
      <c r="C34" s="303"/>
      <c r="D34" s="301"/>
      <c r="E34" s="301"/>
      <c r="H34" s="60"/>
    </row>
    <row r="35" spans="1:8">
      <c r="A35" s="306"/>
      <c r="B35" s="301"/>
      <c r="C35" s="303"/>
      <c r="D35" s="301"/>
      <c r="E35" s="301"/>
      <c r="H35" s="60"/>
    </row>
    <row r="36" spans="1:8">
      <c r="A36" s="96"/>
      <c r="C36" s="160"/>
      <c r="H36" s="60"/>
    </row>
    <row r="37" spans="1:8">
      <c r="A37" s="161">
        <v>44929</v>
      </c>
      <c r="B37" s="162" t="s">
        <v>319</v>
      </c>
      <c r="C37" s="99"/>
      <c r="D37" s="190">
        <f>SUM(D38:D45)</f>
        <v>0</v>
      </c>
      <c r="E37" s="190">
        <f>SUM(E38:E45)</f>
        <v>0</v>
      </c>
      <c r="H37" s="60"/>
    </row>
    <row r="38" spans="1:8">
      <c r="B38" t="s">
        <v>912</v>
      </c>
      <c r="E38" s="60"/>
      <c r="F38" s="60"/>
      <c r="G38" s="60"/>
    </row>
    <row r="39" spans="1:8">
      <c r="B39" t="s">
        <v>321</v>
      </c>
      <c r="E39" s="60"/>
      <c r="F39" s="60"/>
      <c r="G39" s="60"/>
    </row>
    <row r="40" spans="1:8">
      <c r="B40" t="s">
        <v>322</v>
      </c>
      <c r="F40" s="60"/>
      <c r="G40" s="60"/>
    </row>
    <row r="41" spans="1:8">
      <c r="B41" t="s">
        <v>323</v>
      </c>
      <c r="F41" s="60"/>
      <c r="G41" s="60"/>
    </row>
    <row r="42" spans="1:8">
      <c r="B42" t="s">
        <v>324</v>
      </c>
      <c r="F42" s="60"/>
      <c r="G42" s="60"/>
    </row>
    <row r="43" spans="1:8">
      <c r="B43" t="s">
        <v>325</v>
      </c>
      <c r="C43" s="102"/>
      <c r="D43" s="102"/>
      <c r="F43" s="60"/>
      <c r="G43" s="60"/>
    </row>
    <row r="44" spans="1:8">
      <c r="C44" s="102"/>
      <c r="E44" s="102"/>
      <c r="F44" s="60"/>
      <c r="G44" s="60"/>
    </row>
    <row r="45" spans="1:8">
      <c r="C45" s="102"/>
      <c r="D45" s="102"/>
      <c r="E45" s="152"/>
      <c r="F45" s="60"/>
      <c r="G45" s="60"/>
    </row>
    <row r="47" spans="1:8">
      <c r="B47" s="14"/>
    </row>
    <row r="48" spans="1:8">
      <c r="B48" s="98"/>
    </row>
    <row r="49" spans="1:8">
      <c r="A49" s="99"/>
      <c r="B49" s="100" t="s">
        <v>75</v>
      </c>
      <c r="C49" s="99"/>
      <c r="D49" s="147"/>
      <c r="E49" s="148">
        <f>SUM(E50:E64)</f>
        <v>-5147.6399999999985</v>
      </c>
    </row>
    <row r="50" spans="1:8">
      <c r="A50" s="96">
        <v>44873</v>
      </c>
      <c r="B50" s="8" t="s">
        <v>1046</v>
      </c>
      <c r="C50" s="102"/>
      <c r="D50" s="102" t="s">
        <v>716</v>
      </c>
      <c r="E50" s="152">
        <v>-1111.1199999999999</v>
      </c>
      <c r="G50" s="60"/>
      <c r="H50" s="60"/>
    </row>
    <row r="51" spans="1:8">
      <c r="A51" s="96">
        <v>44995</v>
      </c>
      <c r="B51" s="8" t="s">
        <v>763</v>
      </c>
      <c r="C51">
        <v>613.91</v>
      </c>
      <c r="D51" s="32" t="s">
        <v>1047</v>
      </c>
      <c r="E51" s="152">
        <v>-61.39</v>
      </c>
      <c r="F51" s="60"/>
      <c r="G51" s="60"/>
      <c r="H51" s="60"/>
    </row>
    <row r="52" spans="1:8">
      <c r="A52" s="96">
        <v>44995</v>
      </c>
      <c r="B52" s="8" t="s">
        <v>1020</v>
      </c>
      <c r="C52">
        <v>2258.94</v>
      </c>
      <c r="D52" s="32" t="s">
        <v>462</v>
      </c>
      <c r="E52" s="152">
        <v>-376.49</v>
      </c>
      <c r="F52" s="60"/>
      <c r="G52" s="60"/>
      <c r="H52" s="60"/>
    </row>
    <row r="53" spans="1:8">
      <c r="A53" s="96">
        <v>45043</v>
      </c>
      <c r="B53" s="102" t="s">
        <v>941</v>
      </c>
      <c r="C53" s="102">
        <v>3299</v>
      </c>
      <c r="D53" s="32" t="s">
        <v>918</v>
      </c>
      <c r="E53" s="152">
        <v>-549.83000000000004</v>
      </c>
      <c r="F53" s="60"/>
      <c r="G53" s="60"/>
      <c r="H53" s="60"/>
    </row>
    <row r="54" spans="1:8">
      <c r="A54" s="96">
        <v>45043</v>
      </c>
      <c r="B54" s="102" t="s">
        <v>715</v>
      </c>
      <c r="C54" s="102">
        <v>10764.57</v>
      </c>
      <c r="D54" s="32" t="s">
        <v>917</v>
      </c>
      <c r="E54" s="152">
        <v>-1196.06</v>
      </c>
      <c r="F54" s="60"/>
      <c r="G54" s="60"/>
      <c r="H54" s="60"/>
    </row>
    <row r="55" spans="1:8">
      <c r="A55" s="96">
        <v>45044</v>
      </c>
      <c r="B55" s="8" t="s">
        <v>943</v>
      </c>
      <c r="C55" s="102">
        <v>3123.29</v>
      </c>
      <c r="D55" s="193" t="s">
        <v>918</v>
      </c>
      <c r="E55" s="152">
        <v>-520.54999999999995</v>
      </c>
      <c r="F55" s="60"/>
      <c r="G55" s="60"/>
      <c r="H55" s="60"/>
    </row>
    <row r="56" spans="1:8">
      <c r="A56" s="96">
        <v>45078</v>
      </c>
      <c r="B56" s="102" t="s">
        <v>916</v>
      </c>
      <c r="D56" s="193" t="s">
        <v>597</v>
      </c>
      <c r="E56" s="152">
        <v>-666.67</v>
      </c>
      <c r="F56" s="60"/>
      <c r="G56" s="60"/>
      <c r="H56" s="60"/>
    </row>
    <row r="57" spans="1:8">
      <c r="A57" s="96">
        <v>45077</v>
      </c>
      <c r="B57" s="102" t="s">
        <v>974</v>
      </c>
      <c r="C57" s="102">
        <v>148.6</v>
      </c>
      <c r="D57" s="193" t="s">
        <v>1048</v>
      </c>
      <c r="E57" s="152">
        <v>-37.15</v>
      </c>
      <c r="F57" s="60"/>
      <c r="G57" s="60"/>
      <c r="H57" s="60"/>
    </row>
    <row r="58" spans="1:8">
      <c r="A58" s="96">
        <v>45077</v>
      </c>
      <c r="B58" s="102" t="s">
        <v>976</v>
      </c>
      <c r="C58" s="102">
        <v>244.8</v>
      </c>
      <c r="D58" s="193" t="s">
        <v>1048</v>
      </c>
      <c r="E58" s="152">
        <v>-61.2</v>
      </c>
      <c r="F58" s="60"/>
      <c r="G58" s="60"/>
      <c r="H58" s="60"/>
    </row>
    <row r="59" spans="1:8">
      <c r="A59" s="96">
        <v>45077</v>
      </c>
      <c r="B59" s="102" t="s">
        <v>977</v>
      </c>
      <c r="C59" s="102">
        <v>1204.5</v>
      </c>
      <c r="D59" s="193" t="s">
        <v>1048</v>
      </c>
      <c r="E59" s="152">
        <v>-301.13</v>
      </c>
      <c r="F59" s="60"/>
      <c r="G59" s="60"/>
      <c r="H59" s="60"/>
    </row>
    <row r="60" spans="1:8">
      <c r="A60" s="96">
        <v>45077</v>
      </c>
      <c r="B60" s="8" t="s">
        <v>978</v>
      </c>
      <c r="C60" s="102">
        <v>532.6</v>
      </c>
      <c r="D60" s="193" t="s">
        <v>1048</v>
      </c>
      <c r="E60" s="152">
        <v>-133.15</v>
      </c>
      <c r="F60" s="60"/>
      <c r="G60" s="60"/>
      <c r="H60" s="60"/>
    </row>
    <row r="61" spans="1:8">
      <c r="A61" s="96"/>
      <c r="C61" s="102"/>
      <c r="D61" s="102"/>
      <c r="E61" s="152"/>
      <c r="F61" s="60"/>
      <c r="G61" s="60"/>
      <c r="H61" s="60"/>
    </row>
    <row r="62" spans="1:8">
      <c r="A62" s="96">
        <v>45112</v>
      </c>
      <c r="B62" s="8" t="s">
        <v>1049</v>
      </c>
      <c r="E62" s="152">
        <v>-132.9</v>
      </c>
    </row>
    <row r="63" spans="1:8">
      <c r="A63" s="96"/>
      <c r="D63" s="3" t="s">
        <v>76</v>
      </c>
      <c r="E63" s="152"/>
    </row>
    <row r="65" spans="1:8">
      <c r="D65" s="32"/>
    </row>
    <row r="67" spans="1:8">
      <c r="A67" s="99"/>
      <c r="B67" s="100" t="s">
        <v>77</v>
      </c>
      <c r="C67" s="99"/>
      <c r="D67" s="99"/>
      <c r="E67" s="148">
        <f>SUM(E68:E91)</f>
        <v>-6556.6299999999992</v>
      </c>
    </row>
    <row r="68" spans="1:8">
      <c r="A68" s="96">
        <v>45026</v>
      </c>
      <c r="B68" s="8" t="s">
        <v>944</v>
      </c>
      <c r="C68">
        <v>1140.99</v>
      </c>
      <c r="D68" s="8" t="s">
        <v>1050</v>
      </c>
      <c r="E68">
        <v>-190.17</v>
      </c>
      <c r="F68" s="60"/>
      <c r="G68" s="60"/>
      <c r="H68" s="60"/>
    </row>
    <row r="69" spans="1:8">
      <c r="A69" s="96">
        <v>45105</v>
      </c>
      <c r="B69" s="307" t="s">
        <v>1051</v>
      </c>
      <c r="C69" s="102"/>
      <c r="D69" s="102"/>
      <c r="E69" s="152">
        <v>-27.99</v>
      </c>
      <c r="F69" s="60"/>
      <c r="G69" s="60"/>
      <c r="H69" s="60"/>
    </row>
    <row r="70" spans="1:8">
      <c r="A70" s="96">
        <v>45107</v>
      </c>
      <c r="B70" s="307" t="s">
        <v>1052</v>
      </c>
      <c r="C70" s="102"/>
      <c r="D70" s="102"/>
      <c r="E70" s="152">
        <v>-900</v>
      </c>
      <c r="F70" s="60"/>
      <c r="G70" s="60"/>
      <c r="H70" s="60"/>
    </row>
    <row r="71" spans="1:8">
      <c r="A71" s="96">
        <v>45108</v>
      </c>
      <c r="B71" s="307" t="s">
        <v>1053</v>
      </c>
      <c r="C71" s="102"/>
      <c r="D71" s="102"/>
      <c r="E71" s="152">
        <v>-207.59</v>
      </c>
      <c r="F71" s="60"/>
      <c r="G71" s="60"/>
      <c r="H71" s="60"/>
    </row>
    <row r="72" spans="1:8">
      <c r="A72" s="96">
        <v>45111</v>
      </c>
      <c r="B72" s="102" t="s">
        <v>1054</v>
      </c>
      <c r="C72" s="102">
        <v>3730.59</v>
      </c>
      <c r="D72" s="102"/>
      <c r="E72" s="152"/>
      <c r="F72" s="60"/>
      <c r="G72" s="60"/>
      <c r="H72" s="60"/>
    </row>
    <row r="73" spans="1:8">
      <c r="A73" s="96">
        <v>45113</v>
      </c>
      <c r="B73" s="103" t="s">
        <v>121</v>
      </c>
      <c r="C73" s="64">
        <v>5595.88</v>
      </c>
      <c r="E73" s="152"/>
    </row>
    <row r="74" spans="1:8">
      <c r="C74" s="3">
        <f>SUM(C72:C73)</f>
        <v>9326.4700000000012</v>
      </c>
    </row>
    <row r="75" spans="1:8">
      <c r="A75" s="96">
        <v>45115</v>
      </c>
      <c r="B75" s="8" t="s">
        <v>124</v>
      </c>
      <c r="E75">
        <v>-1356.36</v>
      </c>
    </row>
    <row r="76" spans="1:8">
      <c r="A76" s="96">
        <v>45115</v>
      </c>
      <c r="B76" s="8" t="s">
        <v>124</v>
      </c>
      <c r="E76">
        <v>-1120</v>
      </c>
    </row>
    <row r="77" spans="1:8">
      <c r="B77" t="s">
        <v>1055</v>
      </c>
    </row>
    <row r="78" spans="1:8">
      <c r="A78" s="96">
        <v>45116</v>
      </c>
      <c r="B78" s="8" t="s">
        <v>1056</v>
      </c>
      <c r="E78">
        <v>-437</v>
      </c>
    </row>
    <row r="79" spans="1:8">
      <c r="A79" s="96">
        <v>45116</v>
      </c>
      <c r="B79" s="8" t="s">
        <v>124</v>
      </c>
      <c r="D79" s="32"/>
      <c r="E79">
        <v>-863</v>
      </c>
    </row>
    <row r="80" spans="1:8">
      <c r="A80" s="96">
        <v>45119</v>
      </c>
      <c r="B80" s="8" t="s">
        <v>401</v>
      </c>
      <c r="D80" s="32"/>
      <c r="E80">
        <v>-146.88999999999999</v>
      </c>
    </row>
    <row r="81" spans="1:5">
      <c r="A81" s="96">
        <v>45119</v>
      </c>
      <c r="B81" s="8" t="s">
        <v>643</v>
      </c>
      <c r="E81">
        <v>-150</v>
      </c>
    </row>
    <row r="82" spans="1:5">
      <c r="A82" s="96">
        <v>45120</v>
      </c>
      <c r="B82" s="8" t="s">
        <v>643</v>
      </c>
      <c r="E82">
        <v>-150</v>
      </c>
    </row>
    <row r="83" spans="1:5">
      <c r="A83" s="96">
        <v>45121</v>
      </c>
      <c r="B83" s="8" t="s">
        <v>643</v>
      </c>
      <c r="E83">
        <v>-150</v>
      </c>
    </row>
    <row r="84" spans="1:5">
      <c r="A84" s="96">
        <v>45124</v>
      </c>
      <c r="B84" s="8" t="s">
        <v>643</v>
      </c>
      <c r="E84">
        <v>-150</v>
      </c>
    </row>
    <row r="85" spans="1:5">
      <c r="A85" s="96">
        <v>45125</v>
      </c>
      <c r="B85" s="8" t="s">
        <v>643</v>
      </c>
      <c r="E85">
        <v>-160</v>
      </c>
    </row>
    <row r="86" spans="1:5">
      <c r="A86" s="96">
        <v>45129</v>
      </c>
      <c r="B86" s="8" t="s">
        <v>401</v>
      </c>
      <c r="E86">
        <v>-20.059999999999999</v>
      </c>
    </row>
    <row r="87" spans="1:5">
      <c r="A87" s="96">
        <v>45130</v>
      </c>
      <c r="B87" s="8" t="s">
        <v>1057</v>
      </c>
      <c r="E87">
        <v>-275.54000000000002</v>
      </c>
    </row>
    <row r="88" spans="1:5">
      <c r="A88" s="96">
        <v>45130</v>
      </c>
      <c r="B88" s="8" t="s">
        <v>951</v>
      </c>
      <c r="E88">
        <v>-212.45</v>
      </c>
    </row>
    <row r="89" spans="1:5">
      <c r="A89" s="96">
        <v>45131</v>
      </c>
      <c r="B89" s="8" t="s">
        <v>534</v>
      </c>
      <c r="E89">
        <v>-4.57</v>
      </c>
    </row>
    <row r="90" spans="1:5">
      <c r="A90" s="96">
        <v>45131</v>
      </c>
      <c r="B90" s="8" t="s">
        <v>1058</v>
      </c>
      <c r="E90">
        <v>-4.57</v>
      </c>
    </row>
    <row r="91" spans="1:5">
      <c r="A91" s="96">
        <v>45131</v>
      </c>
      <c r="B91" s="8" t="s">
        <v>536</v>
      </c>
      <c r="E91">
        <v>-30.44</v>
      </c>
    </row>
    <row r="92" spans="1:5">
      <c r="D92" s="3" t="s">
        <v>76</v>
      </c>
    </row>
    <row r="111" spans="1:5">
      <c r="A111" s="109" t="s">
        <v>1059</v>
      </c>
      <c r="B111" s="100" t="s">
        <v>128</v>
      </c>
      <c r="C111" s="99">
        <v>2023</v>
      </c>
      <c r="D111" s="147"/>
      <c r="E111" s="148">
        <f>SUM(E112:E120)</f>
        <v>399800.57</v>
      </c>
    </row>
    <row r="112" spans="1:5">
      <c r="A112" s="96">
        <v>45169</v>
      </c>
      <c r="B112" s="8" t="s">
        <v>69</v>
      </c>
      <c r="C112" s="2"/>
      <c r="D112" s="2"/>
      <c r="E112" s="14">
        <v>64000</v>
      </c>
    </row>
    <row r="113" spans="1:5">
      <c r="A113" s="96">
        <v>45169</v>
      </c>
      <c r="B113" s="8" t="s">
        <v>1060</v>
      </c>
      <c r="C113" s="2"/>
      <c r="D113" s="2"/>
      <c r="E113" s="14">
        <v>53088</v>
      </c>
    </row>
    <row r="114" spans="1:5">
      <c r="A114" s="96">
        <v>45169</v>
      </c>
      <c r="B114" s="8" t="s">
        <v>292</v>
      </c>
      <c r="C114" s="2"/>
      <c r="D114" s="2"/>
      <c r="E114" s="14">
        <v>28245.88</v>
      </c>
    </row>
    <row r="115" spans="1:5">
      <c r="A115" s="96">
        <v>45169</v>
      </c>
      <c r="B115" s="8" t="s">
        <v>293</v>
      </c>
      <c r="C115" s="2"/>
      <c r="D115" s="2"/>
      <c r="E115" s="14">
        <v>450.49</v>
      </c>
    </row>
    <row r="116" spans="1:5">
      <c r="A116" s="96">
        <v>45169</v>
      </c>
      <c r="B116" s="8" t="s">
        <v>997</v>
      </c>
      <c r="C116" s="2">
        <v>1600</v>
      </c>
      <c r="D116" s="2">
        <v>111</v>
      </c>
      <c r="E116" s="14">
        <f>D116*C116</f>
        <v>177600</v>
      </c>
    </row>
    <row r="117" spans="1:5">
      <c r="A117" s="96">
        <v>45169</v>
      </c>
      <c r="B117" s="8" t="s">
        <v>1061</v>
      </c>
      <c r="C117" s="151">
        <v>26.308</v>
      </c>
      <c r="D117" s="2">
        <v>850</v>
      </c>
      <c r="E117" s="14">
        <f>D117*C117</f>
        <v>22361.8</v>
      </c>
    </row>
    <row r="118" spans="1:5">
      <c r="A118" s="96">
        <v>45169</v>
      </c>
      <c r="B118" s="8" t="s">
        <v>1062</v>
      </c>
      <c r="C118" s="151">
        <v>28.544</v>
      </c>
      <c r="D118" s="2">
        <v>100</v>
      </c>
      <c r="E118" s="14">
        <f>D118*C118</f>
        <v>2854.4</v>
      </c>
    </row>
    <row r="119" spans="1:5">
      <c r="A119" s="96">
        <v>45169</v>
      </c>
      <c r="B119" s="8" t="s">
        <v>144</v>
      </c>
      <c r="C119" s="2"/>
      <c r="D119" s="2"/>
      <c r="E119" s="14">
        <v>50850</v>
      </c>
    </row>
    <row r="120" spans="1:5">
      <c r="A120" s="96"/>
      <c r="B120" s="8" t="s">
        <v>145</v>
      </c>
      <c r="C120" s="2"/>
      <c r="D120" s="2"/>
      <c r="E120" s="14">
        <v>350</v>
      </c>
    </row>
    <row r="121" spans="1:5">
      <c r="C121" s="3" t="str">
        <f>A111</f>
        <v>AĞUSTOS</v>
      </c>
      <c r="D121" s="15" t="s">
        <v>148</v>
      </c>
      <c r="E121" s="60">
        <f>H13</f>
        <v>-21230.350000000002</v>
      </c>
    </row>
    <row r="122" spans="1:5">
      <c r="D122" s="3"/>
    </row>
    <row r="123" spans="1:5">
      <c r="D123" s="15" t="s">
        <v>147</v>
      </c>
      <c r="E123" s="8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95511"/>
  </sheetPr>
  <dimension ref="A1:I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178"/>
      <c r="F1" s="178" t="s">
        <v>20</v>
      </c>
      <c r="G1" s="178" t="s">
        <v>21</v>
      </c>
      <c r="H1" s="178" t="s">
        <v>3</v>
      </c>
    </row>
    <row r="2" spans="1:9">
      <c r="A2" s="3" t="s">
        <v>1063</v>
      </c>
      <c r="C2" s="76" t="s">
        <v>59</v>
      </c>
      <c r="D2" s="295">
        <f>SUM(D4:D34)</f>
        <v>67911</v>
      </c>
      <c r="E2" s="295">
        <f>SUM(E4:E33)</f>
        <v>-35277.64</v>
      </c>
      <c r="F2" s="295">
        <f>SUM(F4:F35)</f>
        <v>70250</v>
      </c>
      <c r="G2" s="295">
        <f>SUM(G4:G35)</f>
        <v>-42110.31</v>
      </c>
      <c r="H2" s="295">
        <f>F2+G2</f>
        <v>28139.690000000002</v>
      </c>
    </row>
    <row r="3" spans="1:9">
      <c r="B3" s="15"/>
      <c r="H3" s="60"/>
    </row>
    <row r="4" spans="1:9">
      <c r="B4" s="97" t="s">
        <v>72</v>
      </c>
      <c r="C4" s="97"/>
      <c r="D4" s="97"/>
      <c r="E4" s="60">
        <v>-400</v>
      </c>
      <c r="G4" s="60">
        <v>-400</v>
      </c>
      <c r="H4" s="60">
        <f t="shared" ref="H4:H30" si="0">H3+F4+G4</f>
        <v>-400</v>
      </c>
    </row>
    <row r="5" spans="1:9">
      <c r="B5" s="97" t="s">
        <v>73</v>
      </c>
      <c r="C5" s="97"/>
      <c r="D5" s="97"/>
      <c r="E5" s="60">
        <v>-500</v>
      </c>
      <c r="G5" s="60">
        <v>-198</v>
      </c>
      <c r="H5" s="60">
        <f t="shared" si="0"/>
        <v>-598</v>
      </c>
    </row>
    <row r="6" spans="1:9">
      <c r="B6" s="97" t="s">
        <v>1064</v>
      </c>
      <c r="C6" s="97"/>
      <c r="D6" s="97"/>
      <c r="E6" s="60">
        <v>-250</v>
      </c>
      <c r="G6" s="60">
        <v>-254</v>
      </c>
      <c r="H6" s="60">
        <f t="shared" si="0"/>
        <v>-852</v>
      </c>
    </row>
    <row r="7" spans="1:9">
      <c r="A7" s="154">
        <v>45112</v>
      </c>
      <c r="B7" s="97" t="s">
        <v>1065</v>
      </c>
      <c r="C7" s="97"/>
      <c r="D7" s="97"/>
      <c r="E7" s="152"/>
      <c r="G7" s="60">
        <v>-3500</v>
      </c>
      <c r="H7" s="60">
        <f t="shared" si="0"/>
        <v>-4352</v>
      </c>
    </row>
    <row r="8" spans="1:9">
      <c r="A8" s="154">
        <v>45112</v>
      </c>
      <c r="B8" s="97" t="s">
        <v>1066</v>
      </c>
      <c r="C8" s="97"/>
      <c r="D8" s="97"/>
      <c r="E8" s="152"/>
      <c r="G8" s="60">
        <v>-3500</v>
      </c>
      <c r="H8" s="60">
        <f t="shared" si="0"/>
        <v>-7852</v>
      </c>
    </row>
    <row r="9" spans="1:9">
      <c r="B9" s="167" t="s">
        <v>64</v>
      </c>
      <c r="E9" s="60">
        <f>D47*-1</f>
        <v>-32.700000000000003</v>
      </c>
      <c r="G9" s="60">
        <f>E9</f>
        <v>-32.700000000000003</v>
      </c>
      <c r="H9" s="60">
        <f t="shared" si="0"/>
        <v>-7884.7</v>
      </c>
    </row>
    <row r="10" spans="1:9">
      <c r="A10" s="154">
        <v>45112</v>
      </c>
      <c r="B10" s="167" t="s">
        <v>60</v>
      </c>
      <c r="E10" s="60">
        <f>E53</f>
        <v>-6143.73</v>
      </c>
      <c r="F10" s="60"/>
      <c r="G10" s="60">
        <v>-6143.73</v>
      </c>
      <c r="H10" s="60">
        <f t="shared" si="0"/>
        <v>-14028.43</v>
      </c>
    </row>
    <row r="11" spans="1:9">
      <c r="A11" s="154">
        <v>45111</v>
      </c>
      <c r="B11" s="167" t="s">
        <v>61</v>
      </c>
      <c r="E11" s="60">
        <f>E69</f>
        <v>-9326.4700000000012</v>
      </c>
      <c r="H11" s="60">
        <f t="shared" si="0"/>
        <v>-14028.43</v>
      </c>
    </row>
    <row r="12" spans="1:9">
      <c r="A12" s="154">
        <v>45111</v>
      </c>
      <c r="B12" s="167" t="s">
        <v>1067</v>
      </c>
      <c r="E12" s="60"/>
      <c r="G12" s="60">
        <v>-3730.59</v>
      </c>
      <c r="H12" s="60">
        <f t="shared" si="0"/>
        <v>-17759.02</v>
      </c>
    </row>
    <row r="13" spans="1:9">
      <c r="A13" s="154">
        <v>45113</v>
      </c>
      <c r="B13" s="308" t="s">
        <v>1068</v>
      </c>
      <c r="E13" s="60"/>
      <c r="G13" s="60">
        <v>-5595.88</v>
      </c>
      <c r="H13" s="60">
        <f t="shared" si="0"/>
        <v>-23354.9</v>
      </c>
      <c r="I13" s="271"/>
    </row>
    <row r="14" spans="1:9">
      <c r="A14" s="96">
        <v>45113</v>
      </c>
      <c r="B14" s="97" t="s">
        <v>1069</v>
      </c>
      <c r="C14" s="97" t="s">
        <v>378</v>
      </c>
      <c r="D14" s="97"/>
      <c r="E14" s="60">
        <v>-5375</v>
      </c>
      <c r="G14" s="60">
        <v>-5375</v>
      </c>
      <c r="H14" s="60">
        <f t="shared" si="0"/>
        <v>-28729.9</v>
      </c>
    </row>
    <row r="15" spans="1:9">
      <c r="A15" s="96">
        <v>45113</v>
      </c>
      <c r="B15" s="97" t="s">
        <v>1069</v>
      </c>
      <c r="C15" s="97"/>
      <c r="D15" s="97"/>
      <c r="E15" s="60">
        <v>-2125</v>
      </c>
      <c r="G15" s="60">
        <v>-2125</v>
      </c>
      <c r="H15" s="60">
        <f t="shared" si="0"/>
        <v>-30854.9</v>
      </c>
    </row>
    <row r="16" spans="1:9">
      <c r="A16" s="154">
        <v>45112</v>
      </c>
      <c r="B16" s="97" t="s">
        <v>1070</v>
      </c>
      <c r="C16" s="97"/>
      <c r="D16" s="97"/>
      <c r="E16" s="60">
        <v>-674.74</v>
      </c>
      <c r="F16" s="152"/>
      <c r="G16" s="60">
        <v>-955.41</v>
      </c>
      <c r="H16" s="60">
        <f t="shared" si="0"/>
        <v>-31810.31</v>
      </c>
    </row>
    <row r="17" spans="1:8">
      <c r="B17" s="97" t="s">
        <v>67</v>
      </c>
      <c r="C17" s="97" t="s">
        <v>315</v>
      </c>
      <c r="D17" s="97"/>
      <c r="E17" s="60">
        <v>-150</v>
      </c>
      <c r="F17" s="152"/>
      <c r="G17" s="60">
        <v>0</v>
      </c>
      <c r="H17" s="60">
        <f t="shared" si="0"/>
        <v>-31810.31</v>
      </c>
    </row>
    <row r="18" spans="1:8">
      <c r="B18" s="102" t="s">
        <v>65</v>
      </c>
      <c r="C18" s="102"/>
      <c r="D18" s="102"/>
      <c r="E18" s="60">
        <v>-300</v>
      </c>
      <c r="F18" s="152"/>
      <c r="G18" s="60">
        <v>0</v>
      </c>
      <c r="H18" s="60">
        <f t="shared" si="0"/>
        <v>-31810.31</v>
      </c>
    </row>
    <row r="19" spans="1:8">
      <c r="B19" s="102" t="s">
        <v>66</v>
      </c>
      <c r="C19" s="102"/>
      <c r="D19" s="102"/>
      <c r="E19" s="60">
        <v>-100</v>
      </c>
      <c r="F19" s="152"/>
      <c r="G19" s="60">
        <v>0</v>
      </c>
      <c r="H19" s="60">
        <f t="shared" si="0"/>
        <v>-31810.31</v>
      </c>
    </row>
    <row r="20" spans="1:8">
      <c r="B20" t="s">
        <v>69</v>
      </c>
      <c r="E20" s="60">
        <v>-3300</v>
      </c>
      <c r="F20" s="60"/>
      <c r="G20" s="60">
        <v>-3500</v>
      </c>
      <c r="H20" s="60">
        <f t="shared" si="0"/>
        <v>-35310.31</v>
      </c>
    </row>
    <row r="21" spans="1:8">
      <c r="B21" t="s">
        <v>70</v>
      </c>
      <c r="E21" s="60">
        <v>-3300</v>
      </c>
      <c r="F21" s="60"/>
      <c r="G21" s="60">
        <v>-3500</v>
      </c>
      <c r="H21" s="60">
        <f t="shared" si="0"/>
        <v>-38810.31</v>
      </c>
    </row>
    <row r="22" spans="1:8">
      <c r="B22" t="s">
        <v>71</v>
      </c>
      <c r="E22" s="60">
        <v>-3300</v>
      </c>
      <c r="F22" s="60"/>
      <c r="G22" s="60">
        <v>-3300</v>
      </c>
      <c r="H22" s="60">
        <f t="shared" si="0"/>
        <v>-42110.31</v>
      </c>
    </row>
    <row r="23" spans="1:8">
      <c r="A23" s="96">
        <v>45122</v>
      </c>
      <c r="B23" s="8" t="s">
        <v>1071</v>
      </c>
      <c r="D23" s="2">
        <v>50000</v>
      </c>
      <c r="E23" s="152"/>
      <c r="F23" s="60">
        <v>50000</v>
      </c>
      <c r="G23" s="60"/>
      <c r="H23" s="60">
        <f t="shared" si="0"/>
        <v>7889.6900000000023</v>
      </c>
    </row>
    <row r="24" spans="1:8">
      <c r="B24" t="s">
        <v>2</v>
      </c>
      <c r="D24" s="2">
        <v>1111</v>
      </c>
      <c r="E24" s="152"/>
      <c r="F24" s="60"/>
      <c r="G24" s="60"/>
      <c r="H24" s="60">
        <f t="shared" si="0"/>
        <v>7889.6900000000023</v>
      </c>
    </row>
    <row r="25" spans="1:8">
      <c r="A25" s="96">
        <v>45119</v>
      </c>
      <c r="B25" s="8" t="s">
        <v>1072</v>
      </c>
      <c r="D25" s="14"/>
      <c r="E25" s="152"/>
      <c r="F25" s="60">
        <v>3450</v>
      </c>
      <c r="G25" s="60"/>
      <c r="H25" s="60">
        <f t="shared" si="0"/>
        <v>11339.690000000002</v>
      </c>
    </row>
    <row r="26" spans="1:8">
      <c r="B26" t="s">
        <v>68</v>
      </c>
      <c r="D26" s="175">
        <v>7500</v>
      </c>
      <c r="F26" s="60">
        <v>7500</v>
      </c>
      <c r="G26" s="60"/>
      <c r="H26" s="60">
        <f t="shared" si="0"/>
        <v>18839.690000000002</v>
      </c>
    </row>
    <row r="27" spans="1:8">
      <c r="B27" t="s">
        <v>1073</v>
      </c>
      <c r="D27" s="175">
        <v>2800</v>
      </c>
      <c r="F27" s="60">
        <v>2800</v>
      </c>
      <c r="G27" s="60"/>
      <c r="H27" s="60">
        <f t="shared" si="0"/>
        <v>21639.690000000002</v>
      </c>
    </row>
    <row r="28" spans="1:8">
      <c r="B28" t="s">
        <v>1074</v>
      </c>
      <c r="D28" s="175">
        <v>6500</v>
      </c>
      <c r="F28" s="60">
        <v>6500</v>
      </c>
      <c r="G28" s="60"/>
      <c r="H28" s="60">
        <f t="shared" si="0"/>
        <v>28139.690000000002</v>
      </c>
    </row>
    <row r="29" spans="1:8">
      <c r="D29" s="98"/>
      <c r="H29" s="60">
        <f t="shared" si="0"/>
        <v>28139.690000000002</v>
      </c>
    </row>
    <row r="30" spans="1:8">
      <c r="D30" s="98"/>
      <c r="F30" s="60"/>
      <c r="G30" s="60"/>
      <c r="H30" s="60">
        <f t="shared" si="0"/>
        <v>28139.690000000002</v>
      </c>
    </row>
    <row r="31" spans="1:8">
      <c r="A31" s="96"/>
      <c r="D31" s="98"/>
      <c r="H31" s="60"/>
    </row>
    <row r="32" spans="1:8">
      <c r="D32" s="60"/>
      <c r="F32" s="60"/>
      <c r="G32" s="60"/>
      <c r="H32" s="60"/>
    </row>
    <row r="33" spans="1:8" ht="15.75">
      <c r="B33" s="168"/>
      <c r="F33" s="60"/>
      <c r="G33" s="60"/>
      <c r="H33" s="60"/>
    </row>
    <row r="34" spans="1:8">
      <c r="E34" s="60"/>
      <c r="G34" s="60"/>
      <c r="H34" s="60"/>
    </row>
    <row r="35" spans="1:8">
      <c r="B35" t="s">
        <v>317</v>
      </c>
      <c r="E35" s="60"/>
      <c r="G35" s="60"/>
      <c r="H35" s="60"/>
    </row>
    <row r="36" spans="1:8">
      <c r="A36" s="99" t="s">
        <v>318</v>
      </c>
      <c r="B36" s="99"/>
      <c r="C36" s="99"/>
      <c r="D36" s="99"/>
      <c r="E36" s="147"/>
      <c r="G36" s="60"/>
      <c r="H36" s="60"/>
    </row>
    <row r="37" spans="1:8">
      <c r="A37" s="306"/>
      <c r="B37" s="301"/>
      <c r="C37" s="301"/>
      <c r="D37" s="301"/>
      <c r="E37" s="302"/>
      <c r="H37" s="60"/>
    </row>
    <row r="38" spans="1:8">
      <c r="A38" s="306"/>
      <c r="B38" s="301"/>
      <c r="C38" s="303"/>
      <c r="D38" s="301"/>
      <c r="E38" s="301"/>
      <c r="H38" s="60"/>
    </row>
    <row r="39" spans="1:8">
      <c r="A39" s="306"/>
      <c r="B39" s="301"/>
      <c r="C39" s="303"/>
      <c r="D39" s="301"/>
      <c r="E39" s="301"/>
      <c r="H39" s="60"/>
    </row>
    <row r="40" spans="1:8">
      <c r="A40" s="96"/>
      <c r="C40" s="160"/>
      <c r="H40" s="60"/>
    </row>
    <row r="41" spans="1:8">
      <c r="A41" s="161">
        <v>44929</v>
      </c>
      <c r="B41" s="162" t="s">
        <v>319</v>
      </c>
      <c r="C41" s="99"/>
      <c r="D41" s="190">
        <f>SUM(D42:D49)</f>
        <v>3120.43</v>
      </c>
      <c r="E41" s="190">
        <f>SUM(E42:E49)</f>
        <v>1344.7</v>
      </c>
      <c r="H41" s="60"/>
    </row>
    <row r="42" spans="1:8">
      <c r="B42" t="s">
        <v>912</v>
      </c>
      <c r="D42">
        <v>547.27</v>
      </c>
      <c r="E42" s="60"/>
      <c r="F42" s="60"/>
      <c r="G42" s="60"/>
    </row>
    <row r="43" spans="1:8">
      <c r="B43" t="s">
        <v>321</v>
      </c>
      <c r="D43">
        <v>990.96</v>
      </c>
      <c r="E43" s="60">
        <v>990</v>
      </c>
      <c r="F43" s="60"/>
      <c r="G43" s="60"/>
    </row>
    <row r="44" spans="1:8">
      <c r="B44" t="s">
        <v>322</v>
      </c>
      <c r="D44">
        <v>112.16</v>
      </c>
      <c r="F44" s="60"/>
      <c r="G44" s="60"/>
    </row>
    <row r="45" spans="1:8">
      <c r="B45" t="s">
        <v>323</v>
      </c>
      <c r="D45">
        <v>1115.05</v>
      </c>
      <c r="F45" s="60"/>
      <c r="G45" s="60"/>
    </row>
    <row r="46" spans="1:8">
      <c r="B46" t="s">
        <v>324</v>
      </c>
      <c r="D46">
        <v>322.29000000000002</v>
      </c>
      <c r="E46">
        <v>322</v>
      </c>
      <c r="F46" s="60"/>
      <c r="G46" s="60"/>
    </row>
    <row r="47" spans="1:8">
      <c r="B47" t="s">
        <v>325</v>
      </c>
      <c r="C47" s="102"/>
      <c r="D47" s="102">
        <v>32.700000000000003</v>
      </c>
      <c r="E47">
        <v>32.700000000000003</v>
      </c>
      <c r="F47" s="60"/>
      <c r="G47" s="60"/>
    </row>
    <row r="48" spans="1:8">
      <c r="C48" s="102"/>
      <c r="E48" s="102"/>
      <c r="F48" s="60"/>
      <c r="G48" s="60"/>
    </row>
    <row r="49" spans="1:8">
      <c r="C49" s="102"/>
      <c r="D49" s="102"/>
      <c r="E49" s="152"/>
      <c r="F49" s="60"/>
      <c r="G49" s="60"/>
    </row>
    <row r="51" spans="1:8">
      <c r="B51" s="14"/>
    </row>
    <row r="52" spans="1:8">
      <c r="B52" s="98"/>
    </row>
    <row r="53" spans="1:8">
      <c r="A53" s="99"/>
      <c r="B53" s="100" t="s">
        <v>75</v>
      </c>
      <c r="C53" s="99"/>
      <c r="D53" s="147"/>
      <c r="E53" s="148">
        <f>SUM(E54:E66)</f>
        <v>-6143.73</v>
      </c>
    </row>
    <row r="54" spans="1:8">
      <c r="A54" s="96">
        <v>44873</v>
      </c>
      <c r="B54" s="8" t="s">
        <v>1046</v>
      </c>
      <c r="C54" s="102"/>
      <c r="D54" s="102" t="s">
        <v>355</v>
      </c>
      <c r="E54" s="152">
        <v>-1111.1099999999999</v>
      </c>
      <c r="G54" s="60"/>
      <c r="H54" s="60"/>
    </row>
    <row r="55" spans="1:8">
      <c r="A55" s="96">
        <v>44995</v>
      </c>
      <c r="B55" s="8" t="s">
        <v>763</v>
      </c>
      <c r="C55">
        <v>613.91</v>
      </c>
      <c r="D55" s="32" t="s">
        <v>1075</v>
      </c>
      <c r="E55" s="152">
        <v>-61.39</v>
      </c>
      <c r="F55" s="60"/>
      <c r="G55" s="60"/>
      <c r="H55" s="60"/>
    </row>
    <row r="56" spans="1:8">
      <c r="A56" s="96">
        <v>44995</v>
      </c>
      <c r="B56" s="8" t="s">
        <v>1020</v>
      </c>
      <c r="C56">
        <v>2258.94</v>
      </c>
      <c r="D56" s="32" t="s">
        <v>505</v>
      </c>
      <c r="E56" s="152">
        <v>-376.49</v>
      </c>
      <c r="F56" s="60"/>
      <c r="G56" s="60"/>
      <c r="H56" s="60"/>
    </row>
    <row r="57" spans="1:8">
      <c r="A57" s="96">
        <v>45043</v>
      </c>
      <c r="B57" s="102" t="s">
        <v>941</v>
      </c>
      <c r="C57" s="102">
        <v>3299</v>
      </c>
      <c r="D57" s="32" t="s">
        <v>597</v>
      </c>
      <c r="E57" s="152">
        <v>-549.83000000000004</v>
      </c>
      <c r="F57" s="60"/>
      <c r="G57" s="60"/>
      <c r="H57" s="60"/>
    </row>
    <row r="58" spans="1:8">
      <c r="A58" s="96">
        <v>45043</v>
      </c>
      <c r="B58" s="102" t="s">
        <v>715</v>
      </c>
      <c r="C58" s="102">
        <v>10764.57</v>
      </c>
      <c r="D58" s="32" t="s">
        <v>599</v>
      </c>
      <c r="E58" s="152">
        <v>-1196.06</v>
      </c>
      <c r="F58" s="60"/>
      <c r="G58" s="60"/>
      <c r="H58" s="60"/>
    </row>
    <row r="59" spans="1:8">
      <c r="A59" s="96">
        <v>45044</v>
      </c>
      <c r="B59" s="8" t="s">
        <v>943</v>
      </c>
      <c r="C59" s="102">
        <v>3123.29</v>
      </c>
      <c r="D59" s="193" t="s">
        <v>597</v>
      </c>
      <c r="E59" s="152">
        <v>-520.54999999999995</v>
      </c>
      <c r="F59" s="60"/>
      <c r="G59" s="60"/>
      <c r="H59" s="60"/>
    </row>
    <row r="60" spans="1:8">
      <c r="A60" s="96">
        <v>45077</v>
      </c>
      <c r="B60" s="102" t="s">
        <v>974</v>
      </c>
      <c r="C60" s="102">
        <v>148.6</v>
      </c>
      <c r="D60" s="193" t="s">
        <v>1076</v>
      </c>
      <c r="E60" s="152">
        <v>-37.15</v>
      </c>
      <c r="F60" s="60"/>
      <c r="G60" s="60"/>
      <c r="H60" s="60"/>
    </row>
    <row r="61" spans="1:8">
      <c r="A61" s="96">
        <v>45077</v>
      </c>
      <c r="B61" s="102" t="s">
        <v>976</v>
      </c>
      <c r="C61" s="102">
        <v>244.8</v>
      </c>
      <c r="D61" s="193" t="s">
        <v>1076</v>
      </c>
      <c r="E61" s="152">
        <v>-61.2</v>
      </c>
      <c r="F61" s="60"/>
      <c r="G61" s="60"/>
      <c r="H61" s="60"/>
    </row>
    <row r="62" spans="1:8">
      <c r="A62" s="96">
        <v>45077</v>
      </c>
      <c r="B62" s="102" t="s">
        <v>977</v>
      </c>
      <c r="C62" s="102">
        <v>1204.5</v>
      </c>
      <c r="D62" s="193" t="s">
        <v>1076</v>
      </c>
      <c r="E62" s="152">
        <v>-301.13</v>
      </c>
      <c r="F62" s="60"/>
      <c r="G62" s="60"/>
      <c r="H62" s="60"/>
    </row>
    <row r="63" spans="1:8">
      <c r="A63" s="96">
        <v>45077</v>
      </c>
      <c r="B63" s="8" t="s">
        <v>978</v>
      </c>
      <c r="C63" s="102">
        <v>532.6</v>
      </c>
      <c r="D63" s="193" t="s">
        <v>1076</v>
      </c>
      <c r="E63" s="152">
        <v>-133.15</v>
      </c>
      <c r="F63" s="60"/>
      <c r="G63" s="60"/>
      <c r="H63" s="60"/>
    </row>
    <row r="64" spans="1:8">
      <c r="A64" s="96">
        <v>45078</v>
      </c>
      <c r="B64" s="102" t="s">
        <v>916</v>
      </c>
      <c r="D64" s="193" t="s">
        <v>636</v>
      </c>
      <c r="E64" s="152">
        <v>-666.67</v>
      </c>
      <c r="F64" s="60"/>
    </row>
    <row r="65" spans="1:8">
      <c r="A65" s="96">
        <v>45091</v>
      </c>
      <c r="B65" s="102" t="s">
        <v>1077</v>
      </c>
      <c r="E65" s="152">
        <v>-1129</v>
      </c>
      <c r="F65" s="60"/>
    </row>
    <row r="66" spans="1:8">
      <c r="A66" s="96"/>
      <c r="B66" s="102"/>
      <c r="D66" s="3" t="s">
        <v>76</v>
      </c>
      <c r="E66" s="152"/>
      <c r="F66" s="60"/>
    </row>
    <row r="67" spans="1:8">
      <c r="D67" s="32"/>
    </row>
    <row r="69" spans="1:8">
      <c r="A69" s="99"/>
      <c r="B69" s="100" t="s">
        <v>77</v>
      </c>
      <c r="C69" s="99"/>
      <c r="D69" s="99"/>
      <c r="E69" s="148">
        <f>SUM(E70:E97)</f>
        <v>-9326.4700000000012</v>
      </c>
    </row>
    <row r="70" spans="1:8">
      <c r="A70" s="96">
        <v>45026</v>
      </c>
      <c r="B70" s="8" t="s">
        <v>944</v>
      </c>
      <c r="C70">
        <v>1140.99</v>
      </c>
      <c r="D70" s="8" t="s">
        <v>920</v>
      </c>
      <c r="E70">
        <v>-190.17</v>
      </c>
      <c r="F70" s="60"/>
      <c r="G70" s="60"/>
      <c r="H70" s="60"/>
    </row>
    <row r="71" spans="1:8">
      <c r="A71" s="96">
        <v>45070</v>
      </c>
      <c r="B71" s="102" t="s">
        <v>1078</v>
      </c>
      <c r="C71" s="102"/>
      <c r="D71" s="102"/>
      <c r="E71" s="152">
        <v>-350</v>
      </c>
      <c r="F71" s="60"/>
      <c r="G71" s="60"/>
      <c r="H71" s="60"/>
    </row>
    <row r="72" spans="1:8">
      <c r="A72" s="96">
        <v>45070</v>
      </c>
      <c r="B72" s="102" t="s">
        <v>1079</v>
      </c>
      <c r="C72" s="102"/>
      <c r="D72" s="102"/>
      <c r="E72" s="152">
        <v>-63.15</v>
      </c>
      <c r="F72" s="60"/>
      <c r="G72" s="60"/>
      <c r="H72" s="60"/>
    </row>
    <row r="73" spans="1:8">
      <c r="A73" s="96">
        <v>45072</v>
      </c>
      <c r="B73" s="102" t="s">
        <v>1080</v>
      </c>
      <c r="C73" s="102"/>
      <c r="D73" s="102"/>
      <c r="E73" s="152">
        <v>-200</v>
      </c>
      <c r="F73" s="60"/>
      <c r="G73" s="60"/>
      <c r="H73" s="60"/>
    </row>
    <row r="74" spans="1:8">
      <c r="A74" s="96">
        <v>45075</v>
      </c>
      <c r="B74" s="102" t="s">
        <v>1080</v>
      </c>
      <c r="C74" s="102"/>
      <c r="D74" s="102"/>
      <c r="E74" s="152">
        <v>-150</v>
      </c>
      <c r="F74" s="60"/>
      <c r="G74" s="60"/>
      <c r="H74" s="60"/>
    </row>
    <row r="75" spans="1:8">
      <c r="A75" s="96">
        <v>45077</v>
      </c>
      <c r="B75" s="103" t="s">
        <v>1080</v>
      </c>
      <c r="E75" s="152">
        <v>-225</v>
      </c>
    </row>
    <row r="76" spans="1:8">
      <c r="B76" s="102" t="s">
        <v>261</v>
      </c>
      <c r="C76">
        <v>-1207</v>
      </c>
    </row>
    <row r="77" spans="1:8">
      <c r="A77" s="154">
        <v>45080</v>
      </c>
      <c r="B77" s="102" t="s">
        <v>1080</v>
      </c>
      <c r="E77" s="152">
        <v>-180</v>
      </c>
    </row>
    <row r="78" spans="1:8">
      <c r="A78" s="154">
        <v>45080</v>
      </c>
      <c r="B78" s="102" t="s">
        <v>1081</v>
      </c>
      <c r="E78" s="152">
        <v>-850</v>
      </c>
    </row>
    <row r="79" spans="1:8">
      <c r="A79" s="154">
        <v>45082</v>
      </c>
      <c r="B79" s="102" t="s">
        <v>1082</v>
      </c>
      <c r="E79" s="152">
        <v>-112.11</v>
      </c>
    </row>
    <row r="80" spans="1:8">
      <c r="A80" s="154">
        <v>45082</v>
      </c>
      <c r="B80" s="102" t="s">
        <v>1080</v>
      </c>
      <c r="E80" s="152">
        <v>-150</v>
      </c>
    </row>
    <row r="81" spans="1:5">
      <c r="A81" s="154">
        <v>45084</v>
      </c>
      <c r="B81" s="102" t="s">
        <v>1080</v>
      </c>
      <c r="D81" s="32"/>
      <c r="E81" s="152">
        <v>-250</v>
      </c>
    </row>
    <row r="82" spans="1:5">
      <c r="A82" s="154">
        <v>45085</v>
      </c>
      <c r="B82" s="102" t="s">
        <v>1080</v>
      </c>
      <c r="D82" s="32"/>
      <c r="E82" s="152">
        <v>-250</v>
      </c>
    </row>
    <row r="83" spans="1:5">
      <c r="A83" s="154">
        <v>45086</v>
      </c>
      <c r="B83" s="8" t="s">
        <v>1083</v>
      </c>
      <c r="E83" s="152">
        <v>-1420</v>
      </c>
    </row>
    <row r="84" spans="1:5">
      <c r="A84" s="154">
        <v>45087</v>
      </c>
      <c r="B84" s="8" t="s">
        <v>1084</v>
      </c>
      <c r="E84" s="152">
        <v>-242.56</v>
      </c>
    </row>
    <row r="85" spans="1:5">
      <c r="A85" s="154">
        <v>45089</v>
      </c>
      <c r="B85" s="8" t="s">
        <v>1085</v>
      </c>
      <c r="E85" s="152">
        <v>-167.19</v>
      </c>
    </row>
    <row r="86" spans="1:5">
      <c r="A86" s="154">
        <v>45091</v>
      </c>
      <c r="B86" s="8" t="s">
        <v>1080</v>
      </c>
      <c r="E86" s="152">
        <v>-200</v>
      </c>
    </row>
    <row r="87" spans="1:5">
      <c r="A87" s="154">
        <v>45091</v>
      </c>
      <c r="B87" s="8" t="s">
        <v>1082</v>
      </c>
      <c r="E87" s="152">
        <v>-61.41</v>
      </c>
    </row>
    <row r="88" spans="1:5">
      <c r="A88" s="154">
        <v>45092</v>
      </c>
      <c r="B88" s="8" t="s">
        <v>1080</v>
      </c>
      <c r="E88" s="152">
        <v>-200</v>
      </c>
    </row>
    <row r="89" spans="1:5">
      <c r="A89" s="96">
        <v>45095</v>
      </c>
      <c r="B89" s="8" t="s">
        <v>1086</v>
      </c>
      <c r="E89" s="152">
        <v>-257</v>
      </c>
    </row>
    <row r="90" spans="1:5">
      <c r="A90" s="96">
        <v>45096</v>
      </c>
      <c r="B90" s="8" t="s">
        <v>643</v>
      </c>
      <c r="E90" s="152">
        <v>-250</v>
      </c>
    </row>
    <row r="91" spans="1:5">
      <c r="A91" s="96">
        <v>45097</v>
      </c>
      <c r="B91" s="8" t="s">
        <v>1087</v>
      </c>
      <c r="E91" s="152">
        <v>-110</v>
      </c>
    </row>
    <row r="92" spans="1:5">
      <c r="A92" s="96">
        <v>45098</v>
      </c>
      <c r="B92" s="8" t="s">
        <v>1088</v>
      </c>
      <c r="E92" s="152">
        <v>-405</v>
      </c>
    </row>
    <row r="93" spans="1:5">
      <c r="A93" s="96">
        <v>45099</v>
      </c>
      <c r="B93" s="8" t="s">
        <v>1089</v>
      </c>
      <c r="E93" s="152">
        <v>-820</v>
      </c>
    </row>
    <row r="94" spans="1:5">
      <c r="A94" s="96">
        <v>45099</v>
      </c>
      <c r="B94" s="8" t="s">
        <v>1090</v>
      </c>
      <c r="E94" s="152">
        <v>-599</v>
      </c>
    </row>
    <row r="95" spans="1:5">
      <c r="A95" s="96">
        <v>45099</v>
      </c>
      <c r="B95" s="8" t="s">
        <v>1091</v>
      </c>
      <c r="E95" s="152">
        <v>-8</v>
      </c>
    </row>
    <row r="96" spans="1:5">
      <c r="A96" s="96">
        <v>45099</v>
      </c>
      <c r="B96" s="8" t="s">
        <v>1091</v>
      </c>
      <c r="E96" s="152">
        <v>-1197.3800000000001</v>
      </c>
    </row>
    <row r="97" spans="1:5">
      <c r="A97" s="96">
        <v>45100</v>
      </c>
      <c r="B97" s="8" t="s">
        <v>1092</v>
      </c>
      <c r="E97" s="152">
        <v>-418.5</v>
      </c>
    </row>
    <row r="98" spans="1:5">
      <c r="D98" s="3" t="s">
        <v>76</v>
      </c>
    </row>
    <row r="110" spans="1:5">
      <c r="D110" s="32"/>
    </row>
    <row r="111" spans="1:5">
      <c r="A111" s="109" t="s">
        <v>1093</v>
      </c>
      <c r="B111" s="100" t="s">
        <v>128</v>
      </c>
      <c r="C111" s="99">
        <v>2023</v>
      </c>
      <c r="D111" s="147"/>
      <c r="E111" s="148">
        <f>SUM(E112:E120)</f>
        <v>433286.58999999997</v>
      </c>
    </row>
    <row r="112" spans="1:5">
      <c r="A112" s="96">
        <v>45077</v>
      </c>
      <c r="B112" s="8" t="s">
        <v>69</v>
      </c>
      <c r="C112" s="2"/>
      <c r="D112" s="2"/>
      <c r="E112" s="14">
        <v>64000</v>
      </c>
    </row>
    <row r="113" spans="1:5">
      <c r="A113" s="96">
        <v>45077</v>
      </c>
      <c r="B113" s="8" t="s">
        <v>1060</v>
      </c>
      <c r="C113" s="2"/>
      <c r="D113" s="2"/>
      <c r="E113" s="14">
        <v>53088</v>
      </c>
    </row>
    <row r="114" spans="1:5">
      <c r="A114" s="96">
        <v>45077</v>
      </c>
      <c r="B114" s="8" t="s">
        <v>292</v>
      </c>
      <c r="C114" s="2"/>
      <c r="D114" s="2"/>
      <c r="E114" s="14">
        <v>12372.88</v>
      </c>
    </row>
    <row r="115" spans="1:5">
      <c r="A115" s="96">
        <v>45077</v>
      </c>
      <c r="B115" s="8" t="s">
        <v>293</v>
      </c>
      <c r="C115" s="2"/>
      <c r="D115" s="2"/>
      <c r="E115" s="14">
        <v>26868.21</v>
      </c>
    </row>
    <row r="116" spans="1:5">
      <c r="A116" s="96">
        <v>45077</v>
      </c>
      <c r="B116" s="8" t="s">
        <v>997</v>
      </c>
      <c r="C116" s="2">
        <v>1647</v>
      </c>
      <c r="D116" s="2">
        <v>111</v>
      </c>
      <c r="E116" s="14">
        <f>D116*C116</f>
        <v>182817</v>
      </c>
    </row>
    <row r="117" spans="1:5">
      <c r="A117" s="96">
        <v>45077</v>
      </c>
      <c r="B117" s="8" t="s">
        <v>1094</v>
      </c>
      <c r="C117" s="2">
        <v>26.73</v>
      </c>
      <c r="D117" s="2">
        <v>850</v>
      </c>
      <c r="E117" s="14">
        <f>D117*C117</f>
        <v>22720.5</v>
      </c>
    </row>
    <row r="118" spans="1:5">
      <c r="A118" s="96">
        <v>45077</v>
      </c>
      <c r="B118" s="8" t="s">
        <v>1095</v>
      </c>
      <c r="C118" s="2">
        <v>29.2</v>
      </c>
      <c r="D118" s="2">
        <v>100</v>
      </c>
      <c r="E118" s="14">
        <f>D118*C118</f>
        <v>2920</v>
      </c>
    </row>
    <row r="119" spans="1:5">
      <c r="A119" s="96">
        <v>45077</v>
      </c>
      <c r="B119" s="8" t="s">
        <v>144</v>
      </c>
      <c r="C119" s="2"/>
      <c r="D119" s="2"/>
      <c r="E119" s="14">
        <v>67500</v>
      </c>
    </row>
    <row r="120" spans="1:5">
      <c r="A120" s="96"/>
      <c r="B120" s="8" t="s">
        <v>145</v>
      </c>
      <c r="C120" s="2"/>
      <c r="D120" s="2"/>
      <c r="E120" s="14">
        <v>1000</v>
      </c>
    </row>
    <row r="121" spans="1:5">
      <c r="C121" s="3" t="str">
        <f>A111</f>
        <v>TEMMUZ</v>
      </c>
      <c r="D121" s="15" t="s">
        <v>148</v>
      </c>
      <c r="E121" s="60">
        <f>H13</f>
        <v>-23354.9</v>
      </c>
    </row>
    <row r="122" spans="1:5">
      <c r="D122" s="3"/>
    </row>
    <row r="123" spans="1:5">
      <c r="D123" s="15" t="s">
        <v>147</v>
      </c>
      <c r="E123" s="8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95511"/>
  </sheetPr>
  <dimension ref="A1:H123"/>
  <sheetViews>
    <sheetView topLeftCell="A7" zoomScale="170" zoomScaleNormal="170" workbookViewId="0">
      <selection activeCell="A7" sqref="A7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1096</v>
      </c>
      <c r="C2" s="76" t="s">
        <v>59</v>
      </c>
      <c r="D2" s="295">
        <f>SUM(D4:D30)</f>
        <v>28744</v>
      </c>
      <c r="E2" s="295">
        <f>SUM(E4:E29)</f>
        <v>-26572.629999999997</v>
      </c>
      <c r="F2" s="295">
        <f>SUM(F4:F31)</f>
        <v>33133</v>
      </c>
      <c r="G2" s="295">
        <f>SUM(G4:G31)</f>
        <v>-28830.22</v>
      </c>
      <c r="H2" s="295">
        <f>F2+G2</f>
        <v>4302.7799999999988</v>
      </c>
    </row>
    <row r="3" spans="1:8">
      <c r="B3" s="15"/>
      <c r="H3" s="60"/>
    </row>
    <row r="4" spans="1:8">
      <c r="B4" s="97" t="s">
        <v>72</v>
      </c>
      <c r="C4" s="97"/>
      <c r="D4" s="97"/>
      <c r="E4" s="60">
        <v>-400</v>
      </c>
      <c r="G4" s="60">
        <v>-204</v>
      </c>
      <c r="H4" s="60">
        <f t="shared" ref="H4:H29" si="0">H3+F4+G4</f>
        <v>-204</v>
      </c>
    </row>
    <row r="5" spans="1:8">
      <c r="B5" s="97" t="s">
        <v>73</v>
      </c>
      <c r="C5" s="97"/>
      <c r="D5" s="97"/>
      <c r="E5" s="60">
        <v>-500</v>
      </c>
      <c r="G5" s="60">
        <v>-411</v>
      </c>
      <c r="H5" s="60">
        <f t="shared" si="0"/>
        <v>-615</v>
      </c>
    </row>
    <row r="6" spans="1:8">
      <c r="A6" s="154">
        <v>45082</v>
      </c>
      <c r="B6" s="97" t="s">
        <v>1097</v>
      </c>
      <c r="C6" s="97"/>
      <c r="D6" s="97"/>
      <c r="E6" s="60">
        <v>-250</v>
      </c>
      <c r="G6" s="60">
        <v>-250</v>
      </c>
      <c r="H6" s="60">
        <f t="shared" si="0"/>
        <v>-865</v>
      </c>
    </row>
    <row r="7" spans="1:8">
      <c r="B7" s="167" t="s">
        <v>64</v>
      </c>
      <c r="C7" s="97"/>
      <c r="D7" s="60"/>
      <c r="E7" s="60">
        <v>-44</v>
      </c>
      <c r="F7" s="60"/>
      <c r="G7" s="60">
        <v>-44</v>
      </c>
      <c r="H7" s="60">
        <f t="shared" si="0"/>
        <v>-909</v>
      </c>
    </row>
    <row r="8" spans="1:8">
      <c r="A8" s="154">
        <v>45082</v>
      </c>
      <c r="B8" s="167" t="s">
        <v>60</v>
      </c>
      <c r="C8" s="97"/>
      <c r="E8" s="60">
        <f>E49</f>
        <v>-4946.47</v>
      </c>
      <c r="F8" s="60"/>
      <c r="G8" s="60">
        <v>-4946.47</v>
      </c>
      <c r="H8" s="60">
        <f t="shared" si="0"/>
        <v>-5855.47</v>
      </c>
    </row>
    <row r="9" spans="1:8">
      <c r="A9" s="154">
        <v>45082</v>
      </c>
      <c r="B9" s="167" t="s">
        <v>61</v>
      </c>
      <c r="C9" s="97"/>
      <c r="E9" s="60">
        <f>E84</f>
        <v>-1207.42</v>
      </c>
      <c r="G9" s="60">
        <v>-1207.42</v>
      </c>
      <c r="H9" s="60">
        <f t="shared" si="0"/>
        <v>-7062.89</v>
      </c>
    </row>
    <row r="10" spans="1:8">
      <c r="A10" s="96">
        <v>45084</v>
      </c>
      <c r="B10" s="97" t="s">
        <v>547</v>
      </c>
      <c r="D10" s="97"/>
      <c r="E10" s="60">
        <v>-5375</v>
      </c>
      <c r="G10" s="60">
        <v>-5375</v>
      </c>
      <c r="H10" s="60">
        <f t="shared" si="0"/>
        <v>-12437.89</v>
      </c>
    </row>
    <row r="11" spans="1:8">
      <c r="A11" s="96"/>
      <c r="B11" s="97" t="s">
        <v>1098</v>
      </c>
      <c r="C11" s="97"/>
      <c r="D11" s="97"/>
      <c r="E11" s="60">
        <v>-2125</v>
      </c>
      <c r="G11" s="60">
        <v>-2125</v>
      </c>
      <c r="H11" s="60">
        <f t="shared" si="0"/>
        <v>-14562.89</v>
      </c>
    </row>
    <row r="12" spans="1:8">
      <c r="A12" s="96"/>
      <c r="B12" s="97" t="s">
        <v>1099</v>
      </c>
      <c r="C12" s="97"/>
      <c r="D12" s="97"/>
      <c r="E12" s="152"/>
      <c r="G12" s="60">
        <v>-16.059999999999999</v>
      </c>
      <c r="H12" s="60">
        <f t="shared" si="0"/>
        <v>-14578.949999999999</v>
      </c>
    </row>
    <row r="13" spans="1:8">
      <c r="A13" s="154">
        <v>45078</v>
      </c>
      <c r="B13" s="97" t="s">
        <v>545</v>
      </c>
      <c r="C13" s="97"/>
      <c r="D13" s="97"/>
      <c r="E13" s="60">
        <v>-674.74</v>
      </c>
      <c r="F13" s="152"/>
      <c r="G13" s="60">
        <v>-670.27</v>
      </c>
      <c r="H13" s="60">
        <f t="shared" si="0"/>
        <v>-15249.22</v>
      </c>
    </row>
    <row r="14" spans="1:8">
      <c r="B14" s="97" t="s">
        <v>67</v>
      </c>
      <c r="C14" s="97" t="s">
        <v>315</v>
      </c>
      <c r="D14" s="97"/>
      <c r="E14" s="60">
        <v>-150</v>
      </c>
      <c r="F14" s="152"/>
      <c r="G14" s="60"/>
      <c r="H14" s="60">
        <f t="shared" si="0"/>
        <v>-15249.22</v>
      </c>
    </row>
    <row r="15" spans="1:8">
      <c r="B15" s="102" t="s">
        <v>65</v>
      </c>
      <c r="C15" s="102"/>
      <c r="D15" s="102"/>
      <c r="E15" s="60">
        <v>-1000</v>
      </c>
      <c r="F15" s="152"/>
      <c r="G15" s="60">
        <v>-104</v>
      </c>
      <c r="H15" s="60">
        <f t="shared" si="0"/>
        <v>-15353.22</v>
      </c>
    </row>
    <row r="16" spans="1:8">
      <c r="B16" s="102" t="s">
        <v>66</v>
      </c>
      <c r="C16" s="102"/>
      <c r="D16" s="102"/>
      <c r="E16" s="60">
        <v>-150</v>
      </c>
      <c r="F16" s="152"/>
      <c r="G16" s="60">
        <v>-127</v>
      </c>
      <c r="H16" s="60">
        <f t="shared" si="0"/>
        <v>-15480.22</v>
      </c>
    </row>
    <row r="17" spans="1:8">
      <c r="B17" t="s">
        <v>69</v>
      </c>
      <c r="E17" s="60">
        <v>-3500</v>
      </c>
      <c r="F17" s="152"/>
      <c r="G17" s="60">
        <v>-3500</v>
      </c>
      <c r="H17" s="60">
        <f t="shared" si="0"/>
        <v>-18980.22</v>
      </c>
    </row>
    <row r="18" spans="1:8">
      <c r="B18" t="s">
        <v>70</v>
      </c>
      <c r="E18" s="60">
        <v>-3500</v>
      </c>
      <c r="F18" s="152"/>
      <c r="G18" s="60">
        <v>-3500</v>
      </c>
      <c r="H18" s="60">
        <f t="shared" si="0"/>
        <v>-22480.22</v>
      </c>
    </row>
    <row r="19" spans="1:8">
      <c r="B19" t="s">
        <v>71</v>
      </c>
      <c r="E19" s="60">
        <v>-2750</v>
      </c>
      <c r="F19" s="152"/>
      <c r="G19" s="60">
        <v>-2750</v>
      </c>
      <c r="H19" s="60">
        <f t="shared" si="0"/>
        <v>-25230.22</v>
      </c>
    </row>
    <row r="20" spans="1:8">
      <c r="B20" t="s">
        <v>2</v>
      </c>
      <c r="D20">
        <v>1111</v>
      </c>
      <c r="E20" s="152"/>
      <c r="F20" s="60"/>
      <c r="G20" s="60"/>
      <c r="H20" s="60">
        <f t="shared" si="0"/>
        <v>-25230.22</v>
      </c>
    </row>
    <row r="21" spans="1:8">
      <c r="B21" t="s">
        <v>68</v>
      </c>
      <c r="D21" s="175">
        <v>7500</v>
      </c>
      <c r="F21" s="60">
        <v>7500</v>
      </c>
      <c r="G21" s="60"/>
      <c r="H21" s="60">
        <f t="shared" si="0"/>
        <v>-17730.22</v>
      </c>
    </row>
    <row r="22" spans="1:8">
      <c r="B22" t="s">
        <v>1100</v>
      </c>
      <c r="D22" s="98"/>
      <c r="F22" s="60">
        <v>2000</v>
      </c>
      <c r="G22" s="60"/>
      <c r="H22" s="60">
        <f t="shared" si="0"/>
        <v>-15730.220000000001</v>
      </c>
    </row>
    <row r="23" spans="1:8">
      <c r="A23" s="154">
        <v>45119</v>
      </c>
      <c r="B23" s="8" t="s">
        <v>663</v>
      </c>
      <c r="D23" s="175">
        <v>2800</v>
      </c>
      <c r="F23" s="60">
        <v>2800</v>
      </c>
      <c r="G23" s="60"/>
      <c r="H23" s="60">
        <f t="shared" si="0"/>
        <v>-12930.220000000001</v>
      </c>
    </row>
    <row r="24" spans="1:8">
      <c r="B24" t="s">
        <v>1101</v>
      </c>
      <c r="D24" s="175">
        <v>6500</v>
      </c>
      <c r="F24" s="60">
        <v>6500</v>
      </c>
      <c r="G24" s="60"/>
      <c r="H24" s="60">
        <f t="shared" si="0"/>
        <v>-6430.2200000000012</v>
      </c>
    </row>
    <row r="25" spans="1:8">
      <c r="A25" s="96">
        <v>45107</v>
      </c>
      <c r="B25" s="8" t="s">
        <v>1102</v>
      </c>
      <c r="D25" s="175">
        <v>10833</v>
      </c>
      <c r="F25">
        <v>10833</v>
      </c>
      <c r="H25" s="60">
        <f t="shared" si="0"/>
        <v>4402.7799999999988</v>
      </c>
    </row>
    <row r="26" spans="1:8">
      <c r="A26" s="154">
        <v>45080</v>
      </c>
      <c r="B26" s="8" t="s">
        <v>1103</v>
      </c>
      <c r="D26" s="98"/>
      <c r="F26" s="60"/>
      <c r="G26" s="60"/>
      <c r="H26" s="60">
        <f t="shared" si="0"/>
        <v>4402.7799999999988</v>
      </c>
    </row>
    <row r="27" spans="1:8">
      <c r="A27" s="96"/>
      <c r="B27" s="8" t="s">
        <v>1104</v>
      </c>
      <c r="D27" s="98"/>
      <c r="G27">
        <v>-100</v>
      </c>
      <c r="H27" s="60">
        <f t="shared" si="0"/>
        <v>4302.7799999999988</v>
      </c>
    </row>
    <row r="28" spans="1:8">
      <c r="A28" s="154">
        <v>45092</v>
      </c>
      <c r="B28" s="8" t="s">
        <v>1105</v>
      </c>
      <c r="D28" s="60"/>
      <c r="F28" s="60">
        <v>3500</v>
      </c>
      <c r="G28" s="60"/>
      <c r="H28" s="60">
        <f t="shared" si="0"/>
        <v>7802.7799999999988</v>
      </c>
    </row>
    <row r="29" spans="1:8" ht="15">
      <c r="A29" s="154">
        <v>45092</v>
      </c>
      <c r="B29" s="309" t="s">
        <v>1106</v>
      </c>
      <c r="F29" s="60"/>
      <c r="G29" s="60">
        <v>-3500</v>
      </c>
      <c r="H29" s="60">
        <f t="shared" si="0"/>
        <v>4302.7799999999988</v>
      </c>
    </row>
    <row r="30" spans="1:8">
      <c r="E30" s="60"/>
      <c r="G30" s="60"/>
      <c r="H30" s="60"/>
    </row>
    <row r="31" spans="1:8">
      <c r="B31" t="s">
        <v>317</v>
      </c>
      <c r="E31" s="60"/>
      <c r="G31" s="60"/>
      <c r="H31" s="60"/>
    </row>
    <row r="32" spans="1:8">
      <c r="A32" s="99" t="s">
        <v>318</v>
      </c>
      <c r="B32" s="99"/>
      <c r="C32" s="99"/>
      <c r="D32" s="99"/>
      <c r="E32" s="147"/>
      <c r="G32" s="60"/>
      <c r="H32" s="60"/>
    </row>
    <row r="33" spans="1:8">
      <c r="A33" s="306"/>
      <c r="B33" s="301"/>
      <c r="C33" s="301"/>
      <c r="D33" s="301"/>
      <c r="E33" s="302"/>
      <c r="H33" s="60"/>
    </row>
    <row r="34" spans="1:8">
      <c r="A34" s="306"/>
      <c r="B34" s="301"/>
      <c r="C34" s="303"/>
      <c r="D34" s="301"/>
      <c r="E34" s="301"/>
      <c r="H34" s="60"/>
    </row>
    <row r="35" spans="1:8">
      <c r="A35" s="306"/>
      <c r="B35" s="301"/>
      <c r="C35" s="303"/>
      <c r="D35" s="301"/>
      <c r="E35" s="301"/>
      <c r="H35" s="60"/>
    </row>
    <row r="36" spans="1:8">
      <c r="A36" s="96"/>
      <c r="C36" s="160"/>
      <c r="H36" s="60"/>
    </row>
    <row r="37" spans="1:8">
      <c r="A37" s="161">
        <v>44929</v>
      </c>
      <c r="B37" s="162" t="s">
        <v>319</v>
      </c>
      <c r="C37" s="99"/>
      <c r="D37" s="190">
        <f>SUM(D38:D45)</f>
        <v>3377.9</v>
      </c>
      <c r="E37" s="190">
        <f>SUM(E38:E45)</f>
        <v>3379.06</v>
      </c>
      <c r="H37" s="60"/>
    </row>
    <row r="38" spans="1:8">
      <c r="A38">
        <v>20</v>
      </c>
      <c r="B38" t="s">
        <v>912</v>
      </c>
      <c r="D38">
        <v>557.09</v>
      </c>
      <c r="E38" s="60">
        <v>557</v>
      </c>
      <c r="F38" s="60"/>
      <c r="G38" s="60"/>
    </row>
    <row r="39" spans="1:8">
      <c r="A39">
        <v>50</v>
      </c>
      <c r="B39" t="s">
        <v>321</v>
      </c>
      <c r="D39">
        <v>927.27</v>
      </c>
      <c r="E39" s="60">
        <v>927</v>
      </c>
      <c r="F39" s="60"/>
      <c r="G39" s="60"/>
    </row>
    <row r="40" spans="1:8">
      <c r="A40">
        <v>10</v>
      </c>
      <c r="B40" t="s">
        <v>322</v>
      </c>
      <c r="D40">
        <v>129.21</v>
      </c>
      <c r="E40">
        <v>130</v>
      </c>
      <c r="F40" s="60"/>
      <c r="G40" s="60"/>
    </row>
    <row r="41" spans="1:8">
      <c r="A41">
        <v>20</v>
      </c>
      <c r="B41" t="s">
        <v>323</v>
      </c>
      <c r="D41">
        <v>1380.9</v>
      </c>
      <c r="E41">
        <v>1381</v>
      </c>
      <c r="F41" s="60"/>
      <c r="G41" s="60"/>
    </row>
    <row r="42" spans="1:8">
      <c r="A42">
        <v>30</v>
      </c>
      <c r="B42" t="s">
        <v>324</v>
      </c>
      <c r="D42">
        <v>339.37</v>
      </c>
      <c r="E42">
        <v>340</v>
      </c>
      <c r="F42" s="60"/>
      <c r="G42" s="60"/>
    </row>
    <row r="43" spans="1:8">
      <c r="A43">
        <v>10</v>
      </c>
      <c r="B43" t="s">
        <v>325</v>
      </c>
      <c r="C43" s="102"/>
      <c r="D43" s="102">
        <v>44.06</v>
      </c>
      <c r="E43">
        <v>44.06</v>
      </c>
      <c r="F43" s="60"/>
      <c r="G43" s="60"/>
    </row>
    <row r="44" spans="1:8">
      <c r="C44" s="102"/>
      <c r="E44" s="102"/>
      <c r="F44" s="60"/>
      <c r="G44" s="60"/>
    </row>
    <row r="45" spans="1:8">
      <c r="C45" s="102"/>
      <c r="D45" s="102"/>
      <c r="E45" s="152"/>
      <c r="F45" s="60"/>
      <c r="G45" s="60"/>
    </row>
    <row r="47" spans="1:8">
      <c r="B47" s="14"/>
    </row>
    <row r="48" spans="1:8">
      <c r="B48" s="98"/>
    </row>
    <row r="49" spans="1:8">
      <c r="A49" s="99"/>
      <c r="B49" s="100" t="s">
        <v>75</v>
      </c>
      <c r="C49" s="99"/>
      <c r="D49" s="147"/>
      <c r="E49" s="190">
        <f>SUM(E50:E69)</f>
        <v>-4946.47</v>
      </c>
    </row>
    <row r="50" spans="1:8">
      <c r="A50" s="96">
        <v>44873</v>
      </c>
      <c r="B50" s="8" t="s">
        <v>1046</v>
      </c>
      <c r="C50" s="102"/>
      <c r="D50" s="102" t="s">
        <v>387</v>
      </c>
      <c r="E50" s="152">
        <v>-1111.1099999999999</v>
      </c>
      <c r="F50">
        <v>3</v>
      </c>
      <c r="G50" s="60"/>
      <c r="H50" s="60"/>
    </row>
    <row r="51" spans="1:8">
      <c r="A51" s="96">
        <v>44982</v>
      </c>
      <c r="B51" s="8" t="s">
        <v>1107</v>
      </c>
      <c r="C51">
        <v>659.93</v>
      </c>
      <c r="D51" s="32" t="s">
        <v>975</v>
      </c>
      <c r="E51" s="152">
        <v>-164.98</v>
      </c>
      <c r="F51" s="60"/>
      <c r="G51" s="60"/>
      <c r="H51" s="60"/>
    </row>
    <row r="52" spans="1:8">
      <c r="A52" s="96">
        <v>44995</v>
      </c>
      <c r="B52" s="8" t="s">
        <v>763</v>
      </c>
      <c r="C52">
        <v>613.91</v>
      </c>
      <c r="D52" s="32" t="s">
        <v>1108</v>
      </c>
      <c r="E52" s="152">
        <v>-61.39</v>
      </c>
      <c r="F52" s="60">
        <v>3</v>
      </c>
      <c r="G52" s="60"/>
      <c r="H52" s="60"/>
    </row>
    <row r="53" spans="1:8">
      <c r="A53" s="96">
        <v>44995</v>
      </c>
      <c r="B53" s="8" t="s">
        <v>1109</v>
      </c>
      <c r="C53">
        <v>720.19</v>
      </c>
      <c r="D53" s="310" t="s">
        <v>1110</v>
      </c>
      <c r="E53" s="152">
        <v>-240.06</v>
      </c>
      <c r="F53" s="60"/>
      <c r="G53" s="60"/>
      <c r="H53" s="60"/>
    </row>
    <row r="54" spans="1:8">
      <c r="A54" s="96">
        <v>44995</v>
      </c>
      <c r="B54" s="8" t="s">
        <v>1020</v>
      </c>
      <c r="C54">
        <v>2258.94</v>
      </c>
      <c r="D54" s="32" t="s">
        <v>1111</v>
      </c>
      <c r="E54" s="152">
        <v>-376.49</v>
      </c>
      <c r="F54" s="60">
        <v>3</v>
      </c>
      <c r="G54" s="60"/>
      <c r="H54" s="60"/>
    </row>
    <row r="55" spans="1:8">
      <c r="A55" s="96"/>
      <c r="D55" s="32"/>
      <c r="E55" s="152"/>
      <c r="F55" s="60"/>
      <c r="G55" s="60"/>
      <c r="H55" s="60"/>
    </row>
    <row r="56" spans="1:8">
      <c r="A56" s="96"/>
      <c r="D56" s="32"/>
      <c r="E56" s="152"/>
      <c r="F56" s="60"/>
      <c r="G56" s="60"/>
      <c r="H56" s="60"/>
    </row>
    <row r="57" spans="1:8">
      <c r="A57" s="96">
        <v>45043</v>
      </c>
      <c r="B57" s="102" t="s">
        <v>715</v>
      </c>
      <c r="C57" s="102">
        <v>10764.57</v>
      </c>
      <c r="D57" s="32" t="s">
        <v>980</v>
      </c>
      <c r="E57" s="152">
        <v>-1196.06</v>
      </c>
      <c r="F57" s="60">
        <v>3</v>
      </c>
      <c r="G57" s="60"/>
      <c r="H57" s="60"/>
    </row>
    <row r="58" spans="1:8">
      <c r="A58" s="96">
        <v>45043</v>
      </c>
      <c r="B58" s="102" t="s">
        <v>941</v>
      </c>
      <c r="C58" s="102">
        <v>3299</v>
      </c>
      <c r="D58" s="32" t="s">
        <v>636</v>
      </c>
      <c r="E58" s="152">
        <v>-549.83000000000004</v>
      </c>
      <c r="F58" s="60">
        <v>3</v>
      </c>
      <c r="G58" s="60"/>
      <c r="H58" s="60"/>
    </row>
    <row r="59" spans="1:8">
      <c r="F59" s="60"/>
      <c r="G59" s="60"/>
      <c r="H59" s="60"/>
    </row>
    <row r="60" spans="1:8">
      <c r="A60" s="96">
        <v>45044</v>
      </c>
      <c r="B60" s="8" t="s">
        <v>943</v>
      </c>
      <c r="C60" s="102">
        <v>3123.29</v>
      </c>
      <c r="D60" s="193" t="s">
        <v>636</v>
      </c>
      <c r="E60" s="152">
        <v>-520.54999999999995</v>
      </c>
      <c r="F60" s="60">
        <v>3</v>
      </c>
      <c r="G60" s="60"/>
      <c r="H60" s="60"/>
    </row>
    <row r="61" spans="1:8">
      <c r="A61" s="96"/>
      <c r="C61" s="102"/>
      <c r="D61" s="193"/>
      <c r="E61" s="152"/>
      <c r="F61" s="60"/>
      <c r="G61" s="60"/>
      <c r="H61" s="60"/>
    </row>
    <row r="62" spans="1:8">
      <c r="A62" s="96">
        <v>45043</v>
      </c>
      <c r="B62" s="102" t="s">
        <v>1112</v>
      </c>
      <c r="C62" s="102">
        <v>-476.91</v>
      </c>
      <c r="D62" s="193"/>
      <c r="E62" s="152"/>
      <c r="F62" s="60"/>
      <c r="G62" s="60"/>
      <c r="H62" s="60"/>
    </row>
    <row r="63" spans="1:8">
      <c r="A63" s="96">
        <v>45043</v>
      </c>
      <c r="B63" s="8" t="s">
        <v>1113</v>
      </c>
      <c r="E63" s="152">
        <v>-496</v>
      </c>
    </row>
    <row r="64" spans="1:8">
      <c r="A64" s="96">
        <v>45043</v>
      </c>
      <c r="B64" s="102" t="s">
        <v>1114</v>
      </c>
      <c r="C64" s="102"/>
      <c r="D64" s="102"/>
      <c r="E64" s="152">
        <v>-120</v>
      </c>
    </row>
    <row r="65" spans="1:6">
      <c r="A65" s="96">
        <v>45044</v>
      </c>
      <c r="B65" s="8" t="s">
        <v>1115</v>
      </c>
      <c r="E65" s="152">
        <v>-321</v>
      </c>
      <c r="F65" s="60"/>
    </row>
    <row r="66" spans="1:6">
      <c r="A66" s="96">
        <v>45044</v>
      </c>
      <c r="B66" s="8" t="s">
        <v>1116</v>
      </c>
      <c r="E66" s="152">
        <v>110.52</v>
      </c>
      <c r="F66" s="60"/>
    </row>
    <row r="67" spans="1:6">
      <c r="A67" s="96"/>
      <c r="E67" s="152">
        <v>100.48</v>
      </c>
      <c r="F67" s="60"/>
    </row>
    <row r="68" spans="1:6">
      <c r="A68" s="96">
        <v>45051</v>
      </c>
      <c r="B68" s="8" t="s">
        <v>1117</v>
      </c>
      <c r="C68">
        <v>150</v>
      </c>
      <c r="D68" s="149">
        <v>45107</v>
      </c>
      <c r="E68" s="152"/>
    </row>
    <row r="69" spans="1:6">
      <c r="A69" s="96">
        <v>45062</v>
      </c>
      <c r="B69" s="8" t="s">
        <v>1117</v>
      </c>
      <c r="C69">
        <v>225</v>
      </c>
      <c r="E69" s="152"/>
    </row>
    <row r="70" spans="1:6">
      <c r="A70" s="96">
        <v>45062</v>
      </c>
      <c r="B70" s="8" t="s">
        <v>1117</v>
      </c>
      <c r="C70">
        <v>500</v>
      </c>
      <c r="E70" s="152"/>
    </row>
    <row r="71" spans="1:6">
      <c r="A71" s="96">
        <v>45066</v>
      </c>
      <c r="B71" s="8" t="s">
        <v>1118</v>
      </c>
      <c r="C71">
        <v>-187.19</v>
      </c>
      <c r="E71" s="152"/>
    </row>
    <row r="72" spans="1:6">
      <c r="A72" s="96"/>
      <c r="E72" s="152"/>
    </row>
    <row r="73" spans="1:6">
      <c r="A73" s="96"/>
      <c r="E73" s="152"/>
    </row>
    <row r="74" spans="1:6">
      <c r="A74" s="96"/>
      <c r="E74" s="152"/>
    </row>
    <row r="75" spans="1:6">
      <c r="A75" s="96"/>
      <c r="E75" s="152" t="s">
        <v>76</v>
      </c>
    </row>
    <row r="76" spans="1:6">
      <c r="A76" s="96"/>
      <c r="E76" s="152"/>
    </row>
    <row r="77" spans="1:6">
      <c r="A77" s="96"/>
      <c r="E77" s="152"/>
    </row>
    <row r="78" spans="1:6">
      <c r="A78" s="96"/>
      <c r="E78" s="152"/>
    </row>
    <row r="79" spans="1:6">
      <c r="A79" s="96"/>
      <c r="E79" s="152"/>
    </row>
    <row r="80" spans="1:6">
      <c r="A80" s="96"/>
      <c r="E80" s="152"/>
    </row>
    <row r="81" spans="1:8">
      <c r="A81" s="96"/>
      <c r="E81" s="152"/>
    </row>
    <row r="82" spans="1:8">
      <c r="D82" s="32"/>
    </row>
    <row r="84" spans="1:8">
      <c r="A84" s="99"/>
      <c r="B84" s="100" t="s">
        <v>77</v>
      </c>
      <c r="C84" s="99"/>
      <c r="D84" s="99"/>
      <c r="E84" s="148">
        <f>SUM(E85:E96)</f>
        <v>-1207.42</v>
      </c>
    </row>
    <row r="85" spans="1:8">
      <c r="A85" s="96">
        <v>45044</v>
      </c>
      <c r="B85" s="102" t="s">
        <v>1119</v>
      </c>
      <c r="C85" s="102"/>
      <c r="D85" s="102"/>
      <c r="E85" s="152">
        <v>-140</v>
      </c>
      <c r="F85" s="60" t="s">
        <v>1120</v>
      </c>
      <c r="G85" s="60"/>
      <c r="H85" s="60"/>
    </row>
    <row r="86" spans="1:8">
      <c r="A86" s="96">
        <v>45044</v>
      </c>
      <c r="B86" s="102" t="s">
        <v>1121</v>
      </c>
      <c r="C86" s="102"/>
      <c r="D86" s="102"/>
      <c r="E86" s="152">
        <v>-35.78</v>
      </c>
      <c r="F86" s="60" t="s">
        <v>1120</v>
      </c>
      <c r="G86" s="60"/>
      <c r="H86" s="60"/>
    </row>
    <row r="87" spans="1:8">
      <c r="A87" s="96">
        <v>45045</v>
      </c>
      <c r="B87" s="102" t="s">
        <v>261</v>
      </c>
      <c r="C87" s="102">
        <v>-221.54</v>
      </c>
      <c r="D87" s="102"/>
      <c r="E87" s="152"/>
      <c r="F87" s="60" t="s">
        <v>1120</v>
      </c>
      <c r="G87" s="60"/>
      <c r="H87" s="60"/>
    </row>
    <row r="88" spans="1:8">
      <c r="A88" s="96">
        <v>45023</v>
      </c>
      <c r="B88" s="102" t="s">
        <v>119</v>
      </c>
      <c r="C88" s="102"/>
      <c r="D88" s="102"/>
      <c r="E88" s="152">
        <v>-39.950000000000003</v>
      </c>
      <c r="F88" s="60" t="s">
        <v>1120</v>
      </c>
      <c r="G88" s="60"/>
      <c r="H88" s="60"/>
    </row>
    <row r="89" spans="1:8">
      <c r="A89" s="96">
        <v>45023</v>
      </c>
      <c r="B89" s="102" t="s">
        <v>119</v>
      </c>
      <c r="C89" s="102"/>
      <c r="D89" s="102"/>
      <c r="E89" s="152">
        <v>-154.44999999999999</v>
      </c>
      <c r="F89" s="60" t="s">
        <v>1120</v>
      </c>
      <c r="G89" s="60"/>
      <c r="H89" s="60"/>
    </row>
    <row r="90" spans="1:8">
      <c r="A90" s="96">
        <v>45023</v>
      </c>
      <c r="B90" s="103" t="s">
        <v>119</v>
      </c>
      <c r="E90" s="152">
        <v>-260</v>
      </c>
      <c r="F90" s="60" t="s">
        <v>1120</v>
      </c>
    </row>
    <row r="91" spans="1:8">
      <c r="A91" s="96">
        <v>45026</v>
      </c>
      <c r="B91" s="8" t="s">
        <v>1122</v>
      </c>
      <c r="E91" s="152">
        <v>-140</v>
      </c>
      <c r="F91" s="60" t="s">
        <v>1120</v>
      </c>
    </row>
    <row r="92" spans="1:8">
      <c r="A92" s="96">
        <v>45026</v>
      </c>
      <c r="B92" s="8" t="s">
        <v>1121</v>
      </c>
      <c r="E92" s="152">
        <v>-57.07</v>
      </c>
      <c r="F92" s="60" t="s">
        <v>1120</v>
      </c>
    </row>
    <row r="93" spans="1:8">
      <c r="A93" s="96">
        <v>45026</v>
      </c>
      <c r="B93" s="8" t="s">
        <v>944</v>
      </c>
      <c r="C93">
        <v>1140.99</v>
      </c>
      <c r="D93" s="8" t="s">
        <v>947</v>
      </c>
      <c r="E93" s="152">
        <v>-190.17</v>
      </c>
      <c r="F93" s="8" t="s">
        <v>1120</v>
      </c>
    </row>
    <row r="94" spans="1:8">
      <c r="A94" s="96">
        <v>45061</v>
      </c>
      <c r="B94" s="8" t="s">
        <v>1123</v>
      </c>
      <c r="E94" s="152">
        <v>-190</v>
      </c>
      <c r="F94" s="60" t="s">
        <v>1120</v>
      </c>
    </row>
    <row r="95" spans="1:8">
      <c r="E95" t="s">
        <v>76</v>
      </c>
    </row>
    <row r="96" spans="1:8">
      <c r="D96" s="32"/>
    </row>
    <row r="97" spans="1:5">
      <c r="D97" s="32"/>
    </row>
    <row r="111" spans="1:5">
      <c r="A111" s="109" t="s">
        <v>1124</v>
      </c>
      <c r="B111" s="100" t="s">
        <v>1125</v>
      </c>
      <c r="C111" s="99"/>
      <c r="D111" s="147"/>
      <c r="E111" s="148">
        <f>SUM(E112:E120)</f>
        <v>377425.43</v>
      </c>
    </row>
    <row r="112" spans="1:5">
      <c r="A112" s="96">
        <v>45077</v>
      </c>
      <c r="B112" s="8" t="s">
        <v>69</v>
      </c>
      <c r="C112" s="2"/>
      <c r="D112" s="2"/>
      <c r="E112" s="14">
        <v>64000</v>
      </c>
    </row>
    <row r="113" spans="1:5">
      <c r="A113" s="96">
        <v>45077</v>
      </c>
      <c r="B113" s="8" t="s">
        <v>1060</v>
      </c>
      <c r="C113" s="2">
        <v>1380</v>
      </c>
      <c r="D113" s="2"/>
      <c r="E113" s="14">
        <v>53088</v>
      </c>
    </row>
    <row r="114" spans="1:5">
      <c r="A114" s="96">
        <v>45077</v>
      </c>
      <c r="B114" s="8" t="s">
        <v>292</v>
      </c>
      <c r="C114" s="2"/>
      <c r="D114" s="2"/>
      <c r="E114" s="14">
        <v>28049.84</v>
      </c>
    </row>
    <row r="115" spans="1:5">
      <c r="A115" s="96">
        <v>45077</v>
      </c>
      <c r="B115" s="8" t="s">
        <v>293</v>
      </c>
      <c r="C115" s="2"/>
      <c r="D115" s="2"/>
      <c r="E115" s="14">
        <v>6000.59</v>
      </c>
    </row>
    <row r="116" spans="1:5">
      <c r="A116" s="96">
        <v>45077</v>
      </c>
      <c r="B116" s="8" t="s">
        <v>997</v>
      </c>
      <c r="C116" s="2">
        <v>1438</v>
      </c>
      <c r="D116" s="2">
        <v>111</v>
      </c>
      <c r="E116" s="14">
        <f>D116*C116</f>
        <v>159618</v>
      </c>
    </row>
    <row r="117" spans="1:5">
      <c r="A117" s="96">
        <v>45077</v>
      </c>
      <c r="B117" s="8" t="s">
        <v>1094</v>
      </c>
      <c r="C117" s="2">
        <v>23.34</v>
      </c>
      <c r="D117" s="2">
        <v>850</v>
      </c>
      <c r="E117" s="14">
        <f>D117*C117</f>
        <v>19839</v>
      </c>
    </row>
    <row r="118" spans="1:5">
      <c r="A118" s="96">
        <v>45077</v>
      </c>
      <c r="B118" s="8" t="s">
        <v>1095</v>
      </c>
      <c r="C118" s="2">
        <v>25.3</v>
      </c>
      <c r="D118" s="2">
        <v>100</v>
      </c>
      <c r="E118" s="14">
        <f>D118*C118</f>
        <v>2530</v>
      </c>
    </row>
    <row r="119" spans="1:5">
      <c r="A119" s="96">
        <v>45077</v>
      </c>
      <c r="B119" s="8" t="s">
        <v>144</v>
      </c>
      <c r="C119" s="2"/>
      <c r="D119" s="2"/>
      <c r="E119" s="14">
        <v>42600</v>
      </c>
    </row>
    <row r="120" spans="1:5">
      <c r="A120" s="96"/>
      <c r="B120" s="8" t="s">
        <v>145</v>
      </c>
      <c r="C120" s="2"/>
      <c r="D120" s="2"/>
      <c r="E120" s="14">
        <v>1700</v>
      </c>
    </row>
    <row r="121" spans="1:5">
      <c r="D121" s="15" t="s">
        <v>1126</v>
      </c>
      <c r="E121" s="60">
        <f>H8</f>
        <v>-5855.47</v>
      </c>
    </row>
    <row r="122" spans="1:5">
      <c r="D122" s="3"/>
    </row>
    <row r="123" spans="1:5">
      <c r="D123" s="15" t="s">
        <v>147</v>
      </c>
      <c r="E123" s="8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75623"/>
  </sheetPr>
  <dimension ref="A1:H145"/>
  <sheetViews>
    <sheetView topLeftCell="A2" zoomScale="130" zoomScaleNormal="130" workbookViewId="0">
      <selection activeCell="B32" sqref="B32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1127</v>
      </c>
      <c r="C2" s="76" t="s">
        <v>59</v>
      </c>
      <c r="D2" s="295">
        <f>SUM(D4:D40)</f>
        <v>17911</v>
      </c>
      <c r="E2" s="295">
        <f>SUM(E4:E39)</f>
        <v>-20977.52</v>
      </c>
      <c r="F2" s="295">
        <f>SUM(F4:F41)</f>
        <v>19800</v>
      </c>
      <c r="G2" s="295">
        <f>SUM(G4:G41)</f>
        <v>-25248.52</v>
      </c>
      <c r="H2" s="295">
        <f>F2+G2</f>
        <v>-5448.52</v>
      </c>
    </row>
    <row r="3" spans="1:8">
      <c r="B3" s="15"/>
      <c r="H3" s="60"/>
    </row>
    <row r="4" spans="1:8">
      <c r="B4" s="97" t="s">
        <v>72</v>
      </c>
      <c r="C4" s="97"/>
      <c r="D4" s="97"/>
      <c r="E4" s="60">
        <v>-400</v>
      </c>
      <c r="G4" s="60">
        <v>-267</v>
      </c>
      <c r="H4" s="60">
        <f t="shared" ref="H4:H23" si="0">H3+F4+G4</f>
        <v>-267</v>
      </c>
    </row>
    <row r="5" spans="1:8">
      <c r="B5" s="97" t="s">
        <v>73</v>
      </c>
      <c r="C5" s="97"/>
      <c r="D5" s="97"/>
      <c r="E5" s="60">
        <v>-500</v>
      </c>
      <c r="G5" s="60">
        <v>-504</v>
      </c>
      <c r="H5" s="60">
        <f t="shared" si="0"/>
        <v>-771</v>
      </c>
    </row>
    <row r="6" spans="1:8">
      <c r="B6" s="167" t="s">
        <v>64</v>
      </c>
      <c r="D6" s="60"/>
      <c r="E6" s="60">
        <f>D53*-1</f>
        <v>-110</v>
      </c>
      <c r="F6" s="60"/>
      <c r="G6" s="60">
        <v>-110</v>
      </c>
      <c r="H6" s="60">
        <f t="shared" si="0"/>
        <v>-881</v>
      </c>
    </row>
    <row r="7" spans="1:8">
      <c r="B7" s="167" t="s">
        <v>60</v>
      </c>
      <c r="E7" s="60">
        <f>E59</f>
        <v>-4975.71</v>
      </c>
      <c r="F7" s="60"/>
      <c r="G7" s="60">
        <v>-4975.71</v>
      </c>
      <c r="H7" s="60">
        <f t="shared" si="0"/>
        <v>-5856.71</v>
      </c>
    </row>
    <row r="8" spans="1:8">
      <c r="B8" s="167" t="s">
        <v>61</v>
      </c>
      <c r="E8" s="60">
        <f>E80</f>
        <v>-221.54</v>
      </c>
      <c r="G8" s="60">
        <v>-221.54</v>
      </c>
      <c r="H8" s="60">
        <f t="shared" si="0"/>
        <v>-6078.25</v>
      </c>
    </row>
    <row r="9" spans="1:8">
      <c r="A9" s="96">
        <v>45051</v>
      </c>
      <c r="B9" s="97" t="s">
        <v>1128</v>
      </c>
      <c r="C9" s="97"/>
      <c r="D9" s="97"/>
      <c r="E9" s="60">
        <v>-250</v>
      </c>
      <c r="G9" s="60">
        <v>-250</v>
      </c>
      <c r="H9" s="60">
        <f t="shared" si="0"/>
        <v>-6328.25</v>
      </c>
    </row>
    <row r="10" spans="1:8">
      <c r="A10" s="96">
        <v>44933</v>
      </c>
      <c r="B10" s="97" t="s">
        <v>595</v>
      </c>
      <c r="C10" s="97"/>
      <c r="D10" s="97"/>
      <c r="E10" s="60">
        <v>-4300</v>
      </c>
      <c r="G10" s="60">
        <v>-4300</v>
      </c>
      <c r="H10" s="60">
        <f t="shared" si="0"/>
        <v>-10628.25</v>
      </c>
    </row>
    <row r="11" spans="1:8">
      <c r="B11" s="97" t="s">
        <v>594</v>
      </c>
      <c r="C11" s="97"/>
      <c r="D11" s="97"/>
      <c r="E11" s="60">
        <v>-670.27</v>
      </c>
      <c r="F11" s="152"/>
      <c r="G11" s="60">
        <v>-670.27</v>
      </c>
      <c r="H11" s="60">
        <f t="shared" si="0"/>
        <v>-11298.52</v>
      </c>
    </row>
    <row r="12" spans="1:8">
      <c r="B12" s="97" t="s">
        <v>1129</v>
      </c>
      <c r="C12" s="97" t="s">
        <v>315</v>
      </c>
      <c r="D12" s="97"/>
      <c r="E12" s="60">
        <v>-150</v>
      </c>
      <c r="F12" s="152"/>
      <c r="G12" s="60">
        <v>0</v>
      </c>
      <c r="H12" s="60">
        <f t="shared" si="0"/>
        <v>-11298.52</v>
      </c>
    </row>
    <row r="13" spans="1:8">
      <c r="B13" s="102" t="s">
        <v>65</v>
      </c>
      <c r="C13" s="102" t="s">
        <v>315</v>
      </c>
      <c r="D13" s="102"/>
      <c r="E13" s="60">
        <v>-1000</v>
      </c>
      <c r="F13" s="152"/>
      <c r="G13" s="60">
        <v>0</v>
      </c>
      <c r="H13" s="60">
        <f t="shared" si="0"/>
        <v>-11298.52</v>
      </c>
    </row>
    <row r="14" spans="1:8">
      <c r="B14" s="102" t="s">
        <v>66</v>
      </c>
      <c r="C14" s="102" t="s">
        <v>315</v>
      </c>
      <c r="D14" s="102"/>
      <c r="E14" s="60">
        <v>-150</v>
      </c>
      <c r="F14" s="152"/>
      <c r="G14" s="60">
        <v>0</v>
      </c>
      <c r="H14" s="60">
        <f t="shared" si="0"/>
        <v>-11298.52</v>
      </c>
    </row>
    <row r="15" spans="1:8">
      <c r="B15" t="s">
        <v>69</v>
      </c>
      <c r="E15" s="60">
        <v>-2750</v>
      </c>
      <c r="F15" s="60"/>
      <c r="G15" s="60">
        <v>-3500</v>
      </c>
      <c r="H15" s="60">
        <f t="shared" si="0"/>
        <v>-14798.52</v>
      </c>
    </row>
    <row r="16" spans="1:8">
      <c r="B16" t="s">
        <v>70</v>
      </c>
      <c r="E16" s="60">
        <v>-2750</v>
      </c>
      <c r="F16" s="60"/>
      <c r="G16" s="60">
        <v>-3500</v>
      </c>
      <c r="H16" s="60">
        <f t="shared" si="0"/>
        <v>-18298.52</v>
      </c>
    </row>
    <row r="17" spans="1:8">
      <c r="B17" t="s">
        <v>71</v>
      </c>
      <c r="E17" s="60">
        <v>-2750</v>
      </c>
      <c r="F17" s="60"/>
      <c r="G17" s="60">
        <v>-3500</v>
      </c>
      <c r="H17" s="60">
        <f t="shared" si="0"/>
        <v>-21798.52</v>
      </c>
    </row>
    <row r="18" spans="1:8">
      <c r="B18" t="s">
        <v>2</v>
      </c>
      <c r="D18">
        <v>1111</v>
      </c>
      <c r="E18" s="60"/>
      <c r="F18" s="60"/>
      <c r="G18" s="60"/>
      <c r="H18" s="60">
        <f t="shared" si="0"/>
        <v>-21798.52</v>
      </c>
    </row>
    <row r="19" spans="1:8">
      <c r="B19" t="s">
        <v>68</v>
      </c>
      <c r="D19" s="98">
        <v>7500</v>
      </c>
      <c r="F19" s="60">
        <v>7500</v>
      </c>
      <c r="G19" s="60"/>
      <c r="H19" s="60">
        <f t="shared" si="0"/>
        <v>-14298.52</v>
      </c>
    </row>
    <row r="20" spans="1:8">
      <c r="A20" s="154">
        <v>45070</v>
      </c>
      <c r="B20" s="8" t="s">
        <v>663</v>
      </c>
      <c r="D20" s="98">
        <v>2800</v>
      </c>
      <c r="F20" s="60">
        <v>2800</v>
      </c>
      <c r="G20" s="60"/>
      <c r="H20" s="60">
        <f t="shared" si="0"/>
        <v>-11498.52</v>
      </c>
    </row>
    <row r="21" spans="1:8">
      <c r="A21" s="154">
        <v>45080</v>
      </c>
      <c r="B21" s="8" t="s">
        <v>1130</v>
      </c>
      <c r="D21" s="98">
        <v>6500</v>
      </c>
      <c r="F21" s="60">
        <v>6500</v>
      </c>
      <c r="G21" s="60"/>
      <c r="H21" s="60">
        <f t="shared" si="0"/>
        <v>-4998.5200000000004</v>
      </c>
    </row>
    <row r="22" spans="1:8">
      <c r="A22" s="96">
        <v>45061</v>
      </c>
      <c r="B22" s="8" t="s">
        <v>1131</v>
      </c>
      <c r="D22" s="98"/>
      <c r="F22">
        <v>3000</v>
      </c>
      <c r="H22" s="60">
        <f t="shared" si="0"/>
        <v>-1998.5200000000004</v>
      </c>
    </row>
    <row r="23" spans="1:8">
      <c r="A23" s="96">
        <v>45031</v>
      </c>
      <c r="B23" s="8" t="s">
        <v>1106</v>
      </c>
      <c r="D23" s="98"/>
      <c r="F23" s="60"/>
      <c r="G23" s="60">
        <v>-3450</v>
      </c>
      <c r="H23" s="60">
        <f t="shared" si="0"/>
        <v>-5448.52</v>
      </c>
    </row>
    <row r="24" spans="1:8">
      <c r="A24" s="96"/>
      <c r="D24" s="98"/>
      <c r="F24" s="60"/>
      <c r="G24" s="60"/>
      <c r="H24" s="60"/>
    </row>
    <row r="25" spans="1:8">
      <c r="A25" s="96"/>
      <c r="D25" s="98"/>
      <c r="F25" s="60"/>
      <c r="G25" s="60"/>
      <c r="H25" s="60"/>
    </row>
    <row r="26" spans="1:8">
      <c r="A26" s="96"/>
      <c r="D26" s="98"/>
      <c r="F26" s="60"/>
      <c r="G26" s="60"/>
      <c r="H26" s="60"/>
    </row>
    <row r="27" spans="1:8">
      <c r="A27" s="96"/>
      <c r="D27" s="98"/>
      <c r="H27" s="60"/>
    </row>
    <row r="28" spans="1:8">
      <c r="A28" s="96"/>
      <c r="B28" s="97" t="s">
        <v>1132</v>
      </c>
      <c r="C28" s="97"/>
      <c r="D28" s="97"/>
      <c r="E28" s="152"/>
      <c r="H28" s="60"/>
    </row>
    <row r="29" spans="1:8">
      <c r="A29" s="96"/>
      <c r="B29" s="97" t="s">
        <v>1133</v>
      </c>
      <c r="C29" s="97"/>
      <c r="D29" s="97"/>
      <c r="E29" s="152"/>
      <c r="H29" s="60"/>
    </row>
    <row r="30" spans="1:8">
      <c r="A30" s="96"/>
      <c r="B30" s="97" t="s">
        <v>1134</v>
      </c>
      <c r="C30" s="97"/>
      <c r="D30" s="97"/>
      <c r="E30" s="152"/>
      <c r="H30" s="60"/>
    </row>
    <row r="31" spans="1:8">
      <c r="A31" s="96"/>
      <c r="B31" s="97" t="s">
        <v>110</v>
      </c>
      <c r="C31" s="97"/>
      <c r="D31" s="97"/>
      <c r="E31" s="152"/>
      <c r="H31" s="60"/>
    </row>
    <row r="32" spans="1:8">
      <c r="A32" s="96"/>
      <c r="B32" s="97" t="s">
        <v>1135</v>
      </c>
      <c r="C32" s="97" t="s">
        <v>1136</v>
      </c>
      <c r="D32" s="97"/>
      <c r="E32" s="152"/>
      <c r="H32" s="60"/>
    </row>
    <row r="33" spans="1:8">
      <c r="A33" s="96"/>
      <c r="B33" s="8" t="s">
        <v>1137</v>
      </c>
      <c r="C33" s="97"/>
      <c r="D33" s="97"/>
      <c r="E33" s="152"/>
      <c r="H33" s="60"/>
    </row>
    <row r="34" spans="1:8">
      <c r="A34" s="96"/>
      <c r="B34" s="8" t="s">
        <v>1138</v>
      </c>
      <c r="C34" s="97"/>
      <c r="D34" s="97"/>
      <c r="E34" s="152"/>
      <c r="H34" s="60"/>
    </row>
    <row r="35" spans="1:8">
      <c r="A35" s="96"/>
      <c r="B35" s="97" t="s">
        <v>1139</v>
      </c>
      <c r="C35" s="97"/>
      <c r="D35" s="97"/>
      <c r="E35" s="152"/>
      <c r="H35" s="60"/>
    </row>
    <row r="36" spans="1:8">
      <c r="A36" s="96"/>
      <c r="B36" s="97" t="s">
        <v>1140</v>
      </c>
      <c r="C36" s="97"/>
      <c r="D36" s="97"/>
      <c r="E36" s="152"/>
      <c r="H36" s="60"/>
    </row>
    <row r="37" spans="1:8">
      <c r="A37" s="96"/>
      <c r="B37" s="97"/>
      <c r="C37" s="97"/>
      <c r="D37" s="97"/>
      <c r="E37" s="152"/>
      <c r="H37" s="60"/>
    </row>
    <row r="38" spans="1:8">
      <c r="D38" s="60"/>
      <c r="F38" s="60"/>
      <c r="G38" s="60"/>
      <c r="H38" s="60"/>
    </row>
    <row r="39" spans="1:8" ht="15.75">
      <c r="B39" s="168"/>
      <c r="F39" s="60"/>
      <c r="G39" s="60"/>
      <c r="H39" s="60"/>
    </row>
    <row r="40" spans="1:8">
      <c r="E40" s="60"/>
      <c r="G40" s="60"/>
      <c r="H40" s="60"/>
    </row>
    <row r="41" spans="1:8">
      <c r="B41" t="s">
        <v>317</v>
      </c>
      <c r="E41" s="60"/>
      <c r="G41" s="60"/>
      <c r="H41" s="60"/>
    </row>
    <row r="42" spans="1:8">
      <c r="A42" s="99" t="s">
        <v>318</v>
      </c>
      <c r="B42" s="99"/>
      <c r="C42" s="99"/>
      <c r="D42" s="99"/>
      <c r="E42" s="147"/>
      <c r="G42" s="60"/>
      <c r="H42" s="60"/>
    </row>
    <row r="43" spans="1:8">
      <c r="A43" s="306"/>
      <c r="B43" s="301"/>
      <c r="C43" s="301"/>
      <c r="D43" s="301"/>
      <c r="E43" s="302"/>
      <c r="H43" s="60"/>
    </row>
    <row r="44" spans="1:8">
      <c r="A44" s="306"/>
      <c r="B44" s="301"/>
      <c r="C44" s="303"/>
      <c r="D44" s="301"/>
      <c r="E44" s="301"/>
      <c r="H44" s="60"/>
    </row>
    <row r="45" spans="1:8">
      <c r="A45" s="306"/>
      <c r="B45" s="301"/>
      <c r="C45" s="303"/>
      <c r="D45" s="301"/>
      <c r="E45" s="301"/>
      <c r="H45" s="60"/>
    </row>
    <row r="46" spans="1:8">
      <c r="A46" s="96"/>
      <c r="C46" s="160"/>
      <c r="H46" s="60"/>
    </row>
    <row r="47" spans="1:8">
      <c r="A47" s="161">
        <v>44929</v>
      </c>
      <c r="B47" s="162" t="s">
        <v>319</v>
      </c>
      <c r="C47" s="99"/>
      <c r="D47" s="190">
        <f>SUM(D48:D55)</f>
        <v>2838.0099999999998</v>
      </c>
      <c r="E47" s="190">
        <f>SUM(E48:E55)</f>
        <v>2839.5</v>
      </c>
      <c r="H47" s="60"/>
    </row>
    <row r="48" spans="1:8">
      <c r="B48" t="s">
        <v>912</v>
      </c>
      <c r="D48">
        <v>509.04</v>
      </c>
      <c r="E48" s="60">
        <v>510</v>
      </c>
      <c r="F48" s="60"/>
      <c r="G48" s="60"/>
    </row>
    <row r="49" spans="1:8">
      <c r="B49" t="s">
        <v>321</v>
      </c>
      <c r="D49">
        <v>938.46</v>
      </c>
      <c r="E49" s="60">
        <v>938.5</v>
      </c>
      <c r="F49" s="60"/>
      <c r="G49" s="60"/>
    </row>
    <row r="50" spans="1:8">
      <c r="B50" t="s">
        <v>322</v>
      </c>
      <c r="D50">
        <v>126.34</v>
      </c>
      <c r="E50">
        <v>126</v>
      </c>
      <c r="F50" s="60"/>
      <c r="G50" s="60"/>
    </row>
    <row r="51" spans="1:8">
      <c r="B51" t="s">
        <v>323</v>
      </c>
      <c r="D51">
        <v>934.05</v>
      </c>
      <c r="E51">
        <v>935</v>
      </c>
      <c r="F51" s="60"/>
      <c r="G51" s="60"/>
    </row>
    <row r="52" spans="1:8">
      <c r="B52" t="s">
        <v>324</v>
      </c>
      <c r="D52">
        <v>220.12</v>
      </c>
      <c r="E52">
        <v>220</v>
      </c>
      <c r="F52" s="60"/>
      <c r="G52" s="60"/>
    </row>
    <row r="53" spans="1:8">
      <c r="B53" t="s">
        <v>325</v>
      </c>
      <c r="C53" s="102"/>
      <c r="D53" s="102">
        <v>110</v>
      </c>
      <c r="E53">
        <v>110</v>
      </c>
      <c r="F53" s="60"/>
      <c r="G53" s="60"/>
    </row>
    <row r="54" spans="1:8">
      <c r="C54" s="102"/>
      <c r="E54" s="102"/>
      <c r="F54" s="60"/>
      <c r="G54" s="60"/>
    </row>
    <row r="55" spans="1:8">
      <c r="C55" s="102"/>
      <c r="D55" s="102"/>
      <c r="E55" s="152"/>
      <c r="F55" s="60"/>
      <c r="G55" s="60"/>
    </row>
    <row r="57" spans="1:8">
      <c r="B57" s="14"/>
    </row>
    <row r="58" spans="1:8">
      <c r="B58" s="98"/>
    </row>
    <row r="59" spans="1:8">
      <c r="A59" s="99"/>
      <c r="B59" s="100" t="s">
        <v>75</v>
      </c>
      <c r="C59" s="99"/>
      <c r="D59" s="147"/>
      <c r="E59" s="148">
        <f>SUM(E60:E77)</f>
        <v>-4975.71</v>
      </c>
    </row>
    <row r="60" spans="1:8">
      <c r="A60" s="96">
        <v>44873</v>
      </c>
      <c r="B60" s="8" t="s">
        <v>1046</v>
      </c>
      <c r="C60" s="102"/>
      <c r="D60" s="102" t="s">
        <v>666</v>
      </c>
      <c r="E60" s="152">
        <v>-1111.1099999999999</v>
      </c>
      <c r="G60" s="60"/>
      <c r="H60" s="60"/>
    </row>
    <row r="61" spans="1:8">
      <c r="A61" s="96">
        <v>45016</v>
      </c>
      <c r="B61" s="8" t="s">
        <v>809</v>
      </c>
      <c r="C61">
        <v>437.97</v>
      </c>
      <c r="D61" s="32" t="s">
        <v>1110</v>
      </c>
      <c r="E61" s="152">
        <v>-145.99</v>
      </c>
      <c r="F61" s="60"/>
      <c r="G61" s="60"/>
      <c r="H61" s="60"/>
    </row>
    <row r="62" spans="1:8">
      <c r="A62" s="96">
        <v>45016</v>
      </c>
      <c r="B62" s="8" t="s">
        <v>810</v>
      </c>
      <c r="C62">
        <v>404.23</v>
      </c>
      <c r="D62" s="32" t="s">
        <v>1110</v>
      </c>
      <c r="E62" s="152">
        <v>-134.75</v>
      </c>
      <c r="F62" s="60"/>
      <c r="G62" s="60"/>
      <c r="H62" s="60"/>
    </row>
    <row r="63" spans="1:8">
      <c r="A63" s="96">
        <v>45016</v>
      </c>
      <c r="B63" s="8" t="s">
        <v>811</v>
      </c>
      <c r="C63">
        <v>1135</v>
      </c>
      <c r="D63" s="32" t="s">
        <v>1110</v>
      </c>
      <c r="E63" s="152">
        <v>-378.34</v>
      </c>
      <c r="F63" s="60"/>
      <c r="G63" s="60"/>
      <c r="H63" s="60"/>
    </row>
    <row r="64" spans="1:8">
      <c r="A64" s="96">
        <v>44982</v>
      </c>
      <c r="B64" s="8" t="s">
        <v>1107</v>
      </c>
      <c r="C64">
        <v>659.93</v>
      </c>
      <c r="D64" s="32" t="s">
        <v>1021</v>
      </c>
      <c r="E64" s="152">
        <v>-164.98</v>
      </c>
      <c r="F64" s="60"/>
      <c r="G64" s="60"/>
      <c r="H64" s="60"/>
    </row>
    <row r="65" spans="1:8">
      <c r="A65" s="96">
        <v>44995</v>
      </c>
      <c r="B65" s="8" t="s">
        <v>1109</v>
      </c>
      <c r="C65">
        <v>720.19</v>
      </c>
      <c r="D65" s="310" t="s">
        <v>1141</v>
      </c>
      <c r="E65" s="152">
        <v>-240.06</v>
      </c>
      <c r="F65" s="60"/>
      <c r="G65" s="60"/>
      <c r="H65" s="60"/>
    </row>
    <row r="66" spans="1:8">
      <c r="A66" s="96">
        <v>44995</v>
      </c>
      <c r="B66" s="8" t="s">
        <v>763</v>
      </c>
      <c r="C66">
        <v>613.91</v>
      </c>
      <c r="D66" s="32" t="s">
        <v>1142</v>
      </c>
      <c r="E66" s="152">
        <v>-61.39</v>
      </c>
      <c r="F66" s="60"/>
      <c r="G66" s="60"/>
      <c r="H66" s="60"/>
    </row>
    <row r="67" spans="1:8">
      <c r="A67" s="96">
        <v>44995</v>
      </c>
      <c r="B67" s="8" t="s">
        <v>1020</v>
      </c>
      <c r="C67">
        <v>2258.94</v>
      </c>
      <c r="D67" s="32" t="s">
        <v>597</v>
      </c>
      <c r="E67" s="152">
        <v>-376.49</v>
      </c>
      <c r="F67" s="60"/>
      <c r="G67" s="60"/>
      <c r="H67" s="60"/>
    </row>
    <row r="68" spans="1:8">
      <c r="A68" s="96">
        <v>45013</v>
      </c>
      <c r="B68" s="102" t="s">
        <v>1143</v>
      </c>
      <c r="C68" s="102"/>
      <c r="D68" s="102"/>
      <c r="E68" s="152">
        <v>-800</v>
      </c>
      <c r="F68" s="60"/>
      <c r="G68" s="60"/>
      <c r="H68" s="60"/>
    </row>
    <row r="69" spans="1:8">
      <c r="A69" s="96">
        <v>45013</v>
      </c>
      <c r="B69" s="8" t="s">
        <v>1144</v>
      </c>
      <c r="C69" s="102"/>
      <c r="D69" s="102"/>
      <c r="E69" s="152">
        <v>-294.89999999999998</v>
      </c>
      <c r="F69" s="60"/>
      <c r="G69" s="60"/>
      <c r="H69" s="60"/>
    </row>
    <row r="70" spans="1:8">
      <c r="A70" s="96">
        <v>45015</v>
      </c>
      <c r="B70" s="8" t="s">
        <v>1145</v>
      </c>
      <c r="E70" s="152">
        <v>-291.8</v>
      </c>
    </row>
    <row r="71" spans="1:8">
      <c r="A71" s="96">
        <v>45025</v>
      </c>
      <c r="E71" s="152">
        <v>-77.52</v>
      </c>
    </row>
    <row r="72" spans="1:8">
      <c r="A72" s="96">
        <v>45025</v>
      </c>
      <c r="B72" s="8" t="s">
        <v>406</v>
      </c>
      <c r="E72" s="152">
        <v>-158.63999999999999</v>
      </c>
    </row>
    <row r="73" spans="1:8">
      <c r="A73" s="96">
        <v>45037</v>
      </c>
      <c r="B73" s="8" t="s">
        <v>1049</v>
      </c>
      <c r="D73" s="32"/>
      <c r="E73" s="152">
        <v>-100</v>
      </c>
    </row>
    <row r="74" spans="1:8">
      <c r="A74" s="96">
        <v>45037</v>
      </c>
      <c r="B74" s="8" t="s">
        <v>1049</v>
      </c>
      <c r="E74" s="152">
        <v>-15</v>
      </c>
    </row>
    <row r="75" spans="1:8">
      <c r="A75" s="96">
        <v>45039</v>
      </c>
      <c r="B75" s="8" t="s">
        <v>1146</v>
      </c>
      <c r="E75" s="152">
        <v>-430</v>
      </c>
    </row>
    <row r="76" spans="1:8">
      <c r="A76" s="96">
        <v>45040</v>
      </c>
      <c r="B76" s="8" t="s">
        <v>1147</v>
      </c>
      <c r="E76" s="152">
        <v>-69.739999999999995</v>
      </c>
    </row>
    <row r="77" spans="1:8">
      <c r="A77" s="96">
        <v>45040</v>
      </c>
      <c r="B77" s="8" t="s">
        <v>1148</v>
      </c>
      <c r="E77" s="152">
        <v>-125</v>
      </c>
    </row>
    <row r="78" spans="1:8">
      <c r="A78" s="96"/>
      <c r="E78" s="152" t="s">
        <v>1149</v>
      </c>
    </row>
    <row r="80" spans="1:8">
      <c r="A80" s="99"/>
      <c r="B80" s="100" t="s">
        <v>77</v>
      </c>
      <c r="C80" s="99"/>
      <c r="D80" s="99"/>
      <c r="E80" s="190">
        <f>SUM(E81:E106)</f>
        <v>-221.54</v>
      </c>
    </row>
    <row r="81" spans="1:8">
      <c r="A81" s="96">
        <v>45013</v>
      </c>
      <c r="B81" s="102" t="s">
        <v>1150</v>
      </c>
      <c r="C81" s="102"/>
      <c r="D81" s="102"/>
      <c r="E81" s="152">
        <v>-221.54</v>
      </c>
      <c r="F81" s="60"/>
      <c r="G81" s="60"/>
      <c r="H81" s="60"/>
    </row>
    <row r="82" spans="1:8">
      <c r="A82" s="96"/>
      <c r="B82" s="102"/>
      <c r="C82" s="102"/>
      <c r="D82" s="102"/>
      <c r="E82" s="152" t="s">
        <v>1149</v>
      </c>
      <c r="F82" s="60"/>
      <c r="G82" s="60"/>
      <c r="H82" s="60"/>
    </row>
    <row r="83" spans="1:8">
      <c r="A83" s="96"/>
      <c r="B83" s="102"/>
      <c r="C83" s="102"/>
      <c r="D83" s="102"/>
      <c r="E83" s="152"/>
      <c r="F83" s="60"/>
      <c r="G83" s="60"/>
      <c r="H83" s="60"/>
    </row>
    <row r="84" spans="1:8">
      <c r="A84" s="96"/>
      <c r="B84" s="102"/>
      <c r="C84" s="102"/>
      <c r="D84" s="102"/>
      <c r="E84" s="152"/>
      <c r="F84" s="60"/>
      <c r="G84" s="60"/>
      <c r="H84" s="60"/>
    </row>
    <row r="85" spans="1:8">
      <c r="A85" s="96"/>
      <c r="B85" s="102"/>
      <c r="C85" s="102"/>
      <c r="D85" s="102"/>
      <c r="E85" s="152"/>
      <c r="F85" s="60"/>
      <c r="G85" s="60"/>
      <c r="H85" s="60"/>
    </row>
    <row r="86" spans="1:8">
      <c r="A86" s="96"/>
      <c r="B86" s="102"/>
      <c r="C86" s="102"/>
      <c r="D86" s="102"/>
      <c r="E86" s="152"/>
      <c r="F86" s="60"/>
      <c r="G86" s="60"/>
      <c r="H86" s="60"/>
    </row>
    <row r="87" spans="1:8">
      <c r="A87" s="96"/>
      <c r="B87" s="102"/>
      <c r="C87" s="102"/>
      <c r="D87" s="102"/>
      <c r="E87" s="152"/>
      <c r="F87" s="60"/>
      <c r="G87" s="60"/>
      <c r="H87" s="60"/>
    </row>
    <row r="88" spans="1:8">
      <c r="A88" s="96"/>
      <c r="B88" s="102"/>
      <c r="C88" s="102"/>
      <c r="D88" s="102"/>
      <c r="E88" s="152"/>
      <c r="F88" s="60"/>
      <c r="G88" s="60"/>
      <c r="H88" s="60"/>
    </row>
    <row r="89" spans="1:8">
      <c r="A89" s="96"/>
      <c r="B89" s="102"/>
      <c r="C89" s="102"/>
      <c r="D89" s="102"/>
      <c r="E89" s="152"/>
      <c r="F89" s="60"/>
      <c r="G89" s="60"/>
      <c r="H89" s="60"/>
    </row>
    <row r="90" spans="1:8">
      <c r="A90" s="96"/>
      <c r="B90" s="102"/>
      <c r="C90" s="102"/>
      <c r="D90" s="102"/>
      <c r="E90" s="152"/>
      <c r="F90" s="60"/>
      <c r="G90" s="60"/>
      <c r="H90" s="60"/>
    </row>
    <row r="91" spans="1:8">
      <c r="A91" s="96"/>
      <c r="B91" s="102"/>
      <c r="C91" s="102"/>
      <c r="D91" s="102"/>
      <c r="E91" s="152"/>
      <c r="F91" s="60"/>
      <c r="G91" s="60"/>
      <c r="H91" s="60"/>
    </row>
    <row r="92" spans="1:8">
      <c r="A92" s="96"/>
      <c r="B92" s="102"/>
      <c r="C92" s="102"/>
      <c r="D92" s="102"/>
      <c r="E92" s="152"/>
      <c r="F92" s="60"/>
      <c r="G92" s="60"/>
      <c r="H92" s="60"/>
    </row>
    <row r="93" spans="1:8">
      <c r="A93" s="96"/>
      <c r="B93" s="102"/>
      <c r="C93" s="102"/>
      <c r="D93" s="102"/>
      <c r="E93" s="152"/>
      <c r="F93" s="60"/>
      <c r="G93" s="60"/>
      <c r="H93" s="60"/>
    </row>
    <row r="94" spans="1:8">
      <c r="A94" s="96"/>
      <c r="B94" s="102"/>
      <c r="C94" s="102"/>
      <c r="D94" s="102"/>
      <c r="E94" s="152"/>
      <c r="F94" s="60"/>
      <c r="G94" s="60"/>
      <c r="H94" s="60"/>
    </row>
    <row r="95" spans="1:8">
      <c r="A95" s="96"/>
      <c r="B95" s="102"/>
      <c r="C95" s="102"/>
      <c r="D95" s="102"/>
      <c r="E95" s="152"/>
      <c r="F95" s="60"/>
      <c r="G95" s="60"/>
      <c r="H95" s="60"/>
    </row>
    <row r="96" spans="1:8">
      <c r="A96" s="96"/>
      <c r="B96" s="102"/>
      <c r="C96" s="102"/>
      <c r="D96" s="102"/>
      <c r="E96" s="152"/>
      <c r="F96" s="60"/>
      <c r="G96" s="60"/>
      <c r="H96" s="60"/>
    </row>
    <row r="97" spans="1:8">
      <c r="A97" s="96"/>
      <c r="B97" s="102"/>
      <c r="C97" s="102"/>
      <c r="D97" s="102"/>
      <c r="E97" s="152"/>
      <c r="F97" s="60"/>
      <c r="G97" s="60"/>
      <c r="H97" s="60"/>
    </row>
    <row r="98" spans="1:8">
      <c r="A98" s="96"/>
      <c r="B98" s="102"/>
      <c r="C98" s="102"/>
      <c r="D98" s="102"/>
      <c r="E98" s="152"/>
      <c r="F98" s="60"/>
      <c r="G98" s="60"/>
      <c r="H98" s="60"/>
    </row>
    <row r="99" spans="1:8">
      <c r="A99" s="96"/>
      <c r="B99" s="102"/>
      <c r="C99" s="102"/>
      <c r="D99" s="102"/>
      <c r="E99" s="152"/>
      <c r="F99" s="60"/>
      <c r="G99" s="60"/>
      <c r="H99" s="60"/>
    </row>
    <row r="100" spans="1:8">
      <c r="A100" s="96"/>
      <c r="B100" s="102"/>
      <c r="C100" s="102"/>
      <c r="D100" s="102"/>
      <c r="E100" s="152"/>
      <c r="F100" s="60"/>
      <c r="G100" s="60"/>
      <c r="H100" s="60"/>
    </row>
    <row r="101" spans="1:8">
      <c r="A101" s="96"/>
      <c r="B101" s="102"/>
      <c r="C101" s="102"/>
      <c r="D101" s="102"/>
      <c r="E101" s="152"/>
      <c r="F101" s="60"/>
      <c r="G101" s="60"/>
      <c r="H101" s="60"/>
    </row>
    <row r="102" spans="1:8">
      <c r="A102" s="96"/>
      <c r="B102" s="102"/>
      <c r="C102" s="102"/>
      <c r="D102" s="102"/>
      <c r="E102" s="152"/>
      <c r="F102" s="60"/>
      <c r="G102" s="60"/>
      <c r="H102" s="60"/>
    </row>
    <row r="103" spans="1:8">
      <c r="A103" s="96"/>
      <c r="B103" s="102"/>
      <c r="C103" s="102"/>
      <c r="D103" s="102"/>
      <c r="E103" s="152"/>
      <c r="F103" s="60"/>
      <c r="G103" s="60"/>
      <c r="H103" s="60"/>
    </row>
    <row r="104" spans="1:8">
      <c r="A104" s="96"/>
      <c r="B104" s="102"/>
      <c r="C104" s="102"/>
      <c r="D104" s="102"/>
      <c r="E104" s="152"/>
      <c r="F104" s="60"/>
      <c r="G104" s="60"/>
      <c r="H104" s="60"/>
    </row>
    <row r="105" spans="1:8">
      <c r="A105" s="96"/>
      <c r="B105" s="102"/>
      <c r="C105" s="102"/>
      <c r="D105" s="102"/>
      <c r="E105" s="152"/>
      <c r="F105" s="60"/>
      <c r="G105" s="60"/>
      <c r="H105" s="60"/>
    </row>
    <row r="106" spans="1:8">
      <c r="A106" s="96"/>
      <c r="B106" s="102"/>
      <c r="C106" s="102"/>
      <c r="D106" s="102"/>
      <c r="E106" s="152"/>
      <c r="F106" s="60"/>
      <c r="G106" s="60"/>
      <c r="H106" s="60"/>
    </row>
    <row r="107" spans="1:8">
      <c r="A107" s="96"/>
      <c r="B107" s="102"/>
      <c r="C107" s="102"/>
      <c r="D107" s="102"/>
      <c r="E107" s="152"/>
      <c r="F107" s="60"/>
      <c r="G107" s="60"/>
      <c r="H107" s="60"/>
    </row>
    <row r="108" spans="1:8">
      <c r="A108" s="96"/>
      <c r="B108" s="103"/>
      <c r="E108" s="152"/>
    </row>
    <row r="111" spans="1:8">
      <c r="A111" s="109" t="s">
        <v>1151</v>
      </c>
      <c r="B111" s="100" t="s">
        <v>1125</v>
      </c>
      <c r="C111" s="99"/>
      <c r="D111" s="147"/>
      <c r="E111" s="148">
        <f>SUM(E112:E120)</f>
        <v>358028.33999999997</v>
      </c>
    </row>
    <row r="112" spans="1:8">
      <c r="A112" s="96">
        <v>45077</v>
      </c>
      <c r="B112" s="8" t="s">
        <v>69</v>
      </c>
      <c r="C112" s="2"/>
      <c r="D112" s="2"/>
      <c r="E112" s="14">
        <v>64000</v>
      </c>
    </row>
    <row r="113" spans="1:5">
      <c r="A113" s="96">
        <v>45077</v>
      </c>
      <c r="B113" s="8" t="s">
        <v>1060</v>
      </c>
      <c r="C113" s="2"/>
      <c r="D113" s="2"/>
      <c r="E113" s="14">
        <v>53088</v>
      </c>
    </row>
    <row r="114" spans="1:5">
      <c r="A114" s="96">
        <v>45077</v>
      </c>
      <c r="B114" s="8" t="s">
        <v>292</v>
      </c>
      <c r="C114" s="2"/>
      <c r="D114" s="2"/>
      <c r="E114" s="14">
        <v>28049.84</v>
      </c>
    </row>
    <row r="115" spans="1:5">
      <c r="A115" s="96">
        <v>45077</v>
      </c>
      <c r="B115" s="8" t="s">
        <v>293</v>
      </c>
      <c r="C115" s="2"/>
      <c r="D115" s="2"/>
      <c r="E115" s="14">
        <v>6000.59</v>
      </c>
    </row>
    <row r="116" spans="1:5">
      <c r="A116" s="96">
        <v>45077</v>
      </c>
      <c r="B116" s="8" t="s">
        <v>997</v>
      </c>
      <c r="C116" s="2">
        <v>1288.25</v>
      </c>
      <c r="D116" s="2">
        <v>111</v>
      </c>
      <c r="E116" s="14">
        <f>D116*C116</f>
        <v>142995.75</v>
      </c>
    </row>
    <row r="117" spans="1:5">
      <c r="A117" s="96">
        <v>45077</v>
      </c>
      <c r="B117" s="8" t="s">
        <v>1094</v>
      </c>
      <c r="C117" s="2">
        <v>20.475200000000001</v>
      </c>
      <c r="D117" s="2">
        <v>850</v>
      </c>
      <c r="E117" s="14">
        <f>D117*C117</f>
        <v>17403.920000000002</v>
      </c>
    </row>
    <row r="118" spans="1:5">
      <c r="A118" s="96">
        <v>45077</v>
      </c>
      <c r="B118" s="8" t="s">
        <v>1095</v>
      </c>
      <c r="C118" s="2">
        <v>21.9024</v>
      </c>
      <c r="D118" s="2">
        <v>100</v>
      </c>
      <c r="E118" s="14">
        <f>D118*C118</f>
        <v>2190.2399999999998</v>
      </c>
    </row>
    <row r="119" spans="1:5">
      <c r="A119" s="96">
        <v>45077</v>
      </c>
      <c r="B119" s="8" t="s">
        <v>144</v>
      </c>
      <c r="C119" s="2"/>
      <c r="D119" s="2"/>
      <c r="E119" s="14">
        <v>42600</v>
      </c>
    </row>
    <row r="120" spans="1:5">
      <c r="A120" s="96"/>
      <c r="B120" s="8" t="s">
        <v>145</v>
      </c>
      <c r="C120" s="2"/>
      <c r="D120" s="2"/>
      <c r="E120" s="14">
        <v>1700</v>
      </c>
    </row>
    <row r="121" spans="1:5">
      <c r="D121" s="15" t="s">
        <v>1126</v>
      </c>
      <c r="E121" s="60">
        <f>H3</f>
        <v>0</v>
      </c>
    </row>
    <row r="122" spans="1:5">
      <c r="D122" s="3"/>
    </row>
    <row r="123" spans="1:5">
      <c r="D123" s="15" t="s">
        <v>147</v>
      </c>
      <c r="E123" s="8">
        <f>SUM(E112:E122)</f>
        <v>358028.33999999997</v>
      </c>
    </row>
    <row r="133" spans="1:5">
      <c r="A133" s="99"/>
      <c r="B133" s="100"/>
      <c r="C133" s="99"/>
      <c r="D133" s="147"/>
      <c r="E133" s="148"/>
    </row>
    <row r="134" spans="1:5">
      <c r="A134" s="96"/>
      <c r="C134" s="2"/>
      <c r="D134" s="2"/>
      <c r="E134" s="14"/>
    </row>
    <row r="135" spans="1:5">
      <c r="A135" s="96"/>
      <c r="C135" s="2"/>
      <c r="D135" s="2"/>
      <c r="E135" s="14"/>
    </row>
    <row r="136" spans="1:5">
      <c r="A136" s="96"/>
      <c r="C136" s="2"/>
      <c r="D136" s="2"/>
      <c r="E136" s="14"/>
    </row>
    <row r="137" spans="1:5">
      <c r="A137" s="96"/>
      <c r="C137" s="2"/>
      <c r="D137" s="2"/>
      <c r="E137" s="14"/>
    </row>
    <row r="138" spans="1:5">
      <c r="A138" s="96"/>
      <c r="C138" s="2"/>
      <c r="D138" s="2"/>
      <c r="E138" s="14"/>
    </row>
    <row r="139" spans="1:5">
      <c r="A139" s="96"/>
      <c r="C139" s="2"/>
      <c r="D139" s="2"/>
      <c r="E139" s="14"/>
    </row>
    <row r="140" spans="1:5">
      <c r="A140" s="96"/>
      <c r="C140" s="2"/>
      <c r="D140" s="2"/>
      <c r="E140" s="14"/>
    </row>
    <row r="141" spans="1:5">
      <c r="A141" s="96"/>
      <c r="C141" s="2"/>
      <c r="D141" s="2"/>
      <c r="E141" s="14"/>
    </row>
    <row r="142" spans="1:5">
      <c r="A142" s="96"/>
      <c r="C142" s="2"/>
      <c r="D142" s="2"/>
      <c r="E142" s="14"/>
    </row>
    <row r="143" spans="1:5">
      <c r="D143" s="15"/>
      <c r="E143" s="60"/>
    </row>
    <row r="144" spans="1:5">
      <c r="D144" s="3"/>
    </row>
    <row r="145" spans="4:4">
      <c r="D145" s="1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95511"/>
  </sheetPr>
  <dimension ref="A1:H123"/>
  <sheetViews>
    <sheetView zoomScale="170" zoomScaleNormal="170" workbookViewId="0">
      <selection activeCell="A8" sqref="A8"/>
    </sheetView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1152</v>
      </c>
      <c r="C2" s="76" t="s">
        <v>59</v>
      </c>
      <c r="D2" s="295">
        <f>SUM(D4:D35)</f>
        <v>20911</v>
      </c>
      <c r="E2" s="295">
        <f>SUM(E4:E26)</f>
        <v>-54277.093000000001</v>
      </c>
      <c r="F2" s="295">
        <f>SUM(F4:F36)</f>
        <v>72630</v>
      </c>
      <c r="G2" s="295">
        <f>SUM(G4:G36)</f>
        <v>-58332.79</v>
      </c>
      <c r="H2" s="295">
        <f>F2+G2</f>
        <v>14297.21</v>
      </c>
    </row>
    <row r="3" spans="1:8">
      <c r="B3" s="15"/>
      <c r="H3" s="60"/>
    </row>
    <row r="4" spans="1:8">
      <c r="B4" s="97" t="s">
        <v>72</v>
      </c>
      <c r="C4" s="97"/>
      <c r="D4" s="97"/>
      <c r="E4" s="60">
        <v>-400</v>
      </c>
      <c r="G4" s="60">
        <v>-207</v>
      </c>
      <c r="H4" s="60">
        <f t="shared" ref="H4:H30" si="0">H3+F4+G4</f>
        <v>-207</v>
      </c>
    </row>
    <row r="5" spans="1:8">
      <c r="B5" s="97" t="s">
        <v>73</v>
      </c>
      <c r="C5" s="97"/>
      <c r="D5" s="97"/>
      <c r="E5" s="60">
        <v>-500</v>
      </c>
      <c r="G5" s="60">
        <v>-456</v>
      </c>
      <c r="H5" s="60">
        <f t="shared" si="0"/>
        <v>-663</v>
      </c>
    </row>
    <row r="6" spans="1:8">
      <c r="A6" s="96">
        <v>45019</v>
      </c>
      <c r="B6" s="97" t="s">
        <v>624</v>
      </c>
      <c r="C6" s="97"/>
      <c r="D6" s="97"/>
      <c r="E6" s="60">
        <v>-4300</v>
      </c>
      <c r="G6" s="60">
        <v>-4300</v>
      </c>
      <c r="H6" s="60">
        <f t="shared" si="0"/>
        <v>-4963</v>
      </c>
    </row>
    <row r="7" spans="1:8">
      <c r="A7" s="96">
        <v>45019</v>
      </c>
      <c r="B7" s="97" t="s">
        <v>618</v>
      </c>
      <c r="C7" s="97"/>
      <c r="D7" s="97"/>
      <c r="E7" s="60">
        <v>-674.74</v>
      </c>
      <c r="F7" s="152"/>
      <c r="G7" s="60">
        <v>-670.27</v>
      </c>
      <c r="H7" s="60">
        <f t="shared" si="0"/>
        <v>-5633.27</v>
      </c>
    </row>
    <row r="8" spans="1:8">
      <c r="A8" s="96" t="s">
        <v>1153</v>
      </c>
      <c r="B8" s="97" t="s">
        <v>67</v>
      </c>
      <c r="C8" s="97"/>
      <c r="D8" s="97"/>
      <c r="E8" s="60">
        <v>-150</v>
      </c>
      <c r="F8" s="152"/>
      <c r="G8" s="60">
        <v>-139.9</v>
      </c>
      <c r="H8" s="60">
        <f t="shared" si="0"/>
        <v>-5773.17</v>
      </c>
    </row>
    <row r="9" spans="1:8">
      <c r="B9" s="102" t="s">
        <v>65</v>
      </c>
      <c r="C9" s="102"/>
      <c r="D9" s="102"/>
      <c r="E9" s="60">
        <v>-1000</v>
      </c>
      <c r="F9" s="60"/>
      <c r="G9" s="60">
        <v>-1148</v>
      </c>
      <c r="H9" s="60">
        <f t="shared" si="0"/>
        <v>-6921.17</v>
      </c>
    </row>
    <row r="10" spans="1:8">
      <c r="B10" s="102" t="s">
        <v>66</v>
      </c>
      <c r="C10" s="102"/>
      <c r="D10" s="102"/>
      <c r="E10" s="60">
        <v>-150</v>
      </c>
      <c r="F10" s="60"/>
      <c r="G10" s="60">
        <v>-93.5</v>
      </c>
      <c r="H10" s="60">
        <f t="shared" si="0"/>
        <v>-7014.67</v>
      </c>
    </row>
    <row r="11" spans="1:8">
      <c r="B11" s="167" t="s">
        <v>64</v>
      </c>
      <c r="D11" s="60"/>
      <c r="E11" s="60">
        <f>D48*-1</f>
        <v>-107.14</v>
      </c>
      <c r="F11" s="60"/>
      <c r="G11" s="60">
        <v>-107.14</v>
      </c>
      <c r="H11" s="60">
        <f t="shared" si="0"/>
        <v>-7121.81</v>
      </c>
    </row>
    <row r="12" spans="1:8">
      <c r="B12" s="167" t="s">
        <v>60</v>
      </c>
      <c r="E12" s="60">
        <f>E54</f>
        <v>-5461.222999999999</v>
      </c>
      <c r="F12" s="60"/>
      <c r="G12" s="60">
        <v>-5461.22</v>
      </c>
      <c r="H12" s="60">
        <f t="shared" si="0"/>
        <v>-12583.03</v>
      </c>
    </row>
    <row r="13" spans="1:8">
      <c r="B13" s="167" t="s">
        <v>61</v>
      </c>
      <c r="E13" s="60">
        <f>E78</f>
        <v>-31033.99</v>
      </c>
      <c r="F13" s="60"/>
      <c r="G13" s="60">
        <v>-31033.99</v>
      </c>
      <c r="H13" s="60">
        <f t="shared" si="0"/>
        <v>-43617.020000000004</v>
      </c>
    </row>
    <row r="14" spans="1:8">
      <c r="B14" t="s">
        <v>69</v>
      </c>
      <c r="E14" s="60">
        <v>-3500</v>
      </c>
      <c r="F14" s="60"/>
      <c r="G14" s="60">
        <v>-3500</v>
      </c>
      <c r="H14" s="60">
        <f t="shared" si="0"/>
        <v>-47117.020000000004</v>
      </c>
    </row>
    <row r="15" spans="1:8">
      <c r="B15" t="s">
        <v>1066</v>
      </c>
      <c r="E15" s="60"/>
      <c r="F15" s="60"/>
      <c r="G15" s="60">
        <v>-1000</v>
      </c>
      <c r="H15" s="60">
        <f t="shared" si="0"/>
        <v>-48117.020000000004</v>
      </c>
    </row>
    <row r="16" spans="1:8">
      <c r="B16" t="s">
        <v>70</v>
      </c>
      <c r="E16" s="60">
        <v>-3500</v>
      </c>
      <c r="F16" s="60"/>
      <c r="G16" s="60">
        <v>-3500</v>
      </c>
      <c r="H16" s="60">
        <f t="shared" si="0"/>
        <v>-51617.020000000004</v>
      </c>
    </row>
    <row r="17" spans="1:8">
      <c r="B17" t="s">
        <v>1065</v>
      </c>
      <c r="E17" s="60"/>
      <c r="F17" s="60"/>
      <c r="G17" s="60">
        <v>-1000</v>
      </c>
      <c r="H17" s="60">
        <f t="shared" si="0"/>
        <v>-52617.020000000004</v>
      </c>
    </row>
    <row r="18" spans="1:8">
      <c r="B18" t="s">
        <v>71</v>
      </c>
      <c r="E18" s="60">
        <v>-3500</v>
      </c>
      <c r="F18" s="60"/>
      <c r="G18" s="60">
        <v>-3500</v>
      </c>
      <c r="H18" s="60">
        <f t="shared" si="0"/>
        <v>-56117.020000000004</v>
      </c>
    </row>
    <row r="19" spans="1:8">
      <c r="B19" t="s">
        <v>2</v>
      </c>
      <c r="D19">
        <v>1111</v>
      </c>
      <c r="E19" s="60"/>
      <c r="F19" s="60">
        <v>6000</v>
      </c>
      <c r="G19" s="60"/>
      <c r="H19" s="60">
        <f t="shared" si="0"/>
        <v>-50117.020000000004</v>
      </c>
    </row>
    <row r="20" spans="1:8">
      <c r="B20" t="s">
        <v>68</v>
      </c>
      <c r="D20" s="175">
        <v>7500</v>
      </c>
      <c r="F20" s="152">
        <v>7500</v>
      </c>
      <c r="G20" s="60"/>
      <c r="H20" s="60">
        <f t="shared" si="0"/>
        <v>-42617.020000000004</v>
      </c>
    </row>
    <row r="21" spans="1:8">
      <c r="B21" t="s">
        <v>1154</v>
      </c>
      <c r="D21" s="175">
        <v>2000</v>
      </c>
      <c r="F21" s="152">
        <v>2000</v>
      </c>
      <c r="G21" s="60"/>
      <c r="H21" s="60">
        <f t="shared" si="0"/>
        <v>-40617.020000000004</v>
      </c>
    </row>
    <row r="22" spans="1:8">
      <c r="B22" t="s">
        <v>663</v>
      </c>
      <c r="D22" s="175">
        <v>2800</v>
      </c>
      <c r="F22" s="60">
        <v>2800</v>
      </c>
      <c r="G22" s="60"/>
      <c r="H22" s="60">
        <f t="shared" si="0"/>
        <v>-37817.020000000004</v>
      </c>
    </row>
    <row r="23" spans="1:8">
      <c r="B23" t="s">
        <v>1155</v>
      </c>
      <c r="D23" s="175">
        <v>6500</v>
      </c>
      <c r="F23" s="60">
        <v>6500</v>
      </c>
      <c r="G23" s="60"/>
      <c r="H23" s="60">
        <f t="shared" si="0"/>
        <v>-31317.020000000004</v>
      </c>
    </row>
    <row r="24" spans="1:8">
      <c r="B24" t="s">
        <v>1156</v>
      </c>
      <c r="D24" s="311">
        <v>1000</v>
      </c>
      <c r="H24" s="60">
        <f t="shared" si="0"/>
        <v>-31317.020000000004</v>
      </c>
    </row>
    <row r="25" spans="1:8">
      <c r="A25" s="96">
        <v>45028</v>
      </c>
      <c r="B25" s="8" t="s">
        <v>1157</v>
      </c>
      <c r="D25" s="98"/>
      <c r="F25" s="60">
        <v>13000</v>
      </c>
      <c r="G25" s="60"/>
      <c r="H25" s="60">
        <f t="shared" si="0"/>
        <v>-18317.020000000004</v>
      </c>
    </row>
    <row r="26" spans="1:8">
      <c r="A26" s="96"/>
      <c r="B26" s="8" t="s">
        <v>1158</v>
      </c>
      <c r="D26" s="98"/>
      <c r="H26" s="60">
        <f t="shared" si="0"/>
        <v>-18317.020000000004</v>
      </c>
    </row>
    <row r="27" spans="1:8">
      <c r="A27" s="96">
        <v>45042</v>
      </c>
      <c r="B27" s="8" t="s">
        <v>1159</v>
      </c>
      <c r="F27" s="60">
        <v>28080</v>
      </c>
      <c r="G27" s="60"/>
      <c r="H27" s="60">
        <f t="shared" si="0"/>
        <v>9762.9799999999959</v>
      </c>
    </row>
    <row r="28" spans="1:8">
      <c r="A28" s="96">
        <v>45042</v>
      </c>
      <c r="B28" s="8" t="s">
        <v>1160</v>
      </c>
      <c r="F28" s="60"/>
      <c r="G28" s="60">
        <v>-600</v>
      </c>
      <c r="H28" s="60">
        <f t="shared" si="0"/>
        <v>9162.9799999999959</v>
      </c>
    </row>
    <row r="29" spans="1:8">
      <c r="A29" s="96">
        <v>45042</v>
      </c>
      <c r="B29" s="8" t="s">
        <v>1161</v>
      </c>
      <c r="F29" s="60"/>
      <c r="G29" s="60">
        <v>-1615.77</v>
      </c>
      <c r="H29" s="60">
        <f t="shared" si="0"/>
        <v>7547.2099999999955</v>
      </c>
    </row>
    <row r="30" spans="1:8">
      <c r="A30" s="96">
        <v>45042</v>
      </c>
      <c r="B30" s="8" t="s">
        <v>1162</v>
      </c>
      <c r="F30" s="152">
        <v>6750</v>
      </c>
      <c r="G30" s="60"/>
      <c r="H30" s="152">
        <f t="shared" si="0"/>
        <v>14297.209999999995</v>
      </c>
    </row>
    <row r="31" spans="1:8">
      <c r="F31" s="60"/>
      <c r="G31" s="60"/>
      <c r="H31" s="60"/>
    </row>
    <row r="32" spans="1:8">
      <c r="F32" s="60"/>
      <c r="G32" s="60"/>
      <c r="H32" s="60"/>
    </row>
    <row r="33" spans="1:8">
      <c r="F33" s="60"/>
      <c r="G33" s="60"/>
      <c r="H33" s="60"/>
    </row>
    <row r="34" spans="1:8">
      <c r="F34" s="60"/>
      <c r="G34" s="60"/>
      <c r="H34" s="60"/>
    </row>
    <row r="35" spans="1:8">
      <c r="E35" s="60"/>
      <c r="G35" s="60"/>
      <c r="H35" s="60"/>
    </row>
    <row r="36" spans="1:8">
      <c r="B36" t="s">
        <v>317</v>
      </c>
      <c r="E36" s="60"/>
      <c r="G36" s="60"/>
      <c r="H36" s="60"/>
    </row>
    <row r="37" spans="1:8">
      <c r="A37" s="99" t="s">
        <v>318</v>
      </c>
      <c r="B37" s="99"/>
      <c r="C37" s="99"/>
      <c r="D37" s="99"/>
      <c r="E37" s="147"/>
      <c r="G37" s="60"/>
      <c r="H37" s="60"/>
    </row>
    <row r="38" spans="1:8">
      <c r="A38" s="306"/>
      <c r="B38" s="301"/>
      <c r="C38" s="301"/>
      <c r="D38" s="301"/>
      <c r="E38" s="302"/>
      <c r="H38" s="60"/>
    </row>
    <row r="39" spans="1:8">
      <c r="A39" s="306"/>
      <c r="B39" s="301"/>
      <c r="C39" s="303"/>
      <c r="D39" s="301"/>
      <c r="E39" s="301"/>
      <c r="H39" s="60"/>
    </row>
    <row r="40" spans="1:8">
      <c r="A40" s="306"/>
      <c r="B40" s="301"/>
      <c r="C40" s="303"/>
      <c r="D40" s="301"/>
      <c r="E40" s="301"/>
      <c r="H40" s="60"/>
    </row>
    <row r="41" spans="1:8">
      <c r="A41" s="96"/>
      <c r="C41" s="160"/>
      <c r="H41" s="60"/>
    </row>
    <row r="42" spans="1:8">
      <c r="A42" s="161">
        <v>44929</v>
      </c>
      <c r="B42" s="162" t="s">
        <v>319</v>
      </c>
      <c r="C42" s="99"/>
      <c r="D42" s="190">
        <f>SUM(D43:D50)</f>
        <v>4161.9400000000005</v>
      </c>
      <c r="E42" s="190">
        <f>SUM(E43:E50)</f>
        <v>4162</v>
      </c>
      <c r="H42" s="60"/>
    </row>
    <row r="43" spans="1:8">
      <c r="B43" t="s">
        <v>912</v>
      </c>
      <c r="D43">
        <v>835.27</v>
      </c>
      <c r="E43" s="60">
        <v>835</v>
      </c>
      <c r="F43" s="60"/>
      <c r="G43" s="60"/>
    </row>
    <row r="44" spans="1:8">
      <c r="B44" t="s">
        <v>321</v>
      </c>
      <c r="D44">
        <v>1240.45</v>
      </c>
      <c r="E44" s="60">
        <v>1240</v>
      </c>
      <c r="F44" s="60"/>
      <c r="G44" s="60"/>
    </row>
    <row r="45" spans="1:8">
      <c r="B45" t="s">
        <v>322</v>
      </c>
      <c r="D45">
        <v>195.7</v>
      </c>
      <c r="E45">
        <v>195</v>
      </c>
      <c r="F45" s="60"/>
      <c r="G45" s="60"/>
    </row>
    <row r="46" spans="1:8">
      <c r="B46" t="s">
        <v>323</v>
      </c>
      <c r="D46">
        <v>1448.09</v>
      </c>
      <c r="E46">
        <v>1450</v>
      </c>
      <c r="F46" s="60"/>
      <c r="G46" s="60"/>
    </row>
    <row r="47" spans="1:8">
      <c r="B47" t="s">
        <v>324</v>
      </c>
      <c r="D47">
        <v>335.29</v>
      </c>
      <c r="E47">
        <v>335</v>
      </c>
      <c r="F47" s="60"/>
      <c r="G47" s="60"/>
    </row>
    <row r="48" spans="1:8">
      <c r="B48" t="s">
        <v>325</v>
      </c>
      <c r="C48" s="102"/>
      <c r="D48" s="102">
        <v>107.14</v>
      </c>
      <c r="E48">
        <v>107</v>
      </c>
      <c r="F48" s="60"/>
      <c r="G48" s="60"/>
    </row>
    <row r="49" spans="1:8">
      <c r="C49" s="102"/>
      <c r="E49" s="102"/>
      <c r="F49" s="60"/>
      <c r="G49" s="60"/>
    </row>
    <row r="50" spans="1:8">
      <c r="C50" s="102"/>
      <c r="D50" s="102"/>
      <c r="E50" s="152"/>
      <c r="F50" s="60"/>
      <c r="G50" s="60"/>
    </row>
    <row r="52" spans="1:8">
      <c r="B52" s="14"/>
    </row>
    <row r="53" spans="1:8">
      <c r="B53" s="98"/>
    </row>
    <row r="54" spans="1:8">
      <c r="A54" s="99"/>
      <c r="B54" s="100" t="s">
        <v>75</v>
      </c>
      <c r="C54" s="99"/>
      <c r="D54" s="147"/>
      <c r="E54" s="148">
        <f>SUM(E55:E75)</f>
        <v>-5461.222999999999</v>
      </c>
    </row>
    <row r="55" spans="1:8">
      <c r="A55" s="96">
        <v>44873</v>
      </c>
      <c r="B55" s="8" t="s">
        <v>1163</v>
      </c>
      <c r="C55" s="102"/>
      <c r="D55" s="102" t="s">
        <v>717</v>
      </c>
      <c r="E55" s="152">
        <v>-1111.1099999999999</v>
      </c>
      <c r="F55" s="60"/>
      <c r="G55" s="60"/>
      <c r="H55" s="60"/>
    </row>
    <row r="56" spans="1:8">
      <c r="A56" s="96">
        <v>44920</v>
      </c>
      <c r="B56" s="102" t="s">
        <v>1164</v>
      </c>
      <c r="C56" s="102"/>
      <c r="D56" s="102" t="s">
        <v>975</v>
      </c>
      <c r="E56" s="152">
        <v>-397.47</v>
      </c>
      <c r="F56" s="60"/>
      <c r="G56" s="60"/>
      <c r="H56" s="60"/>
    </row>
    <row r="57" spans="1:8">
      <c r="A57" s="96">
        <v>44920</v>
      </c>
      <c r="B57" s="102" t="s">
        <v>1165</v>
      </c>
      <c r="C57" s="102"/>
      <c r="D57" s="102" t="s">
        <v>975</v>
      </c>
      <c r="E57" s="152">
        <v>-80.92</v>
      </c>
      <c r="F57" s="60"/>
      <c r="G57" s="60"/>
      <c r="H57" s="60"/>
    </row>
    <row r="58" spans="1:8">
      <c r="A58" s="96">
        <v>44920</v>
      </c>
      <c r="B58" s="102" t="s">
        <v>1166</v>
      </c>
      <c r="C58" s="102"/>
      <c r="D58" s="102" t="s">
        <v>975</v>
      </c>
      <c r="E58" s="152">
        <v>-127.05</v>
      </c>
      <c r="F58" s="60"/>
      <c r="G58" s="60"/>
      <c r="H58" s="60"/>
    </row>
    <row r="59" spans="1:8">
      <c r="A59" s="96">
        <v>44920</v>
      </c>
      <c r="B59" s="102" t="s">
        <v>1167</v>
      </c>
      <c r="C59" s="102"/>
      <c r="D59" s="102" t="s">
        <v>975</v>
      </c>
      <c r="E59" s="152">
        <v>-49.323</v>
      </c>
      <c r="F59" s="60"/>
      <c r="G59" s="60"/>
      <c r="H59" s="60"/>
    </row>
    <row r="60" spans="1:8">
      <c r="A60" s="96">
        <v>44985</v>
      </c>
      <c r="B60" s="8" t="s">
        <v>809</v>
      </c>
      <c r="C60">
        <v>437.97</v>
      </c>
      <c r="D60" s="32" t="s">
        <v>1141</v>
      </c>
      <c r="E60" s="152">
        <v>-145.99</v>
      </c>
      <c r="F60" s="60"/>
      <c r="G60" s="60"/>
      <c r="H60" s="60"/>
    </row>
    <row r="61" spans="1:8">
      <c r="A61" s="96">
        <v>44985</v>
      </c>
      <c r="B61" s="8" t="s">
        <v>810</v>
      </c>
      <c r="C61">
        <v>404.23</v>
      </c>
      <c r="D61" s="32" t="s">
        <v>1141</v>
      </c>
      <c r="E61" s="152">
        <v>-134.74</v>
      </c>
      <c r="F61" s="60"/>
    </row>
    <row r="62" spans="1:8">
      <c r="A62" s="96">
        <v>44985</v>
      </c>
      <c r="B62" s="8" t="s">
        <v>811</v>
      </c>
      <c r="C62">
        <v>1135</v>
      </c>
      <c r="D62" s="32" t="s">
        <v>1141</v>
      </c>
      <c r="E62" s="152">
        <v>-378.33</v>
      </c>
      <c r="F62" s="60"/>
    </row>
    <row r="63" spans="1:8">
      <c r="A63" s="96">
        <v>44982</v>
      </c>
      <c r="B63" s="8" t="s">
        <v>1168</v>
      </c>
      <c r="C63">
        <v>659.93</v>
      </c>
      <c r="D63" s="32" t="s">
        <v>1048</v>
      </c>
      <c r="E63" s="152">
        <v>-164.98</v>
      </c>
      <c r="F63" s="60"/>
    </row>
    <row r="64" spans="1:8">
      <c r="A64" s="96">
        <v>44995</v>
      </c>
      <c r="B64" s="8" t="s">
        <v>1109</v>
      </c>
      <c r="C64">
        <v>720.19</v>
      </c>
      <c r="D64" s="310" t="s">
        <v>1169</v>
      </c>
      <c r="E64" s="152">
        <v>-240.06</v>
      </c>
      <c r="F64" s="60"/>
    </row>
    <row r="65" spans="1:8">
      <c r="A65" s="96">
        <v>44995</v>
      </c>
      <c r="B65" s="8" t="s">
        <v>763</v>
      </c>
      <c r="C65">
        <v>613.91</v>
      </c>
      <c r="D65" s="32" t="s">
        <v>1170</v>
      </c>
      <c r="E65" s="152">
        <v>-61.39</v>
      </c>
      <c r="F65" s="60"/>
    </row>
    <row r="66" spans="1:8">
      <c r="A66" s="96">
        <v>44995</v>
      </c>
      <c r="B66" s="8" t="s">
        <v>1020</v>
      </c>
      <c r="C66">
        <v>2258.94</v>
      </c>
      <c r="D66" s="32" t="s">
        <v>636</v>
      </c>
      <c r="E66" s="152">
        <v>-376.49</v>
      </c>
      <c r="F66" s="60"/>
    </row>
    <row r="67" spans="1:8">
      <c r="A67" s="96">
        <v>44985</v>
      </c>
      <c r="B67" s="8" t="s">
        <v>1171</v>
      </c>
      <c r="D67" s="32"/>
      <c r="E67" s="152">
        <v>-161.31</v>
      </c>
      <c r="F67" s="60"/>
    </row>
    <row r="68" spans="1:8">
      <c r="A68" s="96">
        <v>44986</v>
      </c>
      <c r="B68" s="8" t="s">
        <v>1171</v>
      </c>
      <c r="D68" s="32"/>
      <c r="E68" s="152">
        <v>-137.93</v>
      </c>
      <c r="F68" s="60"/>
    </row>
    <row r="69" spans="1:8">
      <c r="A69" s="96">
        <v>44987</v>
      </c>
      <c r="B69" s="8" t="s">
        <v>1171</v>
      </c>
      <c r="D69" s="32"/>
      <c r="E69" s="152">
        <v>-121.99</v>
      </c>
      <c r="F69" s="60"/>
    </row>
    <row r="70" spans="1:8">
      <c r="A70" s="96">
        <v>45004</v>
      </c>
      <c r="B70" s="8" t="s">
        <v>1172</v>
      </c>
      <c r="D70" s="32"/>
      <c r="E70" s="152">
        <v>-94.85</v>
      </c>
      <c r="F70" s="60"/>
    </row>
    <row r="71" spans="1:8">
      <c r="A71" s="96">
        <v>45005</v>
      </c>
      <c r="B71" s="8" t="s">
        <v>1173</v>
      </c>
      <c r="D71" s="32"/>
      <c r="E71" s="152">
        <v>-456.1</v>
      </c>
      <c r="F71" s="60"/>
    </row>
    <row r="72" spans="1:8">
      <c r="A72" s="96">
        <v>45005</v>
      </c>
      <c r="B72" s="8" t="s">
        <v>1174</v>
      </c>
      <c r="E72" s="152">
        <v>-110</v>
      </c>
    </row>
    <row r="73" spans="1:8">
      <c r="A73" s="96">
        <v>45007</v>
      </c>
      <c r="B73" s="8" t="s">
        <v>1175</v>
      </c>
      <c r="D73" s="32"/>
      <c r="E73" s="152">
        <v>-554.11</v>
      </c>
    </row>
    <row r="74" spans="1:8">
      <c r="A74" s="96">
        <v>45010</v>
      </c>
      <c r="B74" s="8" t="s">
        <v>1176</v>
      </c>
      <c r="D74" s="32"/>
      <c r="E74" s="152">
        <v>-530.54999999999995</v>
      </c>
    </row>
    <row r="75" spans="1:8">
      <c r="A75" s="96">
        <v>45010</v>
      </c>
      <c r="B75" s="8" t="s">
        <v>1177</v>
      </c>
      <c r="D75" s="32"/>
      <c r="E75" s="152">
        <v>-26.53</v>
      </c>
    </row>
    <row r="76" spans="1:8">
      <c r="A76" s="96"/>
      <c r="D76" s="32"/>
      <c r="E76" s="152" t="s">
        <v>1149</v>
      </c>
    </row>
    <row r="78" spans="1:8">
      <c r="A78" s="99"/>
      <c r="B78" s="100" t="s">
        <v>77</v>
      </c>
      <c r="C78" s="99"/>
      <c r="D78" s="99"/>
      <c r="E78" s="148">
        <f>SUM(E79:E83)</f>
        <v>-31033.99</v>
      </c>
    </row>
    <row r="79" spans="1:8">
      <c r="A79" s="96">
        <v>44984</v>
      </c>
      <c r="B79" s="102" t="s">
        <v>356</v>
      </c>
      <c r="C79" s="102"/>
      <c r="D79" s="102"/>
      <c r="E79" s="152">
        <v>-30374</v>
      </c>
      <c r="F79" s="60"/>
      <c r="G79" s="60"/>
      <c r="H79" s="60"/>
    </row>
    <row r="80" spans="1:8">
      <c r="A80" s="96">
        <v>44993</v>
      </c>
      <c r="B80" s="102" t="s">
        <v>643</v>
      </c>
      <c r="C80" s="102"/>
      <c r="D80" s="102"/>
      <c r="E80" s="152">
        <v>-160</v>
      </c>
      <c r="F80" s="60"/>
      <c r="G80" s="60"/>
      <c r="H80" s="60"/>
    </row>
    <row r="81" spans="1:8">
      <c r="A81" s="96">
        <v>44994</v>
      </c>
      <c r="B81" s="102" t="s">
        <v>642</v>
      </c>
      <c r="C81" s="102"/>
      <c r="D81" s="102"/>
      <c r="E81" s="152">
        <v>-160.04</v>
      </c>
      <c r="F81" s="60"/>
      <c r="G81" s="60"/>
      <c r="H81" s="60"/>
    </row>
    <row r="82" spans="1:8">
      <c r="A82" s="96">
        <v>44995</v>
      </c>
      <c r="B82" s="102" t="s">
        <v>643</v>
      </c>
      <c r="C82" s="102"/>
      <c r="D82" s="102"/>
      <c r="E82" s="152">
        <v>-110</v>
      </c>
      <c r="F82" s="60"/>
      <c r="G82" s="60"/>
      <c r="H82" s="60"/>
    </row>
    <row r="83" spans="1:8">
      <c r="A83" s="96">
        <v>45000</v>
      </c>
      <c r="B83" s="102" t="s">
        <v>1178</v>
      </c>
      <c r="C83" s="102"/>
      <c r="D83" s="102"/>
      <c r="E83" s="152">
        <v>-229.95</v>
      </c>
      <c r="F83" s="60"/>
      <c r="G83" s="60"/>
      <c r="H83" s="60"/>
    </row>
    <row r="84" spans="1:8">
      <c r="A84" s="96"/>
      <c r="B84" s="103"/>
      <c r="E84" s="152" t="s">
        <v>1149</v>
      </c>
    </row>
    <row r="85" spans="1:8">
      <c r="A85" s="96"/>
      <c r="B85" s="103"/>
      <c r="E85" s="152"/>
    </row>
    <row r="86" spans="1:8">
      <c r="A86" s="96"/>
      <c r="B86" s="103"/>
      <c r="E86" s="152"/>
    </row>
    <row r="87" spans="1:8">
      <c r="A87" s="96"/>
      <c r="B87" s="103"/>
      <c r="E87" s="152"/>
    </row>
    <row r="88" spans="1:8">
      <c r="A88" s="96"/>
      <c r="B88" s="103"/>
      <c r="E88" s="152"/>
    </row>
    <row r="89" spans="1:8">
      <c r="A89" s="96"/>
      <c r="B89" s="103"/>
      <c r="E89" s="152"/>
    </row>
    <row r="90" spans="1:8">
      <c r="A90" s="96"/>
      <c r="B90" s="103"/>
      <c r="E90" s="152"/>
    </row>
    <row r="91" spans="1:8">
      <c r="A91" s="96"/>
      <c r="B91" s="103"/>
      <c r="E91" s="152"/>
    </row>
    <row r="92" spans="1:8">
      <c r="A92" s="96"/>
      <c r="B92" s="103"/>
      <c r="E92" s="152"/>
    </row>
    <row r="93" spans="1:8">
      <c r="A93" s="96"/>
      <c r="B93" s="103"/>
      <c r="E93" s="152"/>
    </row>
    <row r="94" spans="1:8">
      <c r="A94" s="96"/>
      <c r="B94" s="103"/>
      <c r="E94" s="152"/>
    </row>
    <row r="95" spans="1:8">
      <c r="A95" s="96"/>
      <c r="B95" s="103"/>
      <c r="E95" s="152"/>
    </row>
    <row r="96" spans="1:8">
      <c r="A96" s="96"/>
      <c r="B96" s="103"/>
      <c r="E96" s="152"/>
    </row>
    <row r="97" spans="1:5">
      <c r="A97" s="96"/>
      <c r="B97" s="103"/>
      <c r="E97" s="152"/>
    </row>
    <row r="98" spans="1:5">
      <c r="A98" s="96"/>
      <c r="B98" s="103"/>
      <c r="E98" s="152"/>
    </row>
    <row r="99" spans="1:5">
      <c r="A99" s="96"/>
      <c r="B99" s="103"/>
      <c r="E99" s="152"/>
    </row>
    <row r="100" spans="1:5">
      <c r="A100" s="96"/>
      <c r="B100" s="103"/>
      <c r="E100" s="152"/>
    </row>
    <row r="101" spans="1:5">
      <c r="A101" s="96"/>
      <c r="B101" s="103"/>
      <c r="E101" s="152"/>
    </row>
    <row r="102" spans="1:5">
      <c r="A102" s="96"/>
      <c r="B102" s="103"/>
      <c r="E102" s="152"/>
    </row>
    <row r="103" spans="1:5">
      <c r="A103" s="96"/>
      <c r="B103" s="103"/>
      <c r="E103" s="152"/>
    </row>
    <row r="104" spans="1:5">
      <c r="A104" s="96"/>
      <c r="B104" s="103"/>
      <c r="E104" s="152"/>
    </row>
    <row r="105" spans="1:5">
      <c r="A105" s="96"/>
      <c r="B105" s="103"/>
      <c r="E105" s="152"/>
    </row>
    <row r="106" spans="1:5">
      <c r="A106" s="96"/>
      <c r="B106" s="103"/>
      <c r="E106" s="152"/>
    </row>
    <row r="107" spans="1:5">
      <c r="A107" s="96"/>
      <c r="B107" s="103"/>
      <c r="E107" s="152"/>
    </row>
    <row r="111" spans="1:5">
      <c r="A111" s="99"/>
      <c r="B111" s="100" t="s">
        <v>1179</v>
      </c>
      <c r="C111" s="99"/>
      <c r="D111" s="147"/>
      <c r="E111" s="148">
        <f>SUM(E112:E120)</f>
        <v>367483.41000000003</v>
      </c>
    </row>
    <row r="112" spans="1:5">
      <c r="A112" s="96">
        <v>45016</v>
      </c>
      <c r="B112" s="8" t="s">
        <v>69</v>
      </c>
      <c r="C112" s="2"/>
      <c r="D112" s="2"/>
      <c r="E112" s="14">
        <v>64000</v>
      </c>
    </row>
    <row r="113" spans="1:5">
      <c r="A113" s="96">
        <v>45016</v>
      </c>
      <c r="B113" s="8" t="s">
        <v>1060</v>
      </c>
      <c r="C113" s="2"/>
      <c r="D113" s="2"/>
      <c r="E113" s="14">
        <v>53088</v>
      </c>
    </row>
    <row r="114" spans="1:5">
      <c r="A114" s="96">
        <v>45016</v>
      </c>
      <c r="B114" s="8" t="s">
        <v>292</v>
      </c>
      <c r="C114" s="2"/>
      <c r="D114" s="2"/>
      <c r="E114" s="14">
        <v>44063.82</v>
      </c>
    </row>
    <row r="115" spans="1:5">
      <c r="A115" s="96">
        <v>45016</v>
      </c>
      <c r="B115" s="8" t="s">
        <v>293</v>
      </c>
      <c r="C115" s="2"/>
      <c r="D115" s="2"/>
      <c r="E115" s="14">
        <v>6000.59</v>
      </c>
    </row>
    <row r="116" spans="1:5">
      <c r="A116" s="96">
        <v>45016</v>
      </c>
      <c r="B116" s="8" t="s">
        <v>997</v>
      </c>
      <c r="C116" s="2">
        <v>1265</v>
      </c>
      <c r="D116" s="2">
        <v>111</v>
      </c>
      <c r="E116" s="14">
        <f>D116*C116</f>
        <v>140415</v>
      </c>
    </row>
    <row r="117" spans="1:5">
      <c r="A117" s="96">
        <v>45016</v>
      </c>
      <c r="B117" s="8" t="s">
        <v>1094</v>
      </c>
      <c r="C117" s="2">
        <v>19.5</v>
      </c>
      <c r="D117" s="2">
        <v>850</v>
      </c>
      <c r="E117" s="14">
        <f>D117*C117</f>
        <v>16575</v>
      </c>
    </row>
    <row r="118" spans="1:5">
      <c r="A118" s="96">
        <v>45016</v>
      </c>
      <c r="B118" s="8" t="s">
        <v>1095</v>
      </c>
      <c r="C118" s="2">
        <v>21.41</v>
      </c>
      <c r="D118" s="2">
        <v>100</v>
      </c>
      <c r="E118" s="14">
        <f>D118*C118</f>
        <v>2141</v>
      </c>
    </row>
    <row r="119" spans="1:5">
      <c r="A119" s="96">
        <v>45016</v>
      </c>
      <c r="B119" s="8" t="s">
        <v>144</v>
      </c>
      <c r="C119" s="2"/>
      <c r="D119" s="2"/>
      <c r="E119" s="14">
        <v>40000</v>
      </c>
    </row>
    <row r="120" spans="1:5">
      <c r="A120" s="96"/>
      <c r="B120" s="8" t="s">
        <v>145</v>
      </c>
      <c r="C120" s="2"/>
      <c r="D120" s="2"/>
      <c r="E120" s="14">
        <v>1200</v>
      </c>
    </row>
    <row r="121" spans="1:5">
      <c r="D121" s="15" t="s">
        <v>1180</v>
      </c>
      <c r="E121" s="60">
        <f>H2</f>
        <v>14297.21</v>
      </c>
    </row>
    <row r="122" spans="1:5">
      <c r="D122" s="3"/>
    </row>
    <row r="123" spans="1:5">
      <c r="D123" s="15" t="s">
        <v>147</v>
      </c>
      <c r="E123" s="8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95511"/>
  </sheetPr>
  <dimension ref="A1:H123"/>
  <sheetViews>
    <sheetView topLeftCell="A17" zoomScale="170" zoomScaleNormal="170" workbookViewId="0">
      <selection activeCell="A18" sqref="A18"/>
    </sheetView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8" width="12.5703125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1181</v>
      </c>
      <c r="C2" s="76" t="s">
        <v>59</v>
      </c>
      <c r="D2" s="295">
        <f>SUM(D5:D36)</f>
        <v>88189</v>
      </c>
      <c r="E2" s="295">
        <f>SUM(E5:E35)</f>
        <v>-24634.690000000002</v>
      </c>
      <c r="F2" s="295">
        <f>SUM(F4:F36)</f>
        <v>23139.34</v>
      </c>
      <c r="G2" s="295">
        <f>SUM(G5:G40)</f>
        <v>-33283.54</v>
      </c>
      <c r="H2" s="295">
        <f>F2+G2</f>
        <v>-10144.200000000001</v>
      </c>
    </row>
    <row r="3" spans="1:8">
      <c r="B3" s="15"/>
      <c r="G3" s="60"/>
      <c r="H3" s="60">
        <f>F3+G3</f>
        <v>0</v>
      </c>
    </row>
    <row r="4" spans="1:8">
      <c r="A4" s="96">
        <v>44986</v>
      </c>
      <c r="B4" s="15" t="s">
        <v>1182</v>
      </c>
      <c r="F4">
        <v>5000</v>
      </c>
      <c r="G4" s="60"/>
      <c r="H4" s="60">
        <f t="shared" ref="H4:H38" si="0">H3+F4+G4</f>
        <v>5000</v>
      </c>
    </row>
    <row r="5" spans="1:8">
      <c r="A5" s="96">
        <v>44991</v>
      </c>
      <c r="B5" s="97" t="s">
        <v>72</v>
      </c>
      <c r="C5" s="97"/>
      <c r="D5" s="97"/>
      <c r="E5" s="60">
        <v>-400</v>
      </c>
      <c r="G5" s="60">
        <v>-224</v>
      </c>
      <c r="H5" s="60">
        <f t="shared" si="0"/>
        <v>4776</v>
      </c>
    </row>
    <row r="6" spans="1:8">
      <c r="A6" s="96">
        <v>44991</v>
      </c>
      <c r="B6" s="97" t="s">
        <v>73</v>
      </c>
      <c r="C6" s="97"/>
      <c r="D6" s="97"/>
      <c r="E6" s="60">
        <v>-500</v>
      </c>
      <c r="G6" s="60">
        <v>-461</v>
      </c>
      <c r="H6" s="60">
        <f t="shared" si="0"/>
        <v>4315</v>
      </c>
    </row>
    <row r="7" spans="1:8">
      <c r="A7" s="96">
        <v>44999</v>
      </c>
      <c r="B7" s="97" t="s">
        <v>660</v>
      </c>
      <c r="C7" s="97"/>
      <c r="D7" s="97"/>
      <c r="E7" s="60">
        <v>-4300</v>
      </c>
      <c r="G7" s="60">
        <v>-4300</v>
      </c>
      <c r="H7" s="60">
        <f t="shared" si="0"/>
        <v>15</v>
      </c>
    </row>
    <row r="8" spans="1:8">
      <c r="A8" s="96">
        <v>44987</v>
      </c>
      <c r="B8" s="97" t="s">
        <v>657</v>
      </c>
      <c r="C8" s="97"/>
      <c r="D8" s="97"/>
      <c r="E8" s="60">
        <v>-674.74</v>
      </c>
      <c r="F8" s="60"/>
      <c r="G8" s="60">
        <v>-672.15</v>
      </c>
      <c r="H8" s="60">
        <f t="shared" si="0"/>
        <v>-657.15</v>
      </c>
    </row>
    <row r="9" spans="1:8">
      <c r="A9" s="96">
        <v>44987</v>
      </c>
      <c r="B9" s="97" t="s">
        <v>67</v>
      </c>
      <c r="C9" s="97"/>
      <c r="D9" s="97"/>
      <c r="E9" s="60">
        <v>-150</v>
      </c>
      <c r="F9" s="60"/>
      <c r="G9" s="60">
        <v>-187.46</v>
      </c>
      <c r="H9" s="60">
        <f t="shared" si="0"/>
        <v>-844.61</v>
      </c>
    </row>
    <row r="10" spans="1:8">
      <c r="B10" s="102" t="s">
        <v>65</v>
      </c>
      <c r="C10" s="102"/>
      <c r="D10" s="102"/>
      <c r="E10" s="60">
        <v>-1000</v>
      </c>
      <c r="F10" s="152"/>
      <c r="G10" s="60">
        <v>-1464.5</v>
      </c>
      <c r="H10" s="60">
        <f t="shared" si="0"/>
        <v>-2309.11</v>
      </c>
    </row>
    <row r="11" spans="1:8">
      <c r="B11" s="102" t="s">
        <v>66</v>
      </c>
      <c r="C11" s="102"/>
      <c r="D11" s="102"/>
      <c r="E11" s="60">
        <v>-150</v>
      </c>
      <c r="F11" s="152"/>
      <c r="G11" s="60">
        <v>-64.5</v>
      </c>
      <c r="H11" s="60">
        <f t="shared" si="0"/>
        <v>-2373.61</v>
      </c>
    </row>
    <row r="12" spans="1:8">
      <c r="B12" s="167" t="s">
        <v>64</v>
      </c>
      <c r="E12" s="60">
        <f>D53*-1</f>
        <v>-64.930000000000007</v>
      </c>
      <c r="F12" s="60"/>
      <c r="G12" s="60">
        <v>-64.930000000000007</v>
      </c>
      <c r="H12" s="60">
        <f t="shared" si="0"/>
        <v>-2438.54</v>
      </c>
    </row>
    <row r="13" spans="1:8">
      <c r="B13" s="167" t="s">
        <v>60</v>
      </c>
      <c r="E13" s="60">
        <f>E58</f>
        <v>-7675.4</v>
      </c>
      <c r="F13" s="60"/>
      <c r="G13" s="60">
        <v>-7675.38</v>
      </c>
      <c r="H13" s="60">
        <f t="shared" si="0"/>
        <v>-10113.92</v>
      </c>
    </row>
    <row r="14" spans="1:8">
      <c r="B14" s="167" t="s">
        <v>61</v>
      </c>
      <c r="E14" s="60">
        <f>E95</f>
        <v>-1174.72</v>
      </c>
      <c r="G14" s="60">
        <v>-1174.72</v>
      </c>
      <c r="H14" s="60">
        <f t="shared" si="0"/>
        <v>-11288.64</v>
      </c>
    </row>
    <row r="15" spans="1:8">
      <c r="B15" t="s">
        <v>69</v>
      </c>
      <c r="E15" s="60">
        <v>-2750</v>
      </c>
      <c r="F15" s="60"/>
      <c r="G15" s="60">
        <v>-2750</v>
      </c>
      <c r="H15" s="60">
        <f t="shared" si="0"/>
        <v>-14038.64</v>
      </c>
    </row>
    <row r="16" spans="1:8">
      <c r="B16" t="s">
        <v>1183</v>
      </c>
      <c r="E16" s="60">
        <v>-2750</v>
      </c>
      <c r="F16" s="60"/>
      <c r="G16" s="60">
        <v>-1621</v>
      </c>
      <c r="H16" s="60">
        <f t="shared" si="0"/>
        <v>-15659.64</v>
      </c>
    </row>
    <row r="17" spans="1:8">
      <c r="B17" t="s">
        <v>71</v>
      </c>
      <c r="E17" s="60">
        <v>-2750</v>
      </c>
      <c r="F17" s="60"/>
      <c r="G17" s="60">
        <v>-2750</v>
      </c>
      <c r="H17" s="60">
        <f t="shared" si="0"/>
        <v>-18409.64</v>
      </c>
    </row>
    <row r="18" spans="1:8">
      <c r="B18" t="s">
        <v>1184</v>
      </c>
      <c r="D18" s="2">
        <v>1111</v>
      </c>
      <c r="E18" s="152"/>
      <c r="F18" s="60"/>
      <c r="G18" s="60"/>
      <c r="H18" s="60">
        <f t="shared" si="0"/>
        <v>-18409.64</v>
      </c>
    </row>
    <row r="19" spans="1:8">
      <c r="B19" t="s">
        <v>1185</v>
      </c>
      <c r="D19" s="2">
        <v>2428</v>
      </c>
      <c r="E19" s="152"/>
      <c r="F19" s="60"/>
      <c r="G19" s="60"/>
      <c r="H19" s="60">
        <f t="shared" si="0"/>
        <v>-18409.64</v>
      </c>
    </row>
    <row r="20" spans="1:8">
      <c r="B20" t="s">
        <v>68</v>
      </c>
      <c r="D20" s="175">
        <v>5500</v>
      </c>
      <c r="F20" s="60">
        <v>5589.34</v>
      </c>
      <c r="G20" s="60"/>
      <c r="H20" s="60">
        <f t="shared" si="0"/>
        <v>-12820.3</v>
      </c>
    </row>
    <row r="21" spans="1:8">
      <c r="B21" t="s">
        <v>663</v>
      </c>
      <c r="D21" s="175">
        <v>1650</v>
      </c>
      <c r="F21" s="60">
        <v>1650</v>
      </c>
      <c r="G21" s="60"/>
      <c r="H21" s="60">
        <f t="shared" si="0"/>
        <v>-11170.3</v>
      </c>
    </row>
    <row r="22" spans="1:8">
      <c r="A22" s="96">
        <v>45016</v>
      </c>
      <c r="B22" s="8" t="s">
        <v>1186</v>
      </c>
      <c r="D22" s="175">
        <v>6500</v>
      </c>
      <c r="F22" s="60">
        <v>6500</v>
      </c>
      <c r="G22" s="60"/>
      <c r="H22" s="60">
        <f t="shared" si="0"/>
        <v>-4670.2999999999993</v>
      </c>
    </row>
    <row r="23" spans="1:8">
      <c r="B23" t="s">
        <v>1187</v>
      </c>
      <c r="D23" s="98"/>
      <c r="F23" s="60">
        <v>4000</v>
      </c>
      <c r="G23" s="60"/>
      <c r="H23" s="60">
        <f t="shared" si="0"/>
        <v>-670.29999999999927</v>
      </c>
    </row>
    <row r="24" spans="1:8">
      <c r="B24" t="s">
        <v>1188</v>
      </c>
      <c r="D24" s="98"/>
      <c r="F24" s="60">
        <v>400</v>
      </c>
      <c r="G24" s="60"/>
      <c r="H24" s="60">
        <f t="shared" si="0"/>
        <v>-270.29999999999927</v>
      </c>
    </row>
    <row r="25" spans="1:8">
      <c r="B25" t="s">
        <v>1189</v>
      </c>
      <c r="D25" s="98"/>
      <c r="F25" s="60"/>
      <c r="G25" s="60"/>
      <c r="H25" s="60">
        <f t="shared" si="0"/>
        <v>-270.29999999999927</v>
      </c>
    </row>
    <row r="26" spans="1:8">
      <c r="B26" t="s">
        <v>1190</v>
      </c>
      <c r="D26" s="98"/>
      <c r="F26" s="60"/>
      <c r="G26" s="60"/>
      <c r="H26" s="60">
        <f t="shared" si="0"/>
        <v>-270.29999999999927</v>
      </c>
    </row>
    <row r="27" spans="1:8">
      <c r="B27" t="s">
        <v>1191</v>
      </c>
      <c r="D27" s="311">
        <v>1000</v>
      </c>
      <c r="G27" s="60"/>
      <c r="H27" s="60">
        <f t="shared" si="0"/>
        <v>-270.29999999999927</v>
      </c>
    </row>
    <row r="28" spans="1:8">
      <c r="A28" s="96">
        <v>45002</v>
      </c>
      <c r="B28" s="8" t="s">
        <v>643</v>
      </c>
      <c r="D28" s="175"/>
      <c r="G28" s="60">
        <v>-200</v>
      </c>
      <c r="H28" s="60">
        <f t="shared" si="0"/>
        <v>-470.29999999999927</v>
      </c>
    </row>
    <row r="29" spans="1:8">
      <c r="A29" s="96">
        <v>45000</v>
      </c>
      <c r="B29" s="8" t="s">
        <v>1192</v>
      </c>
      <c r="D29" s="175"/>
      <c r="G29" s="60">
        <v>-3450</v>
      </c>
      <c r="H29" s="60">
        <f t="shared" si="0"/>
        <v>-3920.2999999999993</v>
      </c>
    </row>
    <row r="30" spans="1:8">
      <c r="A30" s="96"/>
      <c r="D30" s="98"/>
      <c r="E30" s="152"/>
      <c r="G30" s="60"/>
      <c r="H30" s="60">
        <f t="shared" si="0"/>
        <v>-3920.2999999999993</v>
      </c>
    </row>
    <row r="31" spans="1:8">
      <c r="A31" s="96">
        <v>45016</v>
      </c>
      <c r="B31" s="8" t="s">
        <v>1193</v>
      </c>
      <c r="D31" s="98"/>
      <c r="E31" s="60">
        <v>-294.89999999999998</v>
      </c>
      <c r="G31" s="60">
        <v>-294.89999999999998</v>
      </c>
      <c r="H31" s="60">
        <f t="shared" si="0"/>
        <v>-4215.1999999999989</v>
      </c>
    </row>
    <row r="32" spans="1:8">
      <c r="A32" s="96">
        <v>45015</v>
      </c>
      <c r="B32" s="8" t="s">
        <v>757</v>
      </c>
      <c r="D32" s="98">
        <v>70000</v>
      </c>
      <c r="F32" s="60"/>
      <c r="G32" s="60"/>
      <c r="H32" s="60">
        <f t="shared" si="0"/>
        <v>-4215.1999999999989</v>
      </c>
    </row>
    <row r="33" spans="1:8">
      <c r="A33" s="96"/>
      <c r="D33" s="98"/>
      <c r="G33" s="60"/>
      <c r="H33" s="60">
        <f t="shared" si="0"/>
        <v>-4215.1999999999989</v>
      </c>
    </row>
    <row r="34" spans="1:8">
      <c r="D34" s="60"/>
      <c r="F34" s="60"/>
      <c r="G34" s="60"/>
      <c r="H34" s="60">
        <f t="shared" si="0"/>
        <v>-4215.1999999999989</v>
      </c>
    </row>
    <row r="35" spans="1:8">
      <c r="A35" s="96">
        <v>44998</v>
      </c>
      <c r="B35" s="8" t="s">
        <v>1194</v>
      </c>
      <c r="D35" s="8" t="s">
        <v>378</v>
      </c>
      <c r="E35" s="152"/>
      <c r="F35" s="60"/>
      <c r="G35" s="60"/>
      <c r="H35" s="60">
        <f t="shared" si="0"/>
        <v>-4215.1999999999989</v>
      </c>
    </row>
    <row r="36" spans="1:8">
      <c r="A36" s="96">
        <v>44998</v>
      </c>
      <c r="B36" s="8" t="s">
        <v>1195</v>
      </c>
      <c r="D36" s="8" t="s">
        <v>378</v>
      </c>
      <c r="E36" s="152"/>
      <c r="F36" s="60"/>
      <c r="G36" s="60"/>
      <c r="H36" s="60">
        <f t="shared" si="0"/>
        <v>-4215.1999999999989</v>
      </c>
    </row>
    <row r="37" spans="1:8">
      <c r="A37" s="96">
        <v>44998</v>
      </c>
      <c r="B37" s="8" t="s">
        <v>1196</v>
      </c>
      <c r="E37" s="152"/>
      <c r="F37" s="60"/>
      <c r="G37" s="60">
        <v>-4800</v>
      </c>
      <c r="H37" s="60">
        <f t="shared" si="0"/>
        <v>-9015.1999999999989</v>
      </c>
    </row>
    <row r="38" spans="1:8">
      <c r="A38" s="96">
        <v>44998</v>
      </c>
      <c r="B38" s="8" t="s">
        <v>1197</v>
      </c>
      <c r="E38" s="152"/>
      <c r="F38" s="60">
        <v>1129</v>
      </c>
      <c r="G38" s="60">
        <v>-1129</v>
      </c>
      <c r="H38" s="60">
        <f t="shared" si="0"/>
        <v>-9015.1999999999989</v>
      </c>
    </row>
    <row r="39" spans="1:8">
      <c r="A39" s="96"/>
      <c r="E39" s="152"/>
      <c r="F39" s="60" t="s">
        <v>1198</v>
      </c>
      <c r="G39" s="60"/>
      <c r="H39" s="60"/>
    </row>
    <row r="40" spans="1:8">
      <c r="B40" t="s">
        <v>317</v>
      </c>
      <c r="E40" s="60"/>
      <c r="G40" s="60"/>
      <c r="H40" s="60"/>
    </row>
    <row r="41" spans="1:8">
      <c r="A41" s="99" t="s">
        <v>318</v>
      </c>
      <c r="B41" s="99"/>
      <c r="C41" s="99"/>
      <c r="D41" s="99"/>
      <c r="E41" s="147"/>
      <c r="G41" s="60"/>
      <c r="H41" s="60"/>
    </row>
    <row r="42" spans="1:8">
      <c r="A42" s="96"/>
      <c r="E42" s="60"/>
      <c r="G42" s="60"/>
      <c r="H42" s="60"/>
    </row>
    <row r="43" spans="1:8">
      <c r="A43" s="96"/>
      <c r="C43" s="160"/>
      <c r="G43" s="60"/>
      <c r="H43" s="60"/>
    </row>
    <row r="44" spans="1:8">
      <c r="A44" s="96"/>
      <c r="C44" s="160"/>
      <c r="G44" s="60"/>
      <c r="H44" s="60"/>
    </row>
    <row r="45" spans="1:8">
      <c r="A45" s="96"/>
      <c r="C45" s="160"/>
      <c r="G45" s="60"/>
      <c r="H45" s="60"/>
    </row>
    <row r="46" spans="1:8">
      <c r="A46" s="161">
        <v>44929</v>
      </c>
      <c r="B46" s="162" t="s">
        <v>319</v>
      </c>
      <c r="C46" s="99"/>
      <c r="D46" s="190">
        <f>SUM(D47:D54)</f>
        <v>3899.0699999999997</v>
      </c>
      <c r="E46" s="190">
        <f>SUM(E47:E54)</f>
        <v>3699.0699999999997</v>
      </c>
      <c r="G46" s="60"/>
      <c r="H46" s="60"/>
    </row>
    <row r="47" spans="1:8">
      <c r="B47" t="s">
        <v>1199</v>
      </c>
      <c r="D47">
        <v>933.16</v>
      </c>
      <c r="E47" s="60">
        <v>933.16</v>
      </c>
      <c r="F47" s="60"/>
      <c r="G47" s="60"/>
    </row>
    <row r="48" spans="1:8">
      <c r="B48" t="s">
        <v>321</v>
      </c>
      <c r="D48">
        <v>996.81</v>
      </c>
      <c r="E48" s="60">
        <v>996.81</v>
      </c>
      <c r="F48" s="60"/>
      <c r="G48" s="60"/>
    </row>
    <row r="49" spans="1:8">
      <c r="B49" t="s">
        <v>322</v>
      </c>
      <c r="D49">
        <v>233.14</v>
      </c>
      <c r="E49">
        <v>233.14</v>
      </c>
      <c r="F49" s="60"/>
      <c r="G49" s="60"/>
    </row>
    <row r="50" spans="1:8">
      <c r="B50" t="s">
        <v>1200</v>
      </c>
      <c r="D50">
        <v>200</v>
      </c>
      <c r="F50" s="60"/>
      <c r="G50" s="60"/>
    </row>
    <row r="51" spans="1:8">
      <c r="B51" t="s">
        <v>1201</v>
      </c>
      <c r="D51">
        <v>1128.6300000000001</v>
      </c>
      <c r="E51">
        <v>1128.6300000000001</v>
      </c>
      <c r="F51" s="60"/>
      <c r="G51" s="60"/>
    </row>
    <row r="52" spans="1:8">
      <c r="B52" t="s">
        <v>324</v>
      </c>
      <c r="C52" s="102"/>
      <c r="D52" s="102">
        <v>342.4</v>
      </c>
      <c r="E52">
        <v>342.4</v>
      </c>
      <c r="F52" s="60"/>
      <c r="G52" s="60"/>
    </row>
    <row r="53" spans="1:8">
      <c r="B53" t="s">
        <v>325</v>
      </c>
      <c r="C53" s="102"/>
      <c r="D53">
        <v>64.930000000000007</v>
      </c>
      <c r="E53" s="102">
        <v>64.930000000000007</v>
      </c>
      <c r="F53" s="60"/>
      <c r="G53" s="60"/>
    </row>
    <row r="54" spans="1:8">
      <c r="C54" s="102"/>
      <c r="D54" s="102"/>
      <c r="E54" s="152"/>
      <c r="F54" s="60"/>
      <c r="G54" s="60"/>
    </row>
    <row r="55" spans="1:8">
      <c r="G55" s="60"/>
    </row>
    <row r="56" spans="1:8">
      <c r="B56" s="14"/>
      <c r="G56" s="60"/>
    </row>
    <row r="57" spans="1:8">
      <c r="B57" s="98"/>
      <c r="G57" s="60"/>
    </row>
    <row r="58" spans="1:8">
      <c r="A58" s="99"/>
      <c r="B58" s="100" t="s">
        <v>75</v>
      </c>
      <c r="C58" s="99"/>
      <c r="D58" s="147"/>
      <c r="E58" s="305">
        <f>SUM(E59:E92)</f>
        <v>-7675.4</v>
      </c>
      <c r="G58" s="60"/>
    </row>
    <row r="59" spans="1:8">
      <c r="G59" s="60"/>
      <c r="H59" s="60"/>
    </row>
    <row r="60" spans="1:8">
      <c r="A60" s="96">
        <v>44866</v>
      </c>
      <c r="B60" s="102" t="s">
        <v>1202</v>
      </c>
      <c r="C60" s="102"/>
      <c r="D60" s="102" t="s">
        <v>431</v>
      </c>
      <c r="E60" s="152">
        <v>-208.17</v>
      </c>
      <c r="F60" s="60"/>
      <c r="G60" s="60"/>
      <c r="H60" s="60"/>
    </row>
    <row r="61" spans="1:8">
      <c r="A61" s="96">
        <v>44871</v>
      </c>
      <c r="B61" s="102" t="s">
        <v>1203</v>
      </c>
      <c r="C61" s="102"/>
      <c r="D61" s="102" t="s">
        <v>431</v>
      </c>
      <c r="E61" s="152">
        <v>-151.65</v>
      </c>
      <c r="F61" s="60"/>
      <c r="G61" s="60"/>
      <c r="H61" s="60"/>
    </row>
    <row r="62" spans="1:8">
      <c r="A62" s="96">
        <v>44873</v>
      </c>
      <c r="B62" s="8" t="s">
        <v>1204</v>
      </c>
      <c r="C62" s="102"/>
      <c r="D62" s="102" t="s">
        <v>762</v>
      </c>
      <c r="E62" s="152">
        <v>-1111.1099999999999</v>
      </c>
      <c r="F62" s="60"/>
      <c r="G62" s="60"/>
      <c r="H62" s="60"/>
    </row>
    <row r="63" spans="1:8">
      <c r="A63" s="96">
        <v>44920</v>
      </c>
      <c r="B63" s="102" t="s">
        <v>1164</v>
      </c>
      <c r="C63" s="102"/>
      <c r="D63" s="102" t="s">
        <v>1021</v>
      </c>
      <c r="E63" s="152">
        <v>-397.46</v>
      </c>
      <c r="F63" s="60"/>
      <c r="G63" s="60"/>
      <c r="H63" s="60"/>
    </row>
    <row r="64" spans="1:8">
      <c r="A64" s="96">
        <v>44920</v>
      </c>
      <c r="B64" s="102" t="s">
        <v>1165</v>
      </c>
      <c r="C64" s="102"/>
      <c r="D64" s="102" t="s">
        <v>1021</v>
      </c>
      <c r="E64" s="152">
        <v>-80.91</v>
      </c>
      <c r="F64" s="60"/>
      <c r="G64" s="60"/>
      <c r="H64" s="60"/>
    </row>
    <row r="65" spans="1:8">
      <c r="A65" s="96">
        <v>44920</v>
      </c>
      <c r="B65" s="102" t="s">
        <v>1166</v>
      </c>
      <c r="C65" s="102"/>
      <c r="D65" s="102" t="s">
        <v>1021</v>
      </c>
      <c r="E65" s="152">
        <v>-127.05</v>
      </c>
      <c r="F65" s="60"/>
      <c r="G65" s="60"/>
      <c r="H65" s="60"/>
    </row>
    <row r="66" spans="1:8">
      <c r="A66" s="96">
        <v>44920</v>
      </c>
      <c r="B66" s="102" t="s">
        <v>1167</v>
      </c>
      <c r="C66" s="102"/>
      <c r="D66" s="102" t="s">
        <v>1021</v>
      </c>
      <c r="E66" s="152">
        <v>-49.31</v>
      </c>
      <c r="F66" s="60"/>
      <c r="G66" s="60"/>
      <c r="H66" s="60"/>
    </row>
    <row r="67" spans="1:8">
      <c r="A67" s="96">
        <v>44952</v>
      </c>
      <c r="B67" s="8" t="s">
        <v>1205</v>
      </c>
      <c r="E67" s="152">
        <v>-167.74</v>
      </c>
      <c r="F67" s="60"/>
      <c r="G67" s="60"/>
      <c r="H67" s="60"/>
    </row>
    <row r="68" spans="1:8">
      <c r="A68" s="96">
        <v>44953</v>
      </c>
      <c r="B68" s="8" t="s">
        <v>1206</v>
      </c>
      <c r="E68" s="152">
        <v>-169.33</v>
      </c>
      <c r="F68" s="60"/>
      <c r="G68" s="60"/>
      <c r="H68" s="60"/>
    </row>
    <row r="69" spans="1:8">
      <c r="A69" s="96">
        <v>44954</v>
      </c>
      <c r="B69" s="8" t="s">
        <v>1207</v>
      </c>
      <c r="D69" s="32"/>
      <c r="E69" s="152">
        <v>-150.32</v>
      </c>
      <c r="F69" s="60"/>
      <c r="G69" s="60"/>
      <c r="H69" s="60"/>
    </row>
    <row r="70" spans="1:8">
      <c r="A70" s="96">
        <v>44956</v>
      </c>
      <c r="B70" s="8" t="s">
        <v>1208</v>
      </c>
      <c r="D70" s="32"/>
      <c r="E70" s="152">
        <v>-171.76</v>
      </c>
      <c r="F70" s="60"/>
      <c r="G70" s="60"/>
      <c r="H70" s="60"/>
    </row>
    <row r="71" spans="1:8">
      <c r="A71" s="96">
        <v>44957</v>
      </c>
      <c r="B71" s="8" t="s">
        <v>1209</v>
      </c>
      <c r="D71" s="32"/>
      <c r="E71" s="152">
        <v>-119.42</v>
      </c>
      <c r="F71" s="60"/>
      <c r="G71" s="60"/>
      <c r="H71" s="60"/>
    </row>
    <row r="72" spans="1:8">
      <c r="A72" s="96">
        <v>44957</v>
      </c>
      <c r="B72" s="8" t="s">
        <v>808</v>
      </c>
      <c r="D72" s="32"/>
      <c r="E72" s="152">
        <v>-225.4</v>
      </c>
      <c r="F72" s="60"/>
      <c r="G72" s="60"/>
      <c r="H72" s="60"/>
    </row>
    <row r="73" spans="1:8">
      <c r="A73" s="96">
        <v>44957</v>
      </c>
      <c r="B73" s="8" t="s">
        <v>808</v>
      </c>
      <c r="D73" s="32"/>
      <c r="E73" s="152">
        <v>-225.4</v>
      </c>
      <c r="F73" s="60"/>
      <c r="G73" s="60"/>
      <c r="H73" s="60"/>
    </row>
    <row r="74" spans="1:8">
      <c r="A74" s="96">
        <v>44957</v>
      </c>
      <c r="B74" s="8" t="s">
        <v>809</v>
      </c>
      <c r="C74">
        <v>437.97</v>
      </c>
      <c r="D74" s="32" t="s">
        <v>1169</v>
      </c>
      <c r="E74" s="152">
        <v>-145.99</v>
      </c>
      <c r="F74" s="60"/>
      <c r="G74" s="60"/>
      <c r="H74" s="60"/>
    </row>
    <row r="75" spans="1:8">
      <c r="A75" s="96">
        <v>44957</v>
      </c>
      <c r="B75" s="8" t="s">
        <v>810</v>
      </c>
      <c r="C75">
        <v>404.23</v>
      </c>
      <c r="D75" s="32" t="s">
        <v>1169</v>
      </c>
      <c r="E75" s="152">
        <v>-134.74</v>
      </c>
      <c r="F75" s="60"/>
      <c r="G75" s="60"/>
      <c r="H75" s="60"/>
    </row>
    <row r="76" spans="1:8">
      <c r="A76" s="96">
        <v>44957</v>
      </c>
      <c r="B76" s="8" t="s">
        <v>811</v>
      </c>
      <c r="C76">
        <v>1135</v>
      </c>
      <c r="D76" s="32" t="s">
        <v>1169</v>
      </c>
      <c r="E76" s="152">
        <v>-378.33</v>
      </c>
      <c r="F76" s="60"/>
      <c r="G76" s="60"/>
      <c r="H76" s="60"/>
    </row>
    <row r="77" spans="1:8">
      <c r="A77" s="96">
        <v>44958</v>
      </c>
      <c r="B77" s="8" t="s">
        <v>1210</v>
      </c>
      <c r="E77" s="152">
        <v>-880.22</v>
      </c>
      <c r="G77" s="60"/>
    </row>
    <row r="78" spans="1:8">
      <c r="A78" s="96">
        <v>44958</v>
      </c>
      <c r="B78" s="8" t="s">
        <v>1211</v>
      </c>
      <c r="E78" s="152">
        <v>-218.24</v>
      </c>
      <c r="G78" s="60"/>
    </row>
    <row r="79" spans="1:8">
      <c r="A79" s="96">
        <v>44960</v>
      </c>
      <c r="B79" s="8" t="s">
        <v>1212</v>
      </c>
      <c r="E79" s="152">
        <v>-120.45</v>
      </c>
      <c r="G79" s="60"/>
    </row>
    <row r="80" spans="1:8">
      <c r="A80" s="96">
        <v>44963</v>
      </c>
      <c r="B80" s="8" t="s">
        <v>1213</v>
      </c>
      <c r="D80" s="32"/>
      <c r="E80" s="152">
        <v>-130.56</v>
      </c>
      <c r="G80" s="60"/>
    </row>
    <row r="81" spans="1:8">
      <c r="A81" s="96">
        <v>44969</v>
      </c>
      <c r="B81" s="8" t="s">
        <v>1214</v>
      </c>
      <c r="D81" s="32"/>
      <c r="E81" s="152">
        <v>-51.99</v>
      </c>
      <c r="G81" s="60"/>
    </row>
    <row r="82" spans="1:8">
      <c r="A82" s="96">
        <v>44970</v>
      </c>
      <c r="B82" s="8" t="s">
        <v>516</v>
      </c>
      <c r="D82" s="32"/>
      <c r="E82" s="152">
        <v>-379</v>
      </c>
      <c r="G82" s="60"/>
    </row>
    <row r="83" spans="1:8">
      <c r="A83" s="96">
        <v>44970</v>
      </c>
      <c r="B83" s="8" t="s">
        <v>516</v>
      </c>
      <c r="D83" s="32"/>
      <c r="E83" s="152">
        <v>-510</v>
      </c>
      <c r="G83" s="60"/>
    </row>
    <row r="84" spans="1:8">
      <c r="A84" s="96">
        <v>44971</v>
      </c>
      <c r="B84" s="8" t="s">
        <v>1214</v>
      </c>
      <c r="D84" s="32"/>
      <c r="E84" s="152">
        <v>-51.99</v>
      </c>
      <c r="G84" s="60"/>
    </row>
    <row r="85" spans="1:8">
      <c r="A85" s="96">
        <v>44972</v>
      </c>
      <c r="B85" s="8" t="s">
        <v>1215</v>
      </c>
      <c r="D85" s="32"/>
      <c r="E85" s="152">
        <v>-54.77</v>
      </c>
      <c r="G85" s="60"/>
    </row>
    <row r="86" spans="1:8">
      <c r="A86" s="96">
        <v>44972</v>
      </c>
      <c r="B86" s="8" t="s">
        <v>1216</v>
      </c>
      <c r="D86" s="32"/>
      <c r="E86" s="152">
        <v>-459</v>
      </c>
      <c r="G86" s="60"/>
    </row>
    <row r="87" spans="1:8">
      <c r="A87" s="96">
        <v>44972</v>
      </c>
      <c r="B87" s="8" t="s">
        <v>1217</v>
      </c>
      <c r="D87" s="32"/>
      <c r="E87" s="152">
        <v>-211</v>
      </c>
      <c r="G87" s="60"/>
    </row>
    <row r="88" spans="1:8">
      <c r="A88" s="96">
        <v>44977</v>
      </c>
      <c r="B88" s="8" t="s">
        <v>1218</v>
      </c>
      <c r="D88" s="32"/>
      <c r="E88" s="152">
        <v>-100</v>
      </c>
      <c r="G88" s="60"/>
    </row>
    <row r="89" spans="1:8">
      <c r="A89" s="96">
        <v>44977</v>
      </c>
      <c r="B89" s="8" t="s">
        <v>1218</v>
      </c>
      <c r="D89" s="32"/>
      <c r="E89" s="152">
        <v>-10</v>
      </c>
      <c r="G89" s="60"/>
    </row>
    <row r="90" spans="1:8">
      <c r="A90" s="96">
        <v>44981</v>
      </c>
      <c r="B90" s="8" t="s">
        <v>126</v>
      </c>
      <c r="D90" s="32"/>
      <c r="E90" s="152">
        <v>-132.77000000000001</v>
      </c>
      <c r="G90" s="60"/>
    </row>
    <row r="91" spans="1:8">
      <c r="A91" s="96">
        <v>44982</v>
      </c>
      <c r="B91" s="8" t="s">
        <v>126</v>
      </c>
      <c r="D91" s="32"/>
      <c r="E91" s="152">
        <v>-186.34</v>
      </c>
      <c r="G91" s="60"/>
    </row>
    <row r="92" spans="1:8">
      <c r="A92" s="96">
        <v>44982</v>
      </c>
      <c r="B92" s="8" t="s">
        <v>1107</v>
      </c>
      <c r="C92">
        <v>659.93</v>
      </c>
      <c r="D92" s="32" t="s">
        <v>1076</v>
      </c>
      <c r="E92" s="152">
        <v>-164.98</v>
      </c>
      <c r="G92" s="60"/>
    </row>
    <row r="93" spans="1:8">
      <c r="A93" s="312">
        <v>44982</v>
      </c>
      <c r="D93" s="32"/>
      <c r="E93" s="313" t="s">
        <v>1149</v>
      </c>
      <c r="G93" s="60"/>
    </row>
    <row r="94" spans="1:8">
      <c r="G94" s="60"/>
    </row>
    <row r="95" spans="1:8">
      <c r="A95" s="99"/>
      <c r="B95" s="100" t="s">
        <v>77</v>
      </c>
      <c r="C95" s="99"/>
      <c r="D95" s="99"/>
      <c r="E95" s="148">
        <f>SUM(E96:E109)</f>
        <v>-1174.72</v>
      </c>
      <c r="G95" s="60"/>
    </row>
    <row r="96" spans="1:8">
      <c r="A96" s="96">
        <v>44965</v>
      </c>
      <c r="B96" s="102" t="s">
        <v>1219</v>
      </c>
      <c r="C96" s="102"/>
      <c r="D96" s="102"/>
      <c r="E96" s="152">
        <v>-122.33</v>
      </c>
      <c r="F96" s="60"/>
      <c r="G96" s="60"/>
      <c r="H96" s="60"/>
    </row>
    <row r="97" spans="1:8">
      <c r="A97" s="96">
        <v>44965</v>
      </c>
      <c r="B97" s="102" t="s">
        <v>1220</v>
      </c>
      <c r="C97" s="102"/>
      <c r="D97" s="102"/>
      <c r="E97" s="152">
        <v>-713.25</v>
      </c>
      <c r="F97" s="60"/>
      <c r="G97" s="60"/>
      <c r="H97" s="60"/>
    </row>
    <row r="98" spans="1:8">
      <c r="A98" s="96">
        <v>44974</v>
      </c>
      <c r="B98" s="102" t="s">
        <v>1147</v>
      </c>
      <c r="C98" s="102"/>
      <c r="D98" s="102"/>
      <c r="E98" s="152">
        <v>-41.98</v>
      </c>
      <c r="F98" s="60"/>
      <c r="G98" s="60"/>
      <c r="H98" s="60"/>
    </row>
    <row r="99" spans="1:8">
      <c r="A99" s="96">
        <v>44979</v>
      </c>
      <c r="B99" s="102" t="s">
        <v>1147</v>
      </c>
      <c r="C99" s="102"/>
      <c r="D99" s="102"/>
      <c r="E99" s="152">
        <v>-130.93</v>
      </c>
      <c r="F99" s="60"/>
      <c r="G99" s="60"/>
      <c r="H99" s="60"/>
    </row>
    <row r="100" spans="1:8">
      <c r="A100" s="96">
        <v>44980</v>
      </c>
      <c r="B100" s="102" t="s">
        <v>1147</v>
      </c>
      <c r="C100" s="102"/>
      <c r="D100" s="102"/>
      <c r="E100" s="152">
        <v>-166.23</v>
      </c>
      <c r="F100" s="60"/>
      <c r="G100" s="60"/>
      <c r="H100" s="60"/>
    </row>
    <row r="101" spans="1:8">
      <c r="A101" s="312">
        <v>44981</v>
      </c>
      <c r="C101" s="102"/>
      <c r="D101" s="102"/>
      <c r="E101" s="313" t="s">
        <v>1149</v>
      </c>
      <c r="F101" s="60"/>
      <c r="G101" s="60"/>
      <c r="H101" s="60"/>
    </row>
    <row r="102" spans="1:8">
      <c r="A102" s="96"/>
      <c r="B102" s="103"/>
      <c r="E102" s="152"/>
    </row>
    <row r="103" spans="1:8">
      <c r="A103" s="96"/>
      <c r="B103" s="103"/>
      <c r="E103" s="152"/>
    </row>
    <row r="104" spans="1:8">
      <c r="A104" s="96"/>
      <c r="B104" s="103"/>
      <c r="E104" s="152"/>
    </row>
    <row r="105" spans="1:8">
      <c r="A105" s="96"/>
      <c r="B105" s="103"/>
      <c r="E105" s="152"/>
    </row>
    <row r="106" spans="1:8">
      <c r="A106" s="96"/>
      <c r="B106" s="103"/>
      <c r="E106" s="152"/>
    </row>
    <row r="107" spans="1:8">
      <c r="A107" s="96"/>
      <c r="B107" s="103"/>
      <c r="E107" s="152"/>
    </row>
    <row r="111" spans="1:8">
      <c r="A111" s="99"/>
      <c r="B111" s="100" t="s">
        <v>1221</v>
      </c>
      <c r="C111" s="99"/>
      <c r="D111" s="147"/>
      <c r="E111" s="148">
        <f>SUM(E112:E120)</f>
        <v>310932.3</v>
      </c>
    </row>
    <row r="112" spans="1:8">
      <c r="A112" s="96">
        <v>45016</v>
      </c>
      <c r="B112" s="8" t="s">
        <v>69</v>
      </c>
      <c r="C112" s="2"/>
      <c r="D112" s="2"/>
      <c r="E112" s="14">
        <v>64000</v>
      </c>
    </row>
    <row r="113" spans="1:5">
      <c r="A113" s="96">
        <v>45016</v>
      </c>
      <c r="B113" s="8" t="s">
        <v>1222</v>
      </c>
      <c r="C113" s="2"/>
      <c r="D113" s="2"/>
      <c r="E113" s="14">
        <v>53088</v>
      </c>
    </row>
    <row r="114" spans="1:5">
      <c r="A114" s="96">
        <v>45016</v>
      </c>
      <c r="B114" s="8" t="s">
        <v>292</v>
      </c>
      <c r="C114" s="2"/>
      <c r="D114" s="2"/>
      <c r="E114" s="14">
        <v>17383.580000000002</v>
      </c>
    </row>
    <row r="115" spans="1:5">
      <c r="A115" s="96">
        <v>45016</v>
      </c>
      <c r="B115" s="8" t="s">
        <v>293</v>
      </c>
      <c r="C115" s="2"/>
      <c r="D115" s="2"/>
      <c r="E115" s="14">
        <v>0.59</v>
      </c>
    </row>
    <row r="116" spans="1:5">
      <c r="A116" s="96">
        <v>45016</v>
      </c>
      <c r="B116" s="8" t="s">
        <v>997</v>
      </c>
      <c r="C116" s="2">
        <v>1179.83</v>
      </c>
      <c r="D116" s="2">
        <v>111</v>
      </c>
      <c r="E116" s="14">
        <f>D116*C116</f>
        <v>130961.12999999999</v>
      </c>
    </row>
    <row r="117" spans="1:5">
      <c r="A117" s="96">
        <v>45016</v>
      </c>
      <c r="B117" s="8" t="s">
        <v>1094</v>
      </c>
      <c r="C117" s="2">
        <v>18.78</v>
      </c>
      <c r="D117" s="2">
        <v>850</v>
      </c>
      <c r="E117" s="14">
        <f>D117*C117</f>
        <v>15963.000000000002</v>
      </c>
    </row>
    <row r="118" spans="1:5">
      <c r="A118" s="96">
        <v>45016</v>
      </c>
      <c r="B118" s="8" t="s">
        <v>1095</v>
      </c>
      <c r="C118" s="2">
        <v>20.36</v>
      </c>
      <c r="D118" s="2">
        <v>100</v>
      </c>
      <c r="E118" s="14">
        <f>D118*C118</f>
        <v>2036</v>
      </c>
    </row>
    <row r="119" spans="1:5">
      <c r="A119" s="96">
        <v>45016</v>
      </c>
      <c r="B119" s="8" t="s">
        <v>144</v>
      </c>
      <c r="C119" s="2"/>
      <c r="D119" s="2"/>
      <c r="E119" s="14">
        <v>26300</v>
      </c>
    </row>
    <row r="120" spans="1:5">
      <c r="A120" s="96"/>
      <c r="B120" s="8" t="s">
        <v>145</v>
      </c>
      <c r="C120" s="2"/>
      <c r="D120" s="2"/>
      <c r="E120" s="14">
        <v>1200</v>
      </c>
    </row>
    <row r="121" spans="1:5">
      <c r="D121" s="15" t="s">
        <v>1223</v>
      </c>
      <c r="E121" s="60">
        <f>H2</f>
        <v>-10144.200000000001</v>
      </c>
    </row>
    <row r="122" spans="1:5">
      <c r="D122" s="3"/>
    </row>
    <row r="123" spans="1:5">
      <c r="D123" s="15" t="s">
        <v>147</v>
      </c>
      <c r="E123" s="8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95511"/>
  </sheetPr>
  <dimension ref="A1:H123"/>
  <sheetViews>
    <sheetView zoomScale="170" zoomScaleNormal="170" workbookViewId="0">
      <selection activeCell="B11" sqref="B11"/>
    </sheetView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152"/>
    <col min="1024" max="1024" width="9.140625" customWidth="1"/>
  </cols>
  <sheetData>
    <row r="1" spans="1:8">
      <c r="F1" s="178" t="s">
        <v>20</v>
      </c>
      <c r="G1" s="178" t="s">
        <v>21</v>
      </c>
      <c r="H1" s="178" t="s">
        <v>3</v>
      </c>
    </row>
    <row r="2" spans="1:8">
      <c r="A2" s="3" t="s">
        <v>1063</v>
      </c>
      <c r="C2" s="76" t="s">
        <v>59</v>
      </c>
      <c r="D2" s="295">
        <f>SUM(D4:D43)</f>
        <v>15761</v>
      </c>
      <c r="E2" s="152">
        <f>SUM(E4:E38)</f>
        <v>-56286.92</v>
      </c>
      <c r="F2" s="295">
        <f>SUM(F4:F43)</f>
        <v>26990.010000000002</v>
      </c>
      <c r="G2" s="295">
        <f>SUM(G4:G43)</f>
        <v>-77441.489999999991</v>
      </c>
      <c r="H2" s="295">
        <f>F2+G2</f>
        <v>-50451.479999999989</v>
      </c>
    </row>
    <row r="3" spans="1:8">
      <c r="B3" s="15"/>
      <c r="H3" s="60"/>
    </row>
    <row r="4" spans="1:8">
      <c r="A4" s="96">
        <v>44959</v>
      </c>
      <c r="B4" s="97" t="s">
        <v>72</v>
      </c>
      <c r="C4" s="97"/>
      <c r="D4" s="97"/>
      <c r="E4" s="60">
        <v>-400</v>
      </c>
      <c r="G4" s="60">
        <v>-264</v>
      </c>
      <c r="H4" s="60">
        <f t="shared" ref="H4:H41" si="0">H3+F4+G4</f>
        <v>-264</v>
      </c>
    </row>
    <row r="5" spans="1:8">
      <c r="A5" s="96">
        <v>44959</v>
      </c>
      <c r="B5" s="97" t="s">
        <v>73</v>
      </c>
      <c r="C5" s="97"/>
      <c r="D5" s="97"/>
      <c r="E5" s="60">
        <v>-500</v>
      </c>
      <c r="G5" s="60">
        <v>-531</v>
      </c>
      <c r="H5" s="60">
        <f t="shared" si="0"/>
        <v>-795</v>
      </c>
    </row>
    <row r="6" spans="1:8">
      <c r="A6" s="96">
        <v>44960</v>
      </c>
      <c r="B6" s="167" t="s">
        <v>61</v>
      </c>
      <c r="E6" s="60">
        <f>E87</f>
        <v>-3076.2899999999995</v>
      </c>
      <c r="G6" s="60">
        <v>-3076.29</v>
      </c>
      <c r="H6" s="60">
        <f t="shared" si="0"/>
        <v>-3871.29</v>
      </c>
    </row>
    <row r="7" spans="1:8">
      <c r="A7" s="96">
        <v>44962</v>
      </c>
      <c r="B7" s="314" t="s">
        <v>1224</v>
      </c>
      <c r="C7" s="314"/>
      <c r="D7" s="315"/>
      <c r="E7" s="316"/>
      <c r="F7" s="317">
        <v>6920</v>
      </c>
      <c r="G7" s="60"/>
      <c r="H7" s="60">
        <f t="shared" si="0"/>
        <v>3048.71</v>
      </c>
    </row>
    <row r="8" spans="1:8">
      <c r="A8" s="96">
        <v>44963</v>
      </c>
      <c r="B8" s="314" t="s">
        <v>1225</v>
      </c>
      <c r="C8" s="314" t="s">
        <v>378</v>
      </c>
      <c r="D8" s="315"/>
      <c r="E8" s="316"/>
      <c r="F8" s="317">
        <v>6000</v>
      </c>
      <c r="G8" s="60"/>
      <c r="H8" s="60">
        <f t="shared" si="0"/>
        <v>9048.7099999999991</v>
      </c>
    </row>
    <row r="9" spans="1:8">
      <c r="A9" s="96">
        <v>44963</v>
      </c>
      <c r="B9" s="167" t="s">
        <v>60</v>
      </c>
      <c r="E9" s="60">
        <f>E62</f>
        <v>-4657.2000000000007</v>
      </c>
      <c r="F9" s="60"/>
      <c r="G9" s="60">
        <v>-4657.21</v>
      </c>
      <c r="H9" s="60">
        <f t="shared" si="0"/>
        <v>4391.4999999999991</v>
      </c>
    </row>
    <row r="10" spans="1:8">
      <c r="A10" s="96">
        <v>44963</v>
      </c>
      <c r="B10" s="8" t="s">
        <v>1226</v>
      </c>
      <c r="F10" s="60"/>
      <c r="G10" s="60">
        <v>-5000</v>
      </c>
      <c r="H10" s="60">
        <f t="shared" si="0"/>
        <v>-608.50000000000091</v>
      </c>
    </row>
    <row r="11" spans="1:8">
      <c r="A11" s="96">
        <v>44964</v>
      </c>
      <c r="B11" s="97" t="s">
        <v>707</v>
      </c>
      <c r="C11" s="97"/>
      <c r="D11" s="97"/>
      <c r="E11" s="60">
        <v>-4300</v>
      </c>
      <c r="G11" s="60">
        <v>-4300</v>
      </c>
      <c r="H11" s="60">
        <f t="shared" si="0"/>
        <v>-4908.5000000000009</v>
      </c>
    </row>
    <row r="12" spans="1:8">
      <c r="A12" s="96">
        <v>44964</v>
      </c>
      <c r="B12" s="97" t="s">
        <v>62</v>
      </c>
      <c r="C12" s="97"/>
      <c r="D12" s="97"/>
      <c r="E12" s="60">
        <v>-674.74</v>
      </c>
      <c r="F12" s="60"/>
      <c r="G12" s="60">
        <v>-670.27</v>
      </c>
      <c r="H12" s="60">
        <f t="shared" si="0"/>
        <v>-5578.77</v>
      </c>
    </row>
    <row r="13" spans="1:8">
      <c r="A13" s="96">
        <v>44964</v>
      </c>
      <c r="B13" s="97" t="s">
        <v>67</v>
      </c>
      <c r="C13" s="97"/>
      <c r="D13" s="97"/>
      <c r="E13" s="60">
        <v>-150</v>
      </c>
      <c r="F13" s="60"/>
      <c r="G13" s="60">
        <v>-102.03</v>
      </c>
      <c r="H13" s="60">
        <f t="shared" si="0"/>
        <v>-5680.8</v>
      </c>
    </row>
    <row r="14" spans="1:8">
      <c r="A14" s="96">
        <v>44964</v>
      </c>
      <c r="B14" s="8" t="s">
        <v>1227</v>
      </c>
      <c r="D14" s="98"/>
      <c r="E14" s="60">
        <v>-2667</v>
      </c>
      <c r="G14" s="60">
        <v>-3000</v>
      </c>
      <c r="H14" s="60">
        <f t="shared" si="0"/>
        <v>-8680.7999999999993</v>
      </c>
    </row>
    <row r="15" spans="1:8">
      <c r="A15" s="96"/>
      <c r="B15" s="167" t="s">
        <v>64</v>
      </c>
      <c r="E15" s="60">
        <f>D58*-1</f>
        <v>-87.69</v>
      </c>
      <c r="G15" s="60">
        <f>D58*-1</f>
        <v>-87.69</v>
      </c>
      <c r="H15" s="60">
        <f t="shared" si="0"/>
        <v>-8768.49</v>
      </c>
    </row>
    <row r="16" spans="1:8">
      <c r="A16" s="96">
        <v>44971</v>
      </c>
      <c r="B16" s="167" t="s">
        <v>1228</v>
      </c>
      <c r="E16" s="60"/>
      <c r="G16" s="60">
        <v>-204</v>
      </c>
      <c r="H16" s="60">
        <f t="shared" si="0"/>
        <v>-8972.49</v>
      </c>
    </row>
    <row r="17" spans="1:8">
      <c r="A17" s="96"/>
      <c r="B17" s="97" t="s">
        <v>1229</v>
      </c>
      <c r="E17" s="60"/>
      <c r="G17" s="60">
        <v>-95</v>
      </c>
      <c r="H17" s="60">
        <f t="shared" si="0"/>
        <v>-9067.49</v>
      </c>
    </row>
    <row r="18" spans="1:8">
      <c r="A18" s="96">
        <v>44977</v>
      </c>
      <c r="B18" s="102" t="s">
        <v>65</v>
      </c>
      <c r="D18" s="102"/>
      <c r="E18" s="60">
        <v>-1000</v>
      </c>
      <c r="F18" s="152"/>
      <c r="G18" s="60">
        <v>-1872.5</v>
      </c>
      <c r="H18" s="60">
        <f t="shared" si="0"/>
        <v>-10939.99</v>
      </c>
    </row>
    <row r="19" spans="1:8">
      <c r="A19" s="96">
        <v>44977</v>
      </c>
      <c r="B19" s="102" t="s">
        <v>66</v>
      </c>
      <c r="C19" s="102"/>
      <c r="D19" s="102"/>
      <c r="E19" s="60">
        <v>-150</v>
      </c>
      <c r="F19" s="152"/>
      <c r="G19" s="60">
        <v>-99.5</v>
      </c>
      <c r="H19" s="60">
        <f t="shared" si="0"/>
        <v>-11039.49</v>
      </c>
    </row>
    <row r="20" spans="1:8">
      <c r="B20" s="102"/>
      <c r="C20" s="102"/>
      <c r="D20" s="102"/>
      <c r="F20" s="152"/>
      <c r="G20" s="60"/>
      <c r="H20" s="60">
        <f t="shared" si="0"/>
        <v>-11039.49</v>
      </c>
    </row>
    <row r="21" spans="1:8">
      <c r="A21" s="96">
        <v>44974</v>
      </c>
      <c r="B21" s="8" t="s">
        <v>1230</v>
      </c>
      <c r="D21" s="175">
        <v>5500</v>
      </c>
      <c r="E21" s="60"/>
      <c r="F21" s="60">
        <v>5570.01</v>
      </c>
      <c r="G21" s="60"/>
      <c r="H21" s="60">
        <f t="shared" si="0"/>
        <v>-5469.48</v>
      </c>
    </row>
    <row r="22" spans="1:8">
      <c r="B22" s="102"/>
      <c r="C22" s="102"/>
      <c r="D22" s="102"/>
      <c r="F22" s="152"/>
      <c r="G22" s="152"/>
      <c r="H22" s="60">
        <f t="shared" si="0"/>
        <v>-5469.48</v>
      </c>
    </row>
    <row r="23" spans="1:8">
      <c r="B23" t="s">
        <v>69</v>
      </c>
      <c r="E23" s="60">
        <v>-2750</v>
      </c>
      <c r="F23" s="60"/>
      <c r="G23" s="60">
        <v>-2702</v>
      </c>
      <c r="H23" s="60">
        <f t="shared" si="0"/>
        <v>-8171.48</v>
      </c>
    </row>
    <row r="24" spans="1:8">
      <c r="A24" s="96">
        <v>44984</v>
      </c>
      <c r="B24" s="8" t="s">
        <v>1231</v>
      </c>
      <c r="E24" s="60">
        <v>-30374</v>
      </c>
      <c r="F24" s="60"/>
      <c r="G24" s="60"/>
      <c r="H24" s="60">
        <f t="shared" si="0"/>
        <v>-8171.48</v>
      </c>
    </row>
    <row r="25" spans="1:8">
      <c r="B25" t="s">
        <v>70</v>
      </c>
      <c r="E25" s="60">
        <v>-2750</v>
      </c>
      <c r="F25" s="60"/>
      <c r="G25" s="60">
        <v>-2702</v>
      </c>
      <c r="H25" s="60">
        <f t="shared" si="0"/>
        <v>-10873.48</v>
      </c>
    </row>
    <row r="26" spans="1:8">
      <c r="B26" t="s">
        <v>71</v>
      </c>
      <c r="E26" s="60">
        <v>-2750</v>
      </c>
      <c r="F26" s="60"/>
      <c r="G26" s="60">
        <v>-2750</v>
      </c>
      <c r="H26" s="60">
        <f t="shared" si="0"/>
        <v>-13623.48</v>
      </c>
    </row>
    <row r="27" spans="1:8">
      <c r="B27" t="s">
        <v>1232</v>
      </c>
      <c r="F27" s="60"/>
      <c r="G27" s="60">
        <v>-5040</v>
      </c>
      <c r="H27" s="60">
        <f t="shared" si="0"/>
        <v>-18663.48</v>
      </c>
    </row>
    <row r="28" spans="1:8">
      <c r="B28" t="s">
        <v>1184</v>
      </c>
      <c r="D28" s="2">
        <v>1111</v>
      </c>
      <c r="F28" s="60"/>
      <c r="G28" s="60"/>
      <c r="H28" s="60">
        <f t="shared" si="0"/>
        <v>-18663.48</v>
      </c>
    </row>
    <row r="29" spans="1:8">
      <c r="A29" s="96">
        <v>44981</v>
      </c>
      <c r="B29" s="8" t="s">
        <v>1233</v>
      </c>
      <c r="F29" s="60">
        <v>2000</v>
      </c>
      <c r="G29" s="60"/>
      <c r="H29" s="60">
        <f t="shared" si="0"/>
        <v>-16663.48</v>
      </c>
    </row>
    <row r="30" spans="1:8">
      <c r="B30" t="s">
        <v>1234</v>
      </c>
      <c r="D30" s="175">
        <v>1650</v>
      </c>
      <c r="F30" s="60"/>
      <c r="G30" s="60"/>
      <c r="H30" s="60">
        <f t="shared" si="0"/>
        <v>-16663.48</v>
      </c>
    </row>
    <row r="31" spans="1:8">
      <c r="A31" s="96">
        <v>44987</v>
      </c>
      <c r="B31" s="8" t="s">
        <v>1235</v>
      </c>
      <c r="D31" s="175">
        <v>6500</v>
      </c>
      <c r="F31" s="60">
        <v>6500</v>
      </c>
      <c r="G31" s="60"/>
      <c r="H31" s="60">
        <f t="shared" si="0"/>
        <v>-10163.48</v>
      </c>
    </row>
    <row r="32" spans="1:8">
      <c r="B32" t="s">
        <v>1236</v>
      </c>
      <c r="D32" s="318">
        <v>1000</v>
      </c>
      <c r="H32" s="60">
        <f t="shared" si="0"/>
        <v>-10163.48</v>
      </c>
    </row>
    <row r="33" spans="1:8">
      <c r="B33" s="22" t="s">
        <v>1237</v>
      </c>
      <c r="D33" s="98"/>
      <c r="G33" s="60"/>
      <c r="H33" s="60">
        <f t="shared" si="0"/>
        <v>-10163.48</v>
      </c>
    </row>
    <row r="34" spans="1:8">
      <c r="A34" s="96"/>
      <c r="B34" s="301" t="s">
        <v>1238</v>
      </c>
      <c r="C34" s="102"/>
      <c r="D34" s="102"/>
      <c r="H34" s="60">
        <f t="shared" si="0"/>
        <v>-10163.48</v>
      </c>
    </row>
    <row r="35" spans="1:8">
      <c r="H35" s="60">
        <f t="shared" si="0"/>
        <v>-10163.48</v>
      </c>
    </row>
    <row r="36" spans="1:8">
      <c r="H36" s="60">
        <f t="shared" si="0"/>
        <v>-10163.48</v>
      </c>
    </row>
    <row r="37" spans="1:8">
      <c r="H37" s="60">
        <f t="shared" si="0"/>
        <v>-10163.48</v>
      </c>
    </row>
    <row r="38" spans="1:8">
      <c r="A38" s="96">
        <v>44962</v>
      </c>
      <c r="B38" s="8" t="s">
        <v>1239</v>
      </c>
      <c r="C38" s="8" t="s">
        <v>378</v>
      </c>
      <c r="D38" s="98"/>
      <c r="G38" s="60">
        <v>-1368</v>
      </c>
      <c r="H38" s="60">
        <f t="shared" si="0"/>
        <v>-11531.48</v>
      </c>
    </row>
    <row r="39" spans="1:8">
      <c r="A39" s="96">
        <v>44962</v>
      </c>
      <c r="B39" s="8" t="s">
        <v>1240</v>
      </c>
      <c r="C39" s="8" t="s">
        <v>378</v>
      </c>
      <c r="D39" s="60"/>
      <c r="F39" s="60"/>
      <c r="G39" s="60">
        <v>-6920</v>
      </c>
      <c r="H39" s="60">
        <f t="shared" si="0"/>
        <v>-18451.48</v>
      </c>
    </row>
    <row r="40" spans="1:8">
      <c r="A40" s="96"/>
      <c r="D40" s="60"/>
      <c r="F40" s="60"/>
      <c r="G40" s="60"/>
      <c r="H40" s="60">
        <f t="shared" si="0"/>
        <v>-18451.48</v>
      </c>
    </row>
    <row r="41" spans="1:8">
      <c r="A41" s="96">
        <v>44974</v>
      </c>
      <c r="B41" s="8" t="s">
        <v>1241</v>
      </c>
      <c r="D41" s="60"/>
      <c r="F41" s="60"/>
      <c r="G41" s="60">
        <v>-32000</v>
      </c>
      <c r="H41" s="60">
        <f t="shared" si="0"/>
        <v>-50451.479999999996</v>
      </c>
    </row>
    <row r="42" spans="1:8">
      <c r="H42" s="60"/>
    </row>
    <row r="43" spans="1:8">
      <c r="G43" s="60"/>
      <c r="H43" s="60"/>
    </row>
    <row r="44" spans="1:8">
      <c r="B44" t="s">
        <v>317</v>
      </c>
      <c r="G44" s="60"/>
      <c r="H44" s="60"/>
    </row>
    <row r="45" spans="1:8">
      <c r="A45" s="99" t="s">
        <v>318</v>
      </c>
      <c r="B45" s="99"/>
      <c r="C45" s="99"/>
      <c r="D45" s="99"/>
      <c r="G45" s="60"/>
      <c r="H45" s="60"/>
    </row>
    <row r="46" spans="1:8">
      <c r="A46" s="306">
        <v>44650</v>
      </c>
      <c r="B46" s="301" t="s">
        <v>1242</v>
      </c>
      <c r="C46" s="301"/>
      <c r="D46" s="301" t="s">
        <v>1243</v>
      </c>
      <c r="H46" s="60"/>
    </row>
    <row r="47" spans="1:8">
      <c r="A47" s="306">
        <v>44844</v>
      </c>
      <c r="B47" s="301" t="s">
        <v>1244</v>
      </c>
      <c r="C47" s="303"/>
      <c r="D47" s="301" t="s">
        <v>1245</v>
      </c>
      <c r="H47" s="60"/>
    </row>
    <row r="48" spans="1:8">
      <c r="A48" s="306"/>
      <c r="B48" s="301" t="s">
        <v>1246</v>
      </c>
      <c r="C48" s="303"/>
      <c r="D48" s="301"/>
      <c r="E48" s="152">
        <v>300</v>
      </c>
      <c r="H48" s="60"/>
    </row>
    <row r="49" spans="1:8">
      <c r="A49" s="96"/>
      <c r="C49" s="160"/>
      <c r="H49" s="60"/>
    </row>
    <row r="50" spans="1:8">
      <c r="A50" s="161">
        <v>44929</v>
      </c>
      <c r="B50" s="162" t="s">
        <v>319</v>
      </c>
      <c r="C50" s="99"/>
      <c r="D50" s="190">
        <f>SUM(D51:D58)</f>
        <v>4615.6899999999996</v>
      </c>
      <c r="E50" s="152">
        <f>SUM(E51:E58)</f>
        <v>4215.6899999999996</v>
      </c>
      <c r="H50" s="60"/>
    </row>
    <row r="51" spans="1:8">
      <c r="B51" t="s">
        <v>1199</v>
      </c>
      <c r="D51">
        <v>1245.19</v>
      </c>
      <c r="E51" s="152">
        <v>1245</v>
      </c>
      <c r="F51" s="60"/>
      <c r="G51" s="60"/>
    </row>
    <row r="52" spans="1:8">
      <c r="B52" t="s">
        <v>321</v>
      </c>
      <c r="D52">
        <v>914.78</v>
      </c>
      <c r="E52" s="152">
        <v>915</v>
      </c>
      <c r="F52" s="60"/>
      <c r="G52" s="60"/>
    </row>
    <row r="53" spans="1:8">
      <c r="B53" t="s">
        <v>322</v>
      </c>
      <c r="D53">
        <v>295.54000000000002</v>
      </c>
      <c r="E53" s="152">
        <v>295</v>
      </c>
      <c r="F53" s="60"/>
      <c r="G53" s="60"/>
    </row>
    <row r="54" spans="1:8">
      <c r="B54" t="s">
        <v>1247</v>
      </c>
      <c r="D54">
        <v>200</v>
      </c>
      <c r="F54" s="60"/>
      <c r="G54" s="60"/>
    </row>
    <row r="55" spans="1:8">
      <c r="B55" t="s">
        <v>1248</v>
      </c>
      <c r="D55">
        <v>1367.33</v>
      </c>
      <c r="E55" s="152">
        <v>1368</v>
      </c>
      <c r="F55" s="60"/>
      <c r="G55" s="60"/>
    </row>
    <row r="56" spans="1:8">
      <c r="B56" t="s">
        <v>324</v>
      </c>
      <c r="C56" s="102"/>
      <c r="D56">
        <v>305.16000000000003</v>
      </c>
      <c r="E56" s="152">
        <v>305</v>
      </c>
      <c r="F56" s="60"/>
      <c r="G56" s="60"/>
    </row>
    <row r="57" spans="1:8">
      <c r="B57" t="s">
        <v>1249</v>
      </c>
      <c r="C57" s="102"/>
      <c r="D57" s="319">
        <v>200</v>
      </c>
      <c r="F57" s="60"/>
      <c r="G57" s="60"/>
    </row>
    <row r="58" spans="1:8">
      <c r="B58" t="s">
        <v>220</v>
      </c>
      <c r="C58" s="102"/>
      <c r="D58" s="102">
        <v>87.69</v>
      </c>
      <c r="E58" s="152">
        <v>87.69</v>
      </c>
      <c r="F58" s="60"/>
      <c r="G58" s="60"/>
    </row>
    <row r="60" spans="1:8">
      <c r="B60" s="14"/>
    </row>
    <row r="61" spans="1:8">
      <c r="B61" s="98"/>
    </row>
    <row r="62" spans="1:8">
      <c r="A62" s="99"/>
      <c r="B62" s="100" t="s">
        <v>75</v>
      </c>
      <c r="C62" s="99"/>
      <c r="D62" s="147"/>
      <c r="E62" s="320">
        <f>SUM(E63:E85)</f>
        <v>-4657.2000000000007</v>
      </c>
    </row>
    <row r="63" spans="1:8">
      <c r="G63" s="60"/>
      <c r="H63" s="60"/>
    </row>
    <row r="64" spans="1:8">
      <c r="A64" s="96">
        <v>44866</v>
      </c>
      <c r="B64" s="102" t="s">
        <v>1202</v>
      </c>
      <c r="C64" s="102"/>
      <c r="D64" s="102" t="s">
        <v>462</v>
      </c>
      <c r="E64" s="152">
        <v>-208.17</v>
      </c>
      <c r="F64" s="60"/>
      <c r="G64" s="60"/>
      <c r="H64" s="60"/>
    </row>
    <row r="65" spans="1:8">
      <c r="A65" s="96">
        <v>44871</v>
      </c>
      <c r="B65" s="102" t="s">
        <v>1203</v>
      </c>
      <c r="C65" s="102"/>
      <c r="D65" s="102" t="s">
        <v>462</v>
      </c>
      <c r="E65" s="152">
        <v>-151.65</v>
      </c>
      <c r="F65" s="60"/>
      <c r="G65" s="60"/>
      <c r="H65" s="60"/>
    </row>
    <row r="66" spans="1:8">
      <c r="A66" s="96">
        <v>44873</v>
      </c>
      <c r="B66" s="8" t="s">
        <v>1250</v>
      </c>
      <c r="C66" s="102"/>
      <c r="D66" s="102" t="s">
        <v>917</v>
      </c>
      <c r="E66" s="152">
        <v>-1111.1099999999999</v>
      </c>
      <c r="F66" s="60"/>
      <c r="G66" s="60"/>
      <c r="H66" s="60"/>
    </row>
    <row r="67" spans="1:8">
      <c r="A67" s="96">
        <v>44887</v>
      </c>
      <c r="B67" s="102" t="s">
        <v>1251</v>
      </c>
      <c r="C67" s="102"/>
      <c r="D67" s="97" t="s">
        <v>1110</v>
      </c>
      <c r="E67" s="152">
        <v>-678.58</v>
      </c>
      <c r="F67" s="60"/>
      <c r="G67" s="60"/>
      <c r="H67" s="60"/>
    </row>
    <row r="68" spans="1:8">
      <c r="A68" s="96">
        <v>44920</v>
      </c>
      <c r="B68" s="102" t="s">
        <v>1164</v>
      </c>
      <c r="C68" s="102"/>
      <c r="D68" s="102" t="s">
        <v>1048</v>
      </c>
      <c r="E68" s="152">
        <v>-397.46</v>
      </c>
      <c r="F68" s="60"/>
      <c r="G68" s="60"/>
      <c r="H68" s="60"/>
    </row>
    <row r="69" spans="1:8">
      <c r="A69" s="96">
        <v>44920</v>
      </c>
      <c r="B69" s="102" t="s">
        <v>1165</v>
      </c>
      <c r="C69" s="102"/>
      <c r="D69" s="102" t="s">
        <v>1048</v>
      </c>
      <c r="E69" s="152">
        <v>-80.91</v>
      </c>
      <c r="F69" s="60"/>
      <c r="G69" s="60"/>
      <c r="H69" s="60"/>
    </row>
    <row r="70" spans="1:8">
      <c r="A70" s="96">
        <v>44920</v>
      </c>
      <c r="B70" s="102" t="s">
        <v>1166</v>
      </c>
      <c r="C70" s="102"/>
      <c r="D70" s="102" t="s">
        <v>1048</v>
      </c>
      <c r="E70" s="152">
        <v>-127.05</v>
      </c>
      <c r="F70" s="60"/>
      <c r="G70" s="60"/>
      <c r="H70" s="60"/>
    </row>
    <row r="71" spans="1:8">
      <c r="A71" s="96">
        <v>44920</v>
      </c>
      <c r="B71" s="102" t="s">
        <v>1167</v>
      </c>
      <c r="C71" s="102"/>
      <c r="D71" s="102" t="s">
        <v>1048</v>
      </c>
      <c r="E71" s="152">
        <v>-49.31</v>
      </c>
      <c r="F71" s="60"/>
      <c r="G71" s="60"/>
      <c r="H71" s="60"/>
    </row>
    <row r="72" spans="1:8">
      <c r="A72" s="96">
        <v>44924</v>
      </c>
      <c r="B72" s="8" t="s">
        <v>735</v>
      </c>
      <c r="C72" s="102"/>
      <c r="D72" s="102"/>
      <c r="E72" s="152">
        <v>-76.3</v>
      </c>
      <c r="F72" s="60"/>
      <c r="G72" s="60"/>
      <c r="H72" s="60"/>
    </row>
    <row r="73" spans="1:8">
      <c r="A73" s="96">
        <v>44925</v>
      </c>
      <c r="B73" s="8" t="s">
        <v>1252</v>
      </c>
      <c r="D73" s="8" t="s">
        <v>1253</v>
      </c>
    </row>
    <row r="74" spans="1:8">
      <c r="A74" s="96">
        <v>44925</v>
      </c>
      <c r="B74" s="8" t="s">
        <v>1254</v>
      </c>
      <c r="E74" s="152">
        <v>-47.8</v>
      </c>
    </row>
    <row r="75" spans="1:8">
      <c r="A75" s="96">
        <v>44934</v>
      </c>
      <c r="B75" s="8" t="s">
        <v>1255</v>
      </c>
      <c r="E75" s="152">
        <v>-556.07000000000005</v>
      </c>
    </row>
    <row r="76" spans="1:8">
      <c r="A76" s="96">
        <v>44936</v>
      </c>
      <c r="B76" s="8" t="s">
        <v>1256</v>
      </c>
      <c r="E76" s="152">
        <v>-79.34</v>
      </c>
    </row>
    <row r="77" spans="1:8">
      <c r="A77" s="96">
        <v>44937</v>
      </c>
      <c r="B77" s="8" t="s">
        <v>1206</v>
      </c>
      <c r="E77" s="152">
        <v>-123.45</v>
      </c>
    </row>
    <row r="78" spans="1:8">
      <c r="A78" s="96">
        <v>44938</v>
      </c>
      <c r="B78" s="8" t="s">
        <v>1207</v>
      </c>
      <c r="E78" s="152">
        <v>-113.57</v>
      </c>
    </row>
    <row r="79" spans="1:8">
      <c r="A79" s="96">
        <v>44939</v>
      </c>
      <c r="B79" s="8" t="s">
        <v>1208</v>
      </c>
      <c r="E79" s="152">
        <v>-118.62</v>
      </c>
    </row>
    <row r="80" spans="1:8">
      <c r="A80" s="96">
        <v>44940</v>
      </c>
      <c r="B80" s="8" t="s">
        <v>1209</v>
      </c>
      <c r="E80" s="152">
        <v>-123.85</v>
      </c>
    </row>
    <row r="81" spans="1:8">
      <c r="A81" s="96">
        <v>44942</v>
      </c>
      <c r="B81" s="8" t="s">
        <v>1212</v>
      </c>
      <c r="E81" s="152">
        <v>-177.33</v>
      </c>
    </row>
    <row r="82" spans="1:8">
      <c r="A82" s="96">
        <v>44947</v>
      </c>
      <c r="B82" s="8" t="s">
        <v>1049</v>
      </c>
      <c r="E82" s="152">
        <v>-100</v>
      </c>
    </row>
    <row r="83" spans="1:8">
      <c r="A83" s="96">
        <v>44949</v>
      </c>
      <c r="B83" s="8" t="s">
        <v>1213</v>
      </c>
      <c r="E83" s="152">
        <v>-111.1</v>
      </c>
    </row>
    <row r="84" spans="1:8">
      <c r="A84" s="96">
        <v>44950</v>
      </c>
      <c r="B84" s="8" t="s">
        <v>1257</v>
      </c>
      <c r="E84" s="152">
        <v>-99.87</v>
      </c>
    </row>
    <row r="85" spans="1:8">
      <c r="A85" s="96">
        <v>44951</v>
      </c>
      <c r="B85" s="8" t="s">
        <v>1258</v>
      </c>
      <c r="E85" s="152">
        <v>-125.66</v>
      </c>
    </row>
    <row r="87" spans="1:8">
      <c r="A87" s="99"/>
      <c r="B87" s="100" t="s">
        <v>77</v>
      </c>
      <c r="C87" s="99"/>
      <c r="D87" s="99"/>
      <c r="E87" s="320">
        <f>SUM(E88:E103)</f>
        <v>-3076.2899999999995</v>
      </c>
    </row>
    <row r="88" spans="1:8">
      <c r="A88" s="96">
        <v>44919</v>
      </c>
      <c r="B88" s="102" t="s">
        <v>1259</v>
      </c>
      <c r="C88" s="102"/>
      <c r="D88" s="102"/>
      <c r="E88" s="152">
        <v>-136.19</v>
      </c>
      <c r="F88" s="60"/>
      <c r="G88" s="60"/>
      <c r="H88" s="60"/>
    </row>
    <row r="89" spans="1:8">
      <c r="A89" s="96">
        <v>44921</v>
      </c>
      <c r="B89" s="102" t="s">
        <v>1260</v>
      </c>
      <c r="C89" s="102"/>
      <c r="D89" s="102"/>
      <c r="E89" s="152">
        <v>-193.47</v>
      </c>
      <c r="F89" s="60"/>
      <c r="G89" s="60"/>
      <c r="H89" s="60"/>
    </row>
    <row r="90" spans="1:8">
      <c r="A90" s="96">
        <v>44922</v>
      </c>
      <c r="B90" s="102" t="s">
        <v>1261</v>
      </c>
      <c r="C90" s="102"/>
      <c r="D90" s="102"/>
      <c r="E90" s="152">
        <v>-600</v>
      </c>
      <c r="F90" s="60"/>
      <c r="G90" s="60"/>
      <c r="H90" s="60"/>
    </row>
    <row r="91" spans="1:8">
      <c r="A91" s="96">
        <v>44922</v>
      </c>
      <c r="B91" s="102" t="s">
        <v>1262</v>
      </c>
      <c r="C91" s="102"/>
      <c r="D91" s="102"/>
      <c r="E91" s="152">
        <v>-206.27</v>
      </c>
      <c r="F91" s="60"/>
      <c r="G91" s="60"/>
      <c r="H91" s="60"/>
    </row>
    <row r="92" spans="1:8">
      <c r="A92" s="96">
        <v>44923</v>
      </c>
      <c r="B92" s="102" t="s">
        <v>1263</v>
      </c>
      <c r="C92" s="102"/>
      <c r="D92" s="102"/>
      <c r="E92" s="152">
        <v>-146.44</v>
      </c>
      <c r="F92" s="60"/>
      <c r="G92" s="60"/>
      <c r="H92" s="60"/>
    </row>
    <row r="93" spans="1:8">
      <c r="A93" s="96">
        <v>44927</v>
      </c>
      <c r="B93" s="102" t="s">
        <v>532</v>
      </c>
      <c r="C93" s="102"/>
      <c r="D93" s="102"/>
      <c r="E93" s="152">
        <v>-340</v>
      </c>
      <c r="F93" s="60"/>
      <c r="G93" s="60"/>
      <c r="H93" s="60"/>
    </row>
    <row r="94" spans="1:8">
      <c r="A94" s="96">
        <v>44928</v>
      </c>
      <c r="B94" s="103" t="s">
        <v>1264</v>
      </c>
      <c r="E94" s="152">
        <v>-164.8</v>
      </c>
    </row>
    <row r="95" spans="1:8">
      <c r="A95" s="96">
        <v>44930</v>
      </c>
      <c r="B95" s="103" t="s">
        <v>1265</v>
      </c>
      <c r="E95" s="152">
        <v>-139.33000000000001</v>
      </c>
    </row>
    <row r="96" spans="1:8">
      <c r="A96" s="96">
        <v>44931</v>
      </c>
      <c r="B96" s="103" t="s">
        <v>1266</v>
      </c>
      <c r="E96" s="152">
        <v>-143.19999999999999</v>
      </c>
    </row>
    <row r="97" spans="1:7">
      <c r="A97" s="96">
        <v>44934</v>
      </c>
      <c r="B97" s="8" t="s">
        <v>1267</v>
      </c>
      <c r="E97" s="152">
        <v>-297.38</v>
      </c>
    </row>
    <row r="98" spans="1:7">
      <c r="A98" s="96">
        <v>44944</v>
      </c>
      <c r="B98" s="8" t="s">
        <v>1268</v>
      </c>
      <c r="E98" s="152">
        <v>-286.02999999999997</v>
      </c>
    </row>
    <row r="99" spans="1:7">
      <c r="A99" s="96">
        <v>44944</v>
      </c>
      <c r="B99" s="8" t="s">
        <v>1268</v>
      </c>
      <c r="E99" s="152">
        <v>-423.18</v>
      </c>
    </row>
    <row r="100" spans="1:7">
      <c r="A100" s="96">
        <v>44950</v>
      </c>
      <c r="B100" s="8" t="s">
        <v>1269</v>
      </c>
      <c r="D100" s="32"/>
      <c r="E100" s="152">
        <v>-31.35</v>
      </c>
    </row>
    <row r="101" spans="1:7">
      <c r="B101" t="s">
        <v>1270</v>
      </c>
      <c r="D101" s="32"/>
      <c r="E101" s="152">
        <v>31.35</v>
      </c>
    </row>
    <row r="109" spans="1:7">
      <c r="A109" s="96"/>
      <c r="D109" s="60"/>
      <c r="F109" s="60"/>
      <c r="G109" s="60"/>
    </row>
    <row r="111" spans="1:7">
      <c r="A111" s="99"/>
      <c r="B111" s="100" t="s">
        <v>1271</v>
      </c>
      <c r="C111" s="99"/>
      <c r="D111" s="147"/>
      <c r="E111" s="148">
        <f>SUM(E112:E119)</f>
        <v>335748</v>
      </c>
    </row>
    <row r="112" spans="1:7">
      <c r="A112" s="96">
        <v>45291</v>
      </c>
      <c r="B112" s="8" t="s">
        <v>69</v>
      </c>
      <c r="E112" s="152">
        <v>64000</v>
      </c>
    </row>
    <row r="113" spans="1:5">
      <c r="A113" s="96">
        <v>45291</v>
      </c>
      <c r="B113" s="8" t="s">
        <v>70</v>
      </c>
      <c r="E113" s="152">
        <v>48288</v>
      </c>
    </row>
    <row r="114" spans="1:5">
      <c r="A114" s="96">
        <v>45291</v>
      </c>
      <c r="B114" s="8" t="s">
        <v>292</v>
      </c>
      <c r="E114" s="152">
        <v>44567</v>
      </c>
    </row>
    <row r="115" spans="1:5">
      <c r="A115" s="96">
        <v>45291</v>
      </c>
      <c r="B115" s="8" t="s">
        <v>293</v>
      </c>
      <c r="E115" s="152">
        <v>5590</v>
      </c>
    </row>
    <row r="116" spans="1:5">
      <c r="A116" s="96">
        <v>45291</v>
      </c>
      <c r="B116" s="8" t="s">
        <v>797</v>
      </c>
      <c r="C116">
        <v>1093</v>
      </c>
      <c r="D116">
        <v>111</v>
      </c>
      <c r="E116" s="152">
        <f>D116*C116</f>
        <v>121323</v>
      </c>
    </row>
    <row r="117" spans="1:5">
      <c r="A117" s="96">
        <v>45291</v>
      </c>
      <c r="B117" s="8" t="s">
        <v>798</v>
      </c>
      <c r="C117">
        <v>18.8</v>
      </c>
      <c r="D117">
        <v>850</v>
      </c>
      <c r="E117" s="152">
        <f>D117*C117</f>
        <v>15980</v>
      </c>
    </row>
    <row r="118" spans="1:5">
      <c r="A118" s="96">
        <v>45291</v>
      </c>
      <c r="B118" s="8" t="s">
        <v>799</v>
      </c>
      <c r="C118">
        <v>20</v>
      </c>
      <c r="D118">
        <v>100</v>
      </c>
      <c r="E118" s="152">
        <f>D118*C118</f>
        <v>2000</v>
      </c>
    </row>
    <row r="119" spans="1:5">
      <c r="A119" s="96">
        <v>45291</v>
      </c>
      <c r="B119" s="8" t="s">
        <v>800</v>
      </c>
      <c r="E119" s="152">
        <v>34000</v>
      </c>
    </row>
    <row r="120" spans="1:5">
      <c r="A120" s="96"/>
    </row>
    <row r="121" spans="1:5">
      <c r="D121" t="s">
        <v>1272</v>
      </c>
      <c r="E121" s="60">
        <f>H2</f>
        <v>-50451.479999999989</v>
      </c>
    </row>
    <row r="123" spans="1:5">
      <c r="D123" s="15" t="s">
        <v>147</v>
      </c>
      <c r="E123" s="152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95511"/>
  </sheetPr>
  <dimension ref="A1:H122"/>
  <sheetViews>
    <sheetView zoomScale="170" zoomScaleNormal="17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1273</v>
      </c>
      <c r="C2" s="76" t="s">
        <v>59</v>
      </c>
      <c r="D2" s="295">
        <f>SUM(D4:D27)</f>
        <v>13261</v>
      </c>
      <c r="E2" s="295">
        <f>SUM(E5:E27)</f>
        <v>-22808.309999999998</v>
      </c>
      <c r="F2" s="295">
        <f>SUM(F4:F28)</f>
        <v>8049.2</v>
      </c>
      <c r="G2" s="295">
        <f>SUM(G4:G28)</f>
        <v>-23047.62</v>
      </c>
      <c r="H2" s="295">
        <f>F2+G2</f>
        <v>-14998.419999999998</v>
      </c>
    </row>
    <row r="3" spans="1:8">
      <c r="B3" s="15"/>
      <c r="H3" s="60"/>
    </row>
    <row r="4" spans="1:8">
      <c r="B4" s="15"/>
      <c r="H4" s="60"/>
    </row>
    <row r="5" spans="1:8">
      <c r="A5" s="96">
        <v>44928</v>
      </c>
      <c r="B5" s="97" t="s">
        <v>72</v>
      </c>
      <c r="C5" s="97"/>
      <c r="D5" s="97"/>
      <c r="E5" s="60">
        <v>-400</v>
      </c>
      <c r="G5" s="60">
        <v>-230</v>
      </c>
      <c r="H5" s="60">
        <f t="shared" ref="H5:H24" si="0">H4+F5+G5</f>
        <v>-230</v>
      </c>
    </row>
    <row r="6" spans="1:8">
      <c r="A6" s="96">
        <v>44928</v>
      </c>
      <c r="B6" s="97" t="s">
        <v>73</v>
      </c>
      <c r="C6" s="97"/>
      <c r="D6" s="97"/>
      <c r="E6" s="60">
        <v>-500</v>
      </c>
      <c r="G6" s="60">
        <v>-523</v>
      </c>
      <c r="H6" s="60">
        <f t="shared" si="0"/>
        <v>-753</v>
      </c>
    </row>
    <row r="7" spans="1:8">
      <c r="A7" s="96">
        <v>44933</v>
      </c>
      <c r="B7" s="97" t="s">
        <v>745</v>
      </c>
      <c r="C7" s="97"/>
      <c r="D7" s="97"/>
      <c r="E7" s="60">
        <v>-4300</v>
      </c>
      <c r="G7" s="60">
        <v>-4300</v>
      </c>
      <c r="H7" s="60">
        <f t="shared" si="0"/>
        <v>-5053</v>
      </c>
    </row>
    <row r="8" spans="1:8">
      <c r="A8" s="96">
        <v>44568</v>
      </c>
      <c r="B8" s="97" t="s">
        <v>746</v>
      </c>
      <c r="C8" s="97"/>
      <c r="D8" s="97"/>
      <c r="E8" s="60">
        <v>-674.74</v>
      </c>
      <c r="F8" s="152"/>
      <c r="G8" s="60">
        <v>-674.74</v>
      </c>
      <c r="H8" s="60">
        <f t="shared" si="0"/>
        <v>-5727.74</v>
      </c>
    </row>
    <row r="9" spans="1:8">
      <c r="A9" s="96">
        <v>44568</v>
      </c>
      <c r="B9" s="97" t="s">
        <v>67</v>
      </c>
      <c r="C9" s="97"/>
      <c r="D9" s="97"/>
      <c r="E9" s="60">
        <v>-150</v>
      </c>
      <c r="F9" s="152"/>
      <c r="G9" s="60">
        <v>-153.05000000000001</v>
      </c>
      <c r="H9" s="60">
        <f t="shared" si="0"/>
        <v>-5880.79</v>
      </c>
    </row>
    <row r="10" spans="1:8">
      <c r="A10" s="96">
        <v>44942</v>
      </c>
      <c r="B10" s="102" t="s">
        <v>66</v>
      </c>
      <c r="C10" s="102"/>
      <c r="D10" s="102"/>
      <c r="E10" s="60">
        <v>-100</v>
      </c>
      <c r="F10" s="152"/>
      <c r="G10" s="60">
        <v>-87</v>
      </c>
      <c r="H10" s="60">
        <f t="shared" si="0"/>
        <v>-5967.79</v>
      </c>
    </row>
    <row r="11" spans="1:8">
      <c r="A11" s="96">
        <v>44942</v>
      </c>
      <c r="B11" s="102" t="s">
        <v>65</v>
      </c>
      <c r="C11" s="102"/>
      <c r="D11" s="102"/>
      <c r="E11" s="60">
        <v>-1000</v>
      </c>
      <c r="F11" s="152"/>
      <c r="G11" s="60">
        <v>-1560</v>
      </c>
      <c r="H11" s="60">
        <f t="shared" si="0"/>
        <v>-7527.79</v>
      </c>
    </row>
    <row r="12" spans="1:8">
      <c r="B12" s="167" t="s">
        <v>64</v>
      </c>
      <c r="D12" s="60"/>
      <c r="E12" s="60">
        <v>-200</v>
      </c>
      <c r="G12" s="60">
        <v>-183.26</v>
      </c>
      <c r="H12" s="60">
        <f t="shared" si="0"/>
        <v>-7711.05</v>
      </c>
    </row>
    <row r="13" spans="1:8">
      <c r="B13" s="167" t="s">
        <v>60</v>
      </c>
      <c r="E13" s="60">
        <f>E48</f>
        <v>-7233.5699999999988</v>
      </c>
      <c r="F13" s="60"/>
      <c r="G13" s="60">
        <v>-7233.57</v>
      </c>
      <c r="H13" s="60">
        <f t="shared" si="0"/>
        <v>-14944.619999999999</v>
      </c>
    </row>
    <row r="14" spans="1:8">
      <c r="B14" s="167" t="s">
        <v>1274</v>
      </c>
      <c r="E14" s="2"/>
      <c r="H14" s="60">
        <f t="shared" si="0"/>
        <v>-14944.619999999999</v>
      </c>
    </row>
    <row r="15" spans="1:8">
      <c r="B15" t="s">
        <v>69</v>
      </c>
      <c r="E15" s="60">
        <v>-2750</v>
      </c>
      <c r="F15" s="60"/>
      <c r="G15" s="60">
        <v>-2701</v>
      </c>
      <c r="H15" s="60">
        <f t="shared" si="0"/>
        <v>-17645.62</v>
      </c>
    </row>
    <row r="16" spans="1:8">
      <c r="B16" t="s">
        <v>70</v>
      </c>
      <c r="E16" s="60">
        <v>-2750</v>
      </c>
      <c r="F16" s="60"/>
      <c r="G16" s="60">
        <v>-2701</v>
      </c>
      <c r="H16" s="60">
        <f t="shared" si="0"/>
        <v>-20346.62</v>
      </c>
    </row>
    <row r="17" spans="1:8">
      <c r="B17" t="s">
        <v>71</v>
      </c>
      <c r="E17" s="60">
        <v>-2750</v>
      </c>
      <c r="F17" s="60"/>
      <c r="G17" s="60">
        <v>-2701</v>
      </c>
      <c r="H17" s="60">
        <f t="shared" si="0"/>
        <v>-23047.62</v>
      </c>
    </row>
    <row r="18" spans="1:8">
      <c r="B18" t="s">
        <v>1275</v>
      </c>
      <c r="D18">
        <v>1111</v>
      </c>
      <c r="E18" s="152"/>
      <c r="F18" s="60"/>
      <c r="G18" s="60"/>
      <c r="H18" s="60">
        <f t="shared" si="0"/>
        <v>-23047.62</v>
      </c>
    </row>
    <row r="19" spans="1:8">
      <c r="A19" s="96">
        <v>44944</v>
      </c>
      <c r="B19" s="8" t="s">
        <v>807</v>
      </c>
      <c r="E19" s="152"/>
      <c r="F19" s="60">
        <v>1500</v>
      </c>
      <c r="G19" s="60"/>
      <c r="H19" s="60">
        <f t="shared" si="0"/>
        <v>-21547.62</v>
      </c>
    </row>
    <row r="20" spans="1:8">
      <c r="B20" t="s">
        <v>68</v>
      </c>
      <c r="D20" s="175">
        <v>5500</v>
      </c>
      <c r="F20" s="60">
        <v>5549.2</v>
      </c>
      <c r="G20" s="60"/>
      <c r="H20" s="60">
        <f t="shared" si="0"/>
        <v>-15998.419999999998</v>
      </c>
    </row>
    <row r="21" spans="1:8">
      <c r="B21" t="s">
        <v>1234</v>
      </c>
      <c r="D21" s="175">
        <v>1650</v>
      </c>
      <c r="F21" s="60"/>
      <c r="G21" s="60"/>
      <c r="H21" s="60">
        <f t="shared" si="0"/>
        <v>-15998.419999999998</v>
      </c>
    </row>
    <row r="22" spans="1:8">
      <c r="A22" t="s">
        <v>862</v>
      </c>
      <c r="B22" t="s">
        <v>1225</v>
      </c>
      <c r="D22" s="175">
        <v>3000</v>
      </c>
      <c r="F22" s="60"/>
      <c r="G22" s="60"/>
      <c r="H22" s="60">
        <f t="shared" si="0"/>
        <v>-15998.419999999998</v>
      </c>
    </row>
    <row r="23" spans="1:8">
      <c r="A23" t="s">
        <v>862</v>
      </c>
      <c r="B23" t="s">
        <v>1276</v>
      </c>
      <c r="D23" s="318">
        <v>1000</v>
      </c>
      <c r="H23" s="60">
        <f t="shared" si="0"/>
        <v>-15998.419999999998</v>
      </c>
    </row>
    <row r="24" spans="1:8">
      <c r="A24" s="96">
        <v>44928</v>
      </c>
      <c r="B24" s="301" t="s">
        <v>1277</v>
      </c>
      <c r="C24" s="301"/>
      <c r="D24" s="321">
        <v>1000</v>
      </c>
      <c r="F24" s="60">
        <v>1000</v>
      </c>
      <c r="G24" s="60"/>
      <c r="H24" s="60">
        <f t="shared" si="0"/>
        <v>-14998.419999999998</v>
      </c>
    </row>
    <row r="25" spans="1:8">
      <c r="A25" s="96"/>
      <c r="D25" s="98"/>
      <c r="H25" s="60"/>
    </row>
    <row r="26" spans="1:8">
      <c r="D26" s="60"/>
      <c r="F26" s="60"/>
      <c r="G26" s="60"/>
      <c r="H26" s="60"/>
    </row>
    <row r="27" spans="1:8" ht="15.75">
      <c r="B27" s="168"/>
      <c r="F27" s="60"/>
      <c r="G27" s="60"/>
      <c r="H27" s="60"/>
    </row>
    <row r="28" spans="1:8">
      <c r="E28" s="60"/>
      <c r="G28" s="60"/>
      <c r="H28" s="60"/>
    </row>
    <row r="29" spans="1:8">
      <c r="B29" t="s">
        <v>317</v>
      </c>
      <c r="E29" s="60"/>
      <c r="G29" s="60"/>
      <c r="H29" s="60"/>
    </row>
    <row r="30" spans="1:8">
      <c r="A30" s="99" t="s">
        <v>318</v>
      </c>
      <c r="B30" s="99"/>
      <c r="C30" s="99"/>
      <c r="D30" s="99"/>
      <c r="E30" s="147"/>
      <c r="G30" s="60"/>
      <c r="H30" s="60"/>
    </row>
    <row r="31" spans="1:8">
      <c r="A31" s="306">
        <v>44650</v>
      </c>
      <c r="B31" s="301" t="s">
        <v>1242</v>
      </c>
      <c r="C31" s="301"/>
      <c r="D31" s="301" t="s">
        <v>1278</v>
      </c>
      <c r="E31" s="302"/>
      <c r="H31" s="60"/>
    </row>
    <row r="32" spans="1:8">
      <c r="A32" s="306">
        <v>44844</v>
      </c>
      <c r="B32" s="301" t="s">
        <v>1244</v>
      </c>
      <c r="C32" s="303"/>
      <c r="D32" s="301" t="s">
        <v>1245</v>
      </c>
      <c r="E32" s="301"/>
      <c r="H32" s="60"/>
    </row>
    <row r="33" spans="1:8">
      <c r="A33" s="306"/>
      <c r="B33" s="301" t="s">
        <v>1279</v>
      </c>
      <c r="C33" s="303"/>
      <c r="D33" s="301"/>
      <c r="E33" s="301">
        <v>100</v>
      </c>
      <c r="H33" s="60"/>
    </row>
    <row r="34" spans="1:8">
      <c r="A34" s="96"/>
      <c r="C34" s="160"/>
      <c r="H34" s="60"/>
    </row>
    <row r="35" spans="1:8">
      <c r="A35" s="161">
        <v>44929</v>
      </c>
      <c r="B35" s="162" t="s">
        <v>319</v>
      </c>
      <c r="C35" s="99"/>
      <c r="D35" s="190">
        <f>SUM(D36:D43)</f>
        <v>6130.21</v>
      </c>
      <c r="E35" s="190">
        <f>SUM(E36:E43)</f>
        <v>5930.26</v>
      </c>
      <c r="H35" s="60"/>
    </row>
    <row r="36" spans="1:8">
      <c r="A36" s="96"/>
      <c r="B36" s="102" t="s">
        <v>320</v>
      </c>
      <c r="D36" s="2">
        <v>1221.74</v>
      </c>
      <c r="E36" s="60">
        <v>1222</v>
      </c>
      <c r="H36" s="60"/>
    </row>
    <row r="37" spans="1:8">
      <c r="B37" t="s">
        <v>321</v>
      </c>
      <c r="D37" s="2">
        <v>1264.8699999999999</v>
      </c>
      <c r="E37" s="60">
        <v>1265</v>
      </c>
      <c r="F37" s="60"/>
      <c r="G37" s="60"/>
    </row>
    <row r="38" spans="1:8">
      <c r="B38" t="s">
        <v>322</v>
      </c>
      <c r="D38" s="2">
        <v>366.02</v>
      </c>
      <c r="E38" s="60">
        <v>366</v>
      </c>
      <c r="F38" s="60"/>
      <c r="G38" s="60"/>
    </row>
    <row r="39" spans="1:8">
      <c r="B39" t="s">
        <v>1280</v>
      </c>
      <c r="D39" s="14">
        <v>200</v>
      </c>
      <c r="F39" s="60"/>
      <c r="G39" s="60"/>
    </row>
    <row r="40" spans="1:8">
      <c r="B40" t="s">
        <v>1281</v>
      </c>
      <c r="D40" s="2">
        <v>1479.95</v>
      </c>
      <c r="E40">
        <v>1480</v>
      </c>
      <c r="F40" s="60"/>
      <c r="G40" s="60"/>
    </row>
    <row r="41" spans="1:8">
      <c r="B41" t="s">
        <v>1282</v>
      </c>
      <c r="D41" s="2">
        <v>1214.3699999999999</v>
      </c>
      <c r="E41">
        <v>1214</v>
      </c>
      <c r="F41" s="60"/>
      <c r="G41" s="60"/>
    </row>
    <row r="42" spans="1:8">
      <c r="A42" s="96">
        <v>44928</v>
      </c>
      <c r="B42" s="8" t="s">
        <v>1283</v>
      </c>
      <c r="C42" s="102"/>
      <c r="D42" s="322">
        <v>200</v>
      </c>
      <c r="E42">
        <v>200</v>
      </c>
      <c r="F42" s="60"/>
      <c r="G42" s="60"/>
    </row>
    <row r="43" spans="1:8">
      <c r="B43" t="s">
        <v>325</v>
      </c>
      <c r="C43" s="102"/>
      <c r="D43" s="2">
        <v>183.26</v>
      </c>
      <c r="E43" s="102">
        <v>183.26</v>
      </c>
      <c r="F43" s="60"/>
      <c r="G43" s="60"/>
    </row>
    <row r="44" spans="1:8">
      <c r="C44" s="102"/>
      <c r="D44" s="102"/>
      <c r="E44" s="152"/>
      <c r="F44" s="60"/>
      <c r="G44" s="60"/>
    </row>
    <row r="46" spans="1:8">
      <c r="B46" s="14"/>
    </row>
    <row r="47" spans="1:8">
      <c r="B47" s="98"/>
    </row>
    <row r="48" spans="1:8">
      <c r="A48" s="99"/>
      <c r="B48" s="100" t="s">
        <v>75</v>
      </c>
      <c r="C48" s="99"/>
      <c r="D48" s="147"/>
      <c r="E48" s="148">
        <f>SUM(E49:E82)</f>
        <v>-7233.5699999999988</v>
      </c>
    </row>
    <row r="49" spans="1:8">
      <c r="G49" s="60"/>
      <c r="H49" s="60"/>
    </row>
    <row r="50" spans="1:8">
      <c r="A50" s="96">
        <v>44866</v>
      </c>
      <c r="B50" s="102" t="s">
        <v>1284</v>
      </c>
      <c r="C50" s="102"/>
      <c r="D50" s="102" t="s">
        <v>505</v>
      </c>
      <c r="E50" s="60">
        <v>-208.17</v>
      </c>
      <c r="F50" s="60"/>
      <c r="G50" s="60"/>
      <c r="H50" s="60"/>
    </row>
    <row r="51" spans="1:8">
      <c r="A51" s="96">
        <v>44871</v>
      </c>
      <c r="B51" s="102" t="s">
        <v>1285</v>
      </c>
      <c r="C51" s="102"/>
      <c r="D51" s="102" t="s">
        <v>505</v>
      </c>
      <c r="E51" s="60">
        <v>-151.65</v>
      </c>
      <c r="F51" s="60"/>
      <c r="G51" s="60"/>
      <c r="H51" s="60"/>
    </row>
    <row r="52" spans="1:8">
      <c r="A52" s="96">
        <v>44873</v>
      </c>
      <c r="B52" s="8" t="s">
        <v>1286</v>
      </c>
      <c r="C52" s="102"/>
      <c r="D52" s="102" t="s">
        <v>599</v>
      </c>
      <c r="E52" s="60">
        <v>-1111.1099999999999</v>
      </c>
      <c r="F52" s="60"/>
      <c r="G52" s="60"/>
      <c r="H52" s="60"/>
    </row>
    <row r="53" spans="1:8">
      <c r="A53" s="96">
        <v>44887</v>
      </c>
      <c r="B53" s="102" t="s">
        <v>1287</v>
      </c>
      <c r="C53" s="102"/>
      <c r="D53" s="97" t="s">
        <v>1141</v>
      </c>
      <c r="E53" s="60">
        <v>-678.58</v>
      </c>
      <c r="F53" s="60"/>
      <c r="G53" s="60"/>
      <c r="H53" s="60"/>
    </row>
    <row r="54" spans="1:8">
      <c r="A54" s="96">
        <v>44920</v>
      </c>
      <c r="B54" s="102" t="s">
        <v>1164</v>
      </c>
      <c r="C54" s="102"/>
      <c r="D54" s="102" t="s">
        <v>1076</v>
      </c>
      <c r="E54" s="60">
        <v>-397.46</v>
      </c>
      <c r="F54" s="60"/>
      <c r="G54" s="60"/>
      <c r="H54" s="60"/>
    </row>
    <row r="55" spans="1:8">
      <c r="A55" s="96">
        <v>44920</v>
      </c>
      <c r="B55" s="102" t="s">
        <v>1165</v>
      </c>
      <c r="C55" s="102"/>
      <c r="D55" s="102" t="s">
        <v>1076</v>
      </c>
      <c r="E55" s="60">
        <v>-80.91</v>
      </c>
      <c r="F55" s="60"/>
      <c r="G55" s="60"/>
      <c r="H55" s="60"/>
    </row>
    <row r="56" spans="1:8">
      <c r="A56" s="96">
        <v>44920</v>
      </c>
      <c r="B56" s="102" t="s">
        <v>1166</v>
      </c>
      <c r="C56" s="102"/>
      <c r="D56" s="102" t="s">
        <v>1076</v>
      </c>
      <c r="E56" s="60">
        <v>-127.05</v>
      </c>
      <c r="F56" s="60"/>
      <c r="G56" s="60"/>
      <c r="H56" s="60"/>
    </row>
    <row r="57" spans="1:8">
      <c r="A57" s="96">
        <v>44920</v>
      </c>
      <c r="B57" s="102" t="s">
        <v>1167</v>
      </c>
      <c r="C57" s="102"/>
      <c r="D57" s="102" t="s">
        <v>1076</v>
      </c>
      <c r="E57" s="60">
        <v>-49.31</v>
      </c>
      <c r="F57" s="60"/>
      <c r="G57" s="60"/>
      <c r="H57" s="60"/>
    </row>
    <row r="58" spans="1:8">
      <c r="A58" s="96">
        <v>44894</v>
      </c>
      <c r="B58" s="3" t="s">
        <v>1288</v>
      </c>
      <c r="E58" s="60">
        <v>-182.4</v>
      </c>
      <c r="F58" s="60"/>
      <c r="G58" s="60"/>
      <c r="H58" s="60"/>
    </row>
    <row r="59" spans="1:8">
      <c r="A59" s="96"/>
      <c r="B59" s="8" t="s">
        <v>1289</v>
      </c>
      <c r="E59" s="60">
        <v>-74.900000000000006</v>
      </c>
      <c r="F59" s="60"/>
      <c r="G59" s="60"/>
      <c r="H59" s="60"/>
    </row>
    <row r="60" spans="1:8">
      <c r="A60" s="96">
        <v>44895</v>
      </c>
      <c r="B60" s="3" t="s">
        <v>1290</v>
      </c>
      <c r="E60" s="60">
        <v>-137.88999999999999</v>
      </c>
      <c r="F60" s="60"/>
      <c r="G60" s="60"/>
      <c r="H60" s="60"/>
    </row>
    <row r="61" spans="1:8">
      <c r="A61" s="96">
        <v>44897</v>
      </c>
      <c r="B61" s="102" t="s">
        <v>1291</v>
      </c>
      <c r="C61" s="102"/>
      <c r="D61" s="102"/>
      <c r="E61" s="60">
        <v>-200</v>
      </c>
      <c r="F61" s="60"/>
      <c r="G61" s="60"/>
      <c r="H61" s="60"/>
    </row>
    <row r="62" spans="1:8">
      <c r="A62" s="96">
        <v>44900</v>
      </c>
      <c r="B62" s="102" t="s">
        <v>401</v>
      </c>
      <c r="C62" s="102"/>
      <c r="D62" s="102"/>
      <c r="E62" s="60">
        <v>-142.63999999999999</v>
      </c>
      <c r="F62" s="60"/>
      <c r="G62" s="60"/>
      <c r="H62" s="60"/>
    </row>
    <row r="63" spans="1:8">
      <c r="A63" s="96">
        <v>44900</v>
      </c>
      <c r="B63" s="103" t="s">
        <v>1292</v>
      </c>
      <c r="C63" s="102"/>
      <c r="D63" s="102"/>
      <c r="E63" s="60">
        <v>-148.47</v>
      </c>
      <c r="F63" s="60"/>
      <c r="G63" s="60"/>
      <c r="H63" s="60"/>
    </row>
    <row r="64" spans="1:8">
      <c r="A64" s="96">
        <v>44901</v>
      </c>
      <c r="B64" s="103" t="s">
        <v>1293</v>
      </c>
      <c r="C64" s="102"/>
      <c r="D64" s="102"/>
      <c r="E64" s="60">
        <v>-142.77000000000001</v>
      </c>
      <c r="F64" s="60"/>
      <c r="G64" s="60"/>
      <c r="H64" s="60"/>
    </row>
    <row r="65" spans="1:8">
      <c r="A65" s="96">
        <v>44901</v>
      </c>
      <c r="B65" s="102" t="s">
        <v>1294</v>
      </c>
      <c r="C65" s="102"/>
      <c r="D65" s="102"/>
      <c r="E65" s="60">
        <v>-334.55</v>
      </c>
      <c r="F65" s="60"/>
      <c r="G65" s="60"/>
      <c r="H65" s="60"/>
    </row>
    <row r="66" spans="1:8">
      <c r="A66" s="96">
        <v>44901</v>
      </c>
      <c r="B66" s="102" t="s">
        <v>1295</v>
      </c>
      <c r="C66" s="102"/>
      <c r="D66" s="102"/>
      <c r="E66" s="60">
        <v>-148.75</v>
      </c>
      <c r="F66" s="60"/>
      <c r="G66" s="60"/>
      <c r="H66" s="60"/>
    </row>
    <row r="67" spans="1:8">
      <c r="A67" s="96">
        <v>44901</v>
      </c>
      <c r="B67" s="102" t="s">
        <v>1296</v>
      </c>
      <c r="C67" s="102"/>
      <c r="D67" s="102"/>
      <c r="E67" s="60">
        <v>-200</v>
      </c>
      <c r="F67" s="60"/>
      <c r="G67" s="60"/>
      <c r="H67" s="60"/>
    </row>
    <row r="68" spans="1:8">
      <c r="A68" s="96">
        <v>44903</v>
      </c>
      <c r="B68" s="102" t="s">
        <v>1297</v>
      </c>
      <c r="C68" s="102"/>
      <c r="D68" s="102"/>
      <c r="E68" s="60">
        <v>-223.23</v>
      </c>
      <c r="F68" s="60"/>
      <c r="G68" s="60"/>
      <c r="H68" s="60"/>
    </row>
    <row r="69" spans="1:8">
      <c r="A69" s="96">
        <v>44904</v>
      </c>
      <c r="B69" s="103" t="s">
        <v>1298</v>
      </c>
      <c r="C69" s="102"/>
      <c r="D69" s="102"/>
      <c r="E69" s="60">
        <v>-218.37</v>
      </c>
      <c r="F69" s="60"/>
      <c r="G69" s="60"/>
      <c r="H69" s="60"/>
    </row>
    <row r="70" spans="1:8">
      <c r="A70" s="96">
        <v>44905</v>
      </c>
      <c r="B70" s="103" t="s">
        <v>1299</v>
      </c>
      <c r="C70" s="102"/>
      <c r="D70" s="102"/>
      <c r="E70" s="60">
        <v>-209.35</v>
      </c>
      <c r="F70" s="60"/>
      <c r="G70" s="60"/>
      <c r="H70" s="60"/>
    </row>
    <row r="71" spans="1:8">
      <c r="A71" s="96">
        <v>44907</v>
      </c>
      <c r="B71" s="103" t="s">
        <v>1300</v>
      </c>
      <c r="E71" s="60">
        <v>-202.93</v>
      </c>
      <c r="F71" s="60"/>
      <c r="G71" s="60"/>
      <c r="H71" s="60"/>
    </row>
    <row r="72" spans="1:8">
      <c r="A72" s="96">
        <v>44909</v>
      </c>
      <c r="B72" s="103" t="s">
        <v>1301</v>
      </c>
      <c r="C72" s="102"/>
      <c r="D72" s="102"/>
      <c r="E72" s="60">
        <v>-167.75</v>
      </c>
      <c r="F72" s="60"/>
      <c r="G72" s="60"/>
      <c r="H72" s="60"/>
    </row>
    <row r="73" spans="1:8">
      <c r="A73" s="96">
        <v>44912</v>
      </c>
      <c r="B73" s="3" t="s">
        <v>1302</v>
      </c>
      <c r="E73" s="60">
        <v>-221.18</v>
      </c>
      <c r="F73" s="60"/>
      <c r="G73" s="60"/>
      <c r="H73" s="60"/>
    </row>
    <row r="74" spans="1:8">
      <c r="A74" s="96">
        <v>44913</v>
      </c>
      <c r="B74" s="102" t="s">
        <v>124</v>
      </c>
      <c r="C74" s="102"/>
      <c r="D74" s="102"/>
      <c r="E74" s="60">
        <v>-200</v>
      </c>
      <c r="F74" s="60"/>
      <c r="G74" s="60"/>
      <c r="H74" s="60"/>
    </row>
    <row r="75" spans="1:8">
      <c r="A75" s="96">
        <v>44913</v>
      </c>
      <c r="B75" s="102" t="s">
        <v>1303</v>
      </c>
      <c r="C75" s="102"/>
      <c r="D75" s="102"/>
      <c r="E75" s="60">
        <v>-268.73</v>
      </c>
      <c r="F75" s="60"/>
      <c r="G75" s="60"/>
      <c r="H75" s="60"/>
    </row>
    <row r="76" spans="1:8">
      <c r="A76" s="96">
        <v>44913</v>
      </c>
      <c r="B76" s="102" t="s">
        <v>1304</v>
      </c>
      <c r="C76" s="102"/>
      <c r="D76" s="102"/>
      <c r="E76" s="60">
        <v>-140.9</v>
      </c>
      <c r="F76" s="60"/>
      <c r="G76" s="60"/>
      <c r="H76" s="60"/>
    </row>
    <row r="77" spans="1:8">
      <c r="A77" s="96">
        <v>44914</v>
      </c>
      <c r="B77" s="3" t="s">
        <v>1305</v>
      </c>
      <c r="C77" s="102"/>
      <c r="D77" s="102"/>
      <c r="E77" s="60">
        <v>-138.4</v>
      </c>
      <c r="F77" s="60"/>
      <c r="G77" s="60"/>
      <c r="H77" s="60"/>
    </row>
    <row r="78" spans="1:8">
      <c r="A78" s="96">
        <v>44915</v>
      </c>
      <c r="B78" s="3" t="s">
        <v>1306</v>
      </c>
      <c r="C78" s="102"/>
      <c r="D78" s="102"/>
      <c r="E78" s="60">
        <v>-277.5</v>
      </c>
      <c r="F78" s="60"/>
      <c r="G78" s="60"/>
      <c r="H78" s="60"/>
    </row>
    <row r="79" spans="1:8">
      <c r="A79" s="96">
        <v>44916</v>
      </c>
      <c r="B79" s="3" t="s">
        <v>1307</v>
      </c>
      <c r="C79" s="102"/>
      <c r="D79" s="102"/>
      <c r="E79" s="60">
        <v>-166.62</v>
      </c>
      <c r="F79" s="60"/>
      <c r="G79" s="60"/>
      <c r="H79" s="60"/>
    </row>
    <row r="80" spans="1:8">
      <c r="A80" s="96">
        <v>44917</v>
      </c>
      <c r="B80" s="102" t="s">
        <v>383</v>
      </c>
      <c r="C80" s="102"/>
      <c r="D80" s="102"/>
      <c r="E80" s="60">
        <v>-90</v>
      </c>
      <c r="F80" s="60"/>
      <c r="G80" s="60"/>
      <c r="H80" s="60"/>
    </row>
    <row r="81" spans="1:8">
      <c r="A81" s="96">
        <v>44918</v>
      </c>
      <c r="B81" s="3" t="s">
        <v>1308</v>
      </c>
      <c r="C81" s="102"/>
      <c r="D81" s="102"/>
      <c r="E81" s="60">
        <v>-192</v>
      </c>
      <c r="F81" s="60"/>
      <c r="G81" s="60"/>
      <c r="H81" s="60"/>
    </row>
    <row r="82" spans="1:8">
      <c r="A82" s="96"/>
      <c r="B82" s="3"/>
      <c r="C82" s="102"/>
      <c r="D82" s="102"/>
      <c r="E82" s="152"/>
      <c r="F82" s="60"/>
      <c r="G82" s="60"/>
      <c r="H82" s="60"/>
    </row>
    <row r="83" spans="1:8">
      <c r="A83" s="96"/>
      <c r="B83" s="3"/>
      <c r="C83" s="102"/>
      <c r="D83" s="102"/>
      <c r="E83" s="152"/>
      <c r="F83" s="60"/>
      <c r="G83" s="60"/>
      <c r="H83" s="60"/>
    </row>
    <row r="84" spans="1:8">
      <c r="A84" s="96"/>
      <c r="B84" s="3"/>
      <c r="C84" s="102"/>
      <c r="D84" s="102"/>
      <c r="E84" s="152"/>
      <c r="F84" s="60"/>
      <c r="G84" s="60"/>
      <c r="H84" s="60"/>
    </row>
    <row r="85" spans="1:8">
      <c r="A85" s="96"/>
      <c r="B85" s="3"/>
      <c r="C85" s="102"/>
      <c r="D85" s="102"/>
      <c r="E85" s="152"/>
      <c r="F85" s="60"/>
      <c r="G85" s="60"/>
      <c r="H85" s="60"/>
    </row>
    <row r="86" spans="1:8">
      <c r="A86" s="96"/>
      <c r="B86" s="3"/>
      <c r="C86" s="102"/>
      <c r="D86" s="102"/>
      <c r="E86" s="152"/>
      <c r="F86" s="60"/>
      <c r="G86" s="60"/>
      <c r="H86" s="60"/>
    </row>
    <row r="87" spans="1:8">
      <c r="A87" s="96"/>
      <c r="B87" s="3"/>
      <c r="C87" s="102"/>
      <c r="D87" s="102"/>
      <c r="E87" s="152"/>
      <c r="F87" s="60"/>
      <c r="G87" s="60"/>
      <c r="H87" s="60"/>
    </row>
    <row r="88" spans="1:8">
      <c r="A88" s="96"/>
      <c r="B88" s="3"/>
      <c r="C88" s="102"/>
      <c r="D88" s="102"/>
      <c r="E88" s="152"/>
      <c r="F88" s="60"/>
      <c r="G88" s="60"/>
      <c r="H88" s="60"/>
    </row>
    <row r="89" spans="1:8">
      <c r="A89" s="96"/>
      <c r="B89" s="3"/>
      <c r="C89" s="102"/>
      <c r="D89" s="102"/>
      <c r="E89" s="152"/>
      <c r="F89" s="60"/>
      <c r="G89" s="60"/>
      <c r="H89" s="60"/>
    </row>
    <row r="90" spans="1:8">
      <c r="A90" s="96"/>
      <c r="B90" s="3"/>
      <c r="C90" s="102"/>
      <c r="D90" s="102"/>
      <c r="E90" s="152"/>
      <c r="F90" s="60"/>
      <c r="G90" s="60"/>
      <c r="H90" s="60"/>
    </row>
    <row r="91" spans="1:8">
      <c r="A91" s="96"/>
      <c r="B91" s="3"/>
      <c r="C91" s="102"/>
      <c r="D91" s="102"/>
      <c r="E91" s="152"/>
      <c r="F91" s="60"/>
      <c r="G91" s="60"/>
      <c r="H91" s="60"/>
    </row>
    <row r="92" spans="1:8">
      <c r="A92" s="96"/>
      <c r="B92" s="3"/>
      <c r="C92" s="102"/>
      <c r="D92" s="102"/>
      <c r="E92" s="152"/>
      <c r="F92" s="60"/>
      <c r="G92" s="60"/>
      <c r="H92" s="60"/>
    </row>
    <row r="93" spans="1:8">
      <c r="A93" s="96"/>
      <c r="B93" s="3"/>
      <c r="C93" s="102"/>
      <c r="D93" s="102"/>
      <c r="E93" s="152"/>
      <c r="F93" s="60"/>
      <c r="G93" s="60"/>
      <c r="H93" s="60"/>
    </row>
    <row r="94" spans="1:8">
      <c r="A94" s="96"/>
      <c r="B94" s="3"/>
      <c r="C94" s="102"/>
      <c r="D94" s="102"/>
      <c r="E94" s="152"/>
      <c r="F94" s="60"/>
      <c r="G94" s="60"/>
      <c r="H94" s="60"/>
    </row>
    <row r="95" spans="1:8">
      <c r="A95" s="96"/>
      <c r="B95" s="3"/>
      <c r="C95" s="102"/>
      <c r="D95" s="102"/>
      <c r="E95" s="152"/>
      <c r="F95" s="60"/>
      <c r="G95" s="60"/>
      <c r="H95" s="60"/>
    </row>
    <row r="96" spans="1:8">
      <c r="A96" s="96"/>
      <c r="B96" s="3"/>
      <c r="C96" s="102"/>
      <c r="D96" s="102"/>
      <c r="E96" s="152"/>
      <c r="F96" s="60"/>
      <c r="G96" s="60"/>
      <c r="H96" s="60"/>
    </row>
    <row r="97" spans="1:8">
      <c r="A97" s="96"/>
      <c r="B97" s="3"/>
      <c r="C97" s="102"/>
      <c r="D97" s="102"/>
      <c r="E97" s="152"/>
      <c r="F97" s="60"/>
      <c r="G97" s="60"/>
      <c r="H97" s="60"/>
    </row>
    <row r="98" spans="1:8">
      <c r="A98" s="96"/>
      <c r="B98" s="3"/>
      <c r="C98" s="102"/>
      <c r="D98" s="102"/>
      <c r="E98" s="152"/>
      <c r="F98" s="60"/>
      <c r="G98" s="60"/>
      <c r="H98" s="60"/>
    </row>
    <row r="99" spans="1:8">
      <c r="A99" s="96"/>
      <c r="B99" s="3"/>
      <c r="C99" s="102"/>
      <c r="D99" s="102"/>
      <c r="E99" s="152"/>
      <c r="F99" s="60"/>
      <c r="G99" s="60"/>
      <c r="H99" s="60"/>
    </row>
    <row r="100" spans="1:8">
      <c r="A100" s="96"/>
      <c r="B100" s="3"/>
      <c r="C100" s="102"/>
      <c r="D100" s="102"/>
      <c r="E100" s="152"/>
      <c r="F100" s="60"/>
      <c r="G100" s="60"/>
      <c r="H100" s="60"/>
    </row>
    <row r="101" spans="1:8">
      <c r="A101" s="96"/>
      <c r="B101" s="3"/>
      <c r="C101" s="102"/>
      <c r="D101" s="102"/>
      <c r="E101" s="152"/>
      <c r="F101" s="60"/>
      <c r="G101" s="60"/>
      <c r="H101" s="60"/>
    </row>
    <row r="102" spans="1:8">
      <c r="A102" s="96"/>
      <c r="B102" s="3"/>
      <c r="C102" s="102"/>
      <c r="D102" s="102"/>
      <c r="E102" s="152"/>
      <c r="F102" s="60"/>
      <c r="G102" s="60"/>
      <c r="H102" s="60"/>
    </row>
    <row r="103" spans="1:8">
      <c r="A103" s="96"/>
      <c r="B103" s="3"/>
      <c r="C103" s="102"/>
      <c r="D103" s="102"/>
      <c r="E103" s="152"/>
      <c r="F103" s="60"/>
      <c r="G103" s="60"/>
      <c r="H103" s="60"/>
    </row>
    <row r="104" spans="1:8">
      <c r="A104" s="96"/>
      <c r="B104" s="3"/>
      <c r="C104" s="102"/>
      <c r="D104" s="102"/>
      <c r="E104" s="152"/>
      <c r="F104" s="60"/>
      <c r="G104" s="60"/>
      <c r="H104" s="60"/>
    </row>
    <row r="105" spans="1:8">
      <c r="A105" s="96"/>
      <c r="B105" s="3"/>
      <c r="C105" s="102"/>
      <c r="D105" s="102"/>
      <c r="E105" s="152"/>
      <c r="F105" s="60"/>
      <c r="G105" s="60"/>
      <c r="H105" s="60"/>
    </row>
    <row r="106" spans="1:8">
      <c r="A106" s="96"/>
      <c r="B106" s="3"/>
      <c r="C106" s="102"/>
      <c r="D106" s="102"/>
      <c r="E106" s="152"/>
      <c r="F106" s="60"/>
      <c r="G106" s="60"/>
      <c r="H106" s="60"/>
    </row>
    <row r="107" spans="1:8">
      <c r="A107" s="96"/>
      <c r="B107" s="3"/>
      <c r="C107" s="102"/>
      <c r="D107" s="102"/>
      <c r="E107" s="152"/>
      <c r="F107" s="60"/>
      <c r="G107" s="60"/>
      <c r="H107" s="60"/>
    </row>
    <row r="108" spans="1:8">
      <c r="A108" s="96"/>
      <c r="B108" s="3"/>
      <c r="C108" s="102"/>
      <c r="D108" s="102"/>
      <c r="E108" s="152"/>
      <c r="F108" s="60"/>
      <c r="G108" s="60"/>
      <c r="H108" s="60"/>
    </row>
    <row r="109" spans="1:8">
      <c r="A109" s="96"/>
      <c r="B109" s="3"/>
      <c r="C109" s="102"/>
      <c r="D109" s="102"/>
      <c r="E109" s="152"/>
      <c r="F109" s="60"/>
      <c r="G109" s="60"/>
      <c r="H109" s="60"/>
    </row>
    <row r="111" spans="1:8">
      <c r="A111" s="99"/>
      <c r="B111" s="100" t="s">
        <v>1309</v>
      </c>
      <c r="C111" s="99"/>
      <c r="D111" s="147"/>
      <c r="E111" s="148">
        <f>SUM(E112:E119)</f>
        <v>356022.27</v>
      </c>
    </row>
    <row r="112" spans="1:8">
      <c r="A112" s="96">
        <v>45291</v>
      </c>
      <c r="B112" s="8" t="s">
        <v>69</v>
      </c>
      <c r="E112">
        <v>32000</v>
      </c>
    </row>
    <row r="113" spans="1:5">
      <c r="A113" s="96">
        <v>45291</v>
      </c>
      <c r="B113" s="8" t="s">
        <v>70</v>
      </c>
      <c r="E113">
        <v>40000</v>
      </c>
    </row>
    <row r="114" spans="1:5">
      <c r="A114" s="96">
        <v>45291</v>
      </c>
      <c r="B114" s="8" t="s">
        <v>292</v>
      </c>
      <c r="E114">
        <v>40162.18</v>
      </c>
    </row>
    <row r="115" spans="1:5">
      <c r="A115" s="96">
        <v>45291</v>
      </c>
      <c r="B115" s="8" t="s">
        <v>293</v>
      </c>
      <c r="E115">
        <v>44912.09</v>
      </c>
    </row>
    <row r="116" spans="1:5">
      <c r="A116" s="96">
        <v>45291</v>
      </c>
      <c r="B116" s="8" t="s">
        <v>797</v>
      </c>
      <c r="C116">
        <v>1093</v>
      </c>
      <c r="D116">
        <v>111</v>
      </c>
      <c r="E116" s="8">
        <f>D116*C116</f>
        <v>121323</v>
      </c>
    </row>
    <row r="117" spans="1:5">
      <c r="A117" s="96">
        <v>45291</v>
      </c>
      <c r="B117" s="8" t="s">
        <v>798</v>
      </c>
      <c r="C117">
        <v>18.5</v>
      </c>
      <c r="D117">
        <v>850</v>
      </c>
      <c r="E117" s="8">
        <f>D117*C117</f>
        <v>15725</v>
      </c>
    </row>
    <row r="118" spans="1:5">
      <c r="A118" s="96">
        <v>45291</v>
      </c>
      <c r="B118" s="8" t="s">
        <v>799</v>
      </c>
      <c r="C118">
        <v>19</v>
      </c>
      <c r="D118">
        <v>100</v>
      </c>
      <c r="E118" s="8">
        <f>D118*C118</f>
        <v>1900</v>
      </c>
    </row>
    <row r="119" spans="1:5">
      <c r="A119" s="96">
        <v>45291</v>
      </c>
      <c r="B119" s="8" t="s">
        <v>800</v>
      </c>
      <c r="E119">
        <v>60000</v>
      </c>
    </row>
    <row r="120" spans="1:5">
      <c r="B120" t="s">
        <v>1310</v>
      </c>
      <c r="E120" s="60">
        <f>H2</f>
        <v>-14998.419999999998</v>
      </c>
    </row>
    <row r="122" spans="1:5">
      <c r="D122" s="15" t="s">
        <v>147</v>
      </c>
      <c r="E122" s="8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8"/>
  <sheetViews>
    <sheetView zoomScale="170" zoomScaleNormal="170" workbookViewId="0">
      <selection activeCell="E1" sqref="E1"/>
    </sheetView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5" width="13.5703125" customWidth="1"/>
    <col min="6" max="6" width="15.5703125" customWidth="1"/>
    <col min="7" max="7" width="15.42578125" customWidth="1"/>
    <col min="8" max="8" width="0.85546875" customWidth="1"/>
    <col min="9" max="9" width="5.42578125" customWidth="1"/>
    <col min="10" max="10" width="5.85546875" customWidth="1"/>
    <col min="11" max="11" width="6.42578125" style="2" customWidth="1"/>
    <col min="12" max="12" width="6.85546875" style="2" customWidth="1"/>
    <col min="13" max="13" width="5.85546875" style="2" customWidth="1"/>
    <col min="14" max="14" width="6.5703125" customWidth="1"/>
    <col min="15" max="15" width="9.140625" customWidth="1"/>
  </cols>
  <sheetData>
    <row r="1" spans="1:14" ht="15.75">
      <c r="A1" s="16"/>
      <c r="B1" s="17"/>
      <c r="C1" s="18" t="s">
        <v>15</v>
      </c>
      <c r="D1" s="19"/>
      <c r="E1" s="20"/>
      <c r="F1" s="18" t="s">
        <v>16</v>
      </c>
      <c r="G1" s="19"/>
      <c r="H1" s="21"/>
      <c r="I1" s="22"/>
      <c r="J1" s="23"/>
      <c r="K1" s="323">
        <v>0.23471</v>
      </c>
      <c r="L1" s="323">
        <f>1-K1</f>
        <v>0.76529000000000003</v>
      </c>
      <c r="M1" s="324"/>
      <c r="N1" s="23" t="s">
        <v>18</v>
      </c>
    </row>
    <row r="2" spans="1:14" ht="15.75">
      <c r="A2" s="16">
        <v>-2022</v>
      </c>
      <c r="B2" s="20" t="s">
        <v>20</v>
      </c>
      <c r="C2" s="25" t="s">
        <v>21</v>
      </c>
      <c r="D2" s="19" t="s">
        <v>22</v>
      </c>
      <c r="E2" s="20" t="s">
        <v>20</v>
      </c>
      <c r="F2" s="25" t="s">
        <v>21</v>
      </c>
      <c r="G2" s="19" t="s">
        <v>3</v>
      </c>
      <c r="H2" s="21"/>
      <c r="I2" s="22"/>
      <c r="J2" s="23" t="s">
        <v>23</v>
      </c>
      <c r="K2" s="324" t="s">
        <v>789</v>
      </c>
      <c r="L2" s="324" t="s">
        <v>790</v>
      </c>
      <c r="M2" s="324" t="s">
        <v>24</v>
      </c>
      <c r="N2" s="23" t="s">
        <v>1311</v>
      </c>
    </row>
    <row r="3" spans="1:14">
      <c r="A3" t="s">
        <v>25</v>
      </c>
      <c r="B3" s="202">
        <f>'22_1'!D2</f>
        <v>7333.3</v>
      </c>
      <c r="C3" s="203">
        <f>'22_1'!E2</f>
        <v>-6834.05</v>
      </c>
      <c r="D3" s="204">
        <f>B3+C3</f>
        <v>499.25</v>
      </c>
      <c r="E3" s="202">
        <f>'22_1'!F2</f>
        <v>46462.64</v>
      </c>
      <c r="F3" s="203">
        <f>'22_1'!G2</f>
        <v>-6834.05</v>
      </c>
      <c r="G3" s="205">
        <f>E3+F3</f>
        <v>39628.589999999997</v>
      </c>
      <c r="H3" s="31"/>
      <c r="I3" s="32" t="s">
        <v>26</v>
      </c>
      <c r="J3">
        <v>36</v>
      </c>
      <c r="M3" s="2">
        <v>36</v>
      </c>
    </row>
    <row r="4" spans="1:14">
      <c r="A4" t="s">
        <v>27</v>
      </c>
      <c r="B4" s="202">
        <f>'22_2'!D2</f>
        <v>10567.09</v>
      </c>
      <c r="C4" s="203">
        <f>'22_2'!E2</f>
        <v>-21938.15</v>
      </c>
      <c r="D4" s="204">
        <f t="shared" ref="D4:D14" si="0">B4+C4+D3</f>
        <v>-10871.810000000001</v>
      </c>
      <c r="E4" s="202">
        <f>'22_2'!F2</f>
        <v>11567.09</v>
      </c>
      <c r="F4" s="203">
        <f>'22_2'!G2</f>
        <v>-21938.15</v>
      </c>
      <c r="G4" s="205">
        <f t="shared" ref="G4:G14" si="1">E4+F4+G3</f>
        <v>29257.529999999995</v>
      </c>
      <c r="H4" s="31"/>
      <c r="I4" s="32" t="s">
        <v>30</v>
      </c>
      <c r="J4">
        <v>19.8</v>
      </c>
      <c r="M4" s="2">
        <v>19.8</v>
      </c>
    </row>
    <row r="5" spans="1:14">
      <c r="A5" t="s">
        <v>29</v>
      </c>
      <c r="B5" s="202">
        <f>'03'!D2</f>
        <v>36859.61</v>
      </c>
      <c r="C5" s="203">
        <f>'03'!E2</f>
        <v>-30109.3</v>
      </c>
      <c r="D5" s="204">
        <f t="shared" si="0"/>
        <v>-4121.5</v>
      </c>
      <c r="E5" s="202">
        <f>'03'!F2</f>
        <v>35859.61</v>
      </c>
      <c r="F5" s="203">
        <f>'03'!G2</f>
        <v>-30109.3</v>
      </c>
      <c r="G5" s="205">
        <f t="shared" si="1"/>
        <v>35007.839999999997</v>
      </c>
      <c r="H5" s="31"/>
      <c r="I5" s="32" t="s">
        <v>68</v>
      </c>
      <c r="N5" s="2">
        <v>46.1</v>
      </c>
    </row>
    <row r="6" spans="1:14">
      <c r="A6" t="s">
        <v>31</v>
      </c>
      <c r="B6" s="202">
        <f>'04'!D2</f>
        <v>15937.59</v>
      </c>
      <c r="C6" s="203">
        <f>'04'!E2</f>
        <v>-11790.68</v>
      </c>
      <c r="D6" s="204">
        <f t="shared" si="0"/>
        <v>25.409999999999854</v>
      </c>
      <c r="E6" s="202">
        <f>'04'!F2</f>
        <v>17940.28</v>
      </c>
      <c r="F6" s="203">
        <f>'04'!G2</f>
        <v>-11140.68</v>
      </c>
      <c r="G6" s="205">
        <f t="shared" si="1"/>
        <v>41807.439999999995</v>
      </c>
      <c r="H6" s="31"/>
      <c r="I6" s="32" t="s">
        <v>40</v>
      </c>
      <c r="J6">
        <v>60</v>
      </c>
      <c r="M6" s="2">
        <v>6.5</v>
      </c>
    </row>
    <row r="7" spans="1:14">
      <c r="A7" t="s">
        <v>33</v>
      </c>
      <c r="B7" s="202">
        <f>'05'!D2</f>
        <v>11328.34</v>
      </c>
      <c r="C7" s="203">
        <f>'05'!E2</f>
        <v>-7712.66</v>
      </c>
      <c r="D7" s="204">
        <f t="shared" si="0"/>
        <v>3641.09</v>
      </c>
      <c r="E7" s="202">
        <f>'05'!F2</f>
        <v>9522.369999999999</v>
      </c>
      <c r="F7" s="203">
        <f>'05'!G2</f>
        <v>-7722.66</v>
      </c>
      <c r="G7" s="205">
        <f t="shared" si="1"/>
        <v>43607.149999999994</v>
      </c>
      <c r="H7" s="31"/>
      <c r="I7" s="32" t="s">
        <v>1312</v>
      </c>
      <c r="J7">
        <v>95</v>
      </c>
      <c r="M7" s="2">
        <v>23.75</v>
      </c>
    </row>
    <row r="8" spans="1:14">
      <c r="A8" t="s">
        <v>1313</v>
      </c>
      <c r="B8" s="202">
        <f>'06'!D2</f>
        <v>17837.05</v>
      </c>
      <c r="C8" s="203">
        <f>'06'!E2</f>
        <v>-28058.100000000002</v>
      </c>
      <c r="D8" s="204">
        <f t="shared" si="0"/>
        <v>-6579.9600000000028</v>
      </c>
      <c r="E8" s="202">
        <f>'06'!F2</f>
        <v>16654.189999999999</v>
      </c>
      <c r="F8" s="203">
        <f>'06'!G2</f>
        <v>-28058.1</v>
      </c>
      <c r="G8" s="205">
        <f t="shared" si="1"/>
        <v>32203.239999999994</v>
      </c>
      <c r="H8" s="31"/>
    </row>
    <row r="9" spans="1:14">
      <c r="A9" t="s">
        <v>1314</v>
      </c>
      <c r="B9" s="202">
        <f>'07'!D2</f>
        <v>27131.070000000003</v>
      </c>
      <c r="C9" s="203">
        <f>'07'!E2</f>
        <v>-17400.82</v>
      </c>
      <c r="D9" s="204">
        <f t="shared" si="0"/>
        <v>3150.2900000000009</v>
      </c>
      <c r="E9" s="202">
        <f>'07'!F2</f>
        <v>16133.3</v>
      </c>
      <c r="F9" s="203">
        <f>'07'!G2</f>
        <v>-20600.82</v>
      </c>
      <c r="G9" s="205">
        <f t="shared" si="1"/>
        <v>27735.719999999994</v>
      </c>
      <c r="H9" s="31"/>
      <c r="I9" s="32" t="s">
        <v>44</v>
      </c>
      <c r="J9">
        <v>42</v>
      </c>
      <c r="K9" s="2">
        <f t="shared" ref="K9:K14" si="2">J9*$K$1</f>
        <v>9.8578200000000002</v>
      </c>
      <c r="L9" s="2">
        <f t="shared" ref="L9:L14" si="3">J9-K9</f>
        <v>32.142179999999996</v>
      </c>
    </row>
    <row r="10" spans="1:14">
      <c r="A10" t="s">
        <v>1315</v>
      </c>
      <c r="B10" s="202">
        <f>'08'!D2</f>
        <v>34617.910000000003</v>
      </c>
      <c r="C10" s="203">
        <f>'08'!E2</f>
        <v>-11695.349999999999</v>
      </c>
      <c r="D10" s="204">
        <f t="shared" si="0"/>
        <v>26072.850000000006</v>
      </c>
      <c r="E10" s="202">
        <f>'08'!F2</f>
        <v>102061.66</v>
      </c>
      <c r="F10" s="203">
        <f>'08'!G2</f>
        <v>-33894.33</v>
      </c>
      <c r="G10" s="205">
        <f t="shared" si="1"/>
        <v>95903.049999999988</v>
      </c>
      <c r="H10" s="31"/>
      <c r="I10" s="32" t="s">
        <v>48</v>
      </c>
      <c r="J10">
        <v>84</v>
      </c>
      <c r="K10" s="2">
        <f t="shared" si="2"/>
        <v>19.71564</v>
      </c>
      <c r="L10" s="2">
        <f t="shared" si="3"/>
        <v>64.284359999999992</v>
      </c>
    </row>
    <row r="11" spans="1:14">
      <c r="A11" t="s">
        <v>41</v>
      </c>
      <c r="B11" s="202">
        <f>'09'!D2</f>
        <v>66162.31</v>
      </c>
      <c r="C11" s="203">
        <f>'09'!E2</f>
        <v>-61978.720000000001</v>
      </c>
      <c r="D11" s="204">
        <f t="shared" si="0"/>
        <v>30256.440000000002</v>
      </c>
      <c r="E11" s="202">
        <f>'09'!F2</f>
        <v>9260.5</v>
      </c>
      <c r="F11" s="203">
        <f>'09'!G2</f>
        <v>-25729.239999999998</v>
      </c>
      <c r="G11" s="205">
        <f t="shared" si="1"/>
        <v>79434.31</v>
      </c>
      <c r="H11" s="31"/>
      <c r="I11" s="32" t="s">
        <v>46</v>
      </c>
      <c r="J11">
        <v>84</v>
      </c>
      <c r="K11" s="2">
        <f t="shared" si="2"/>
        <v>19.71564</v>
      </c>
      <c r="L11" s="2">
        <f t="shared" si="3"/>
        <v>64.284359999999992</v>
      </c>
    </row>
    <row r="12" spans="1:14">
      <c r="A12" t="s">
        <v>43</v>
      </c>
      <c r="B12" s="202">
        <f>'10'!D2</f>
        <v>23872.199999999997</v>
      </c>
      <c r="C12" s="203">
        <f>'10'!E2</f>
        <v>-33587.82</v>
      </c>
      <c r="D12" s="204">
        <f t="shared" si="0"/>
        <v>20540.82</v>
      </c>
      <c r="E12" s="202">
        <f>'10'!F2</f>
        <v>79418.41</v>
      </c>
      <c r="F12" s="203">
        <f>'10'!G2</f>
        <v>-90424.320000000007</v>
      </c>
      <c r="G12" s="205">
        <f t="shared" si="1"/>
        <v>68428.399999999994</v>
      </c>
      <c r="H12" s="31"/>
      <c r="I12" s="32" t="s">
        <v>38</v>
      </c>
      <c r="J12">
        <v>45</v>
      </c>
      <c r="K12" s="2">
        <f t="shared" si="2"/>
        <v>10.56195</v>
      </c>
      <c r="L12" s="2">
        <f t="shared" si="3"/>
        <v>34.438050000000004</v>
      </c>
      <c r="N12" s="325">
        <f>L15+M15+N15</f>
        <v>400.76679000000001</v>
      </c>
    </row>
    <row r="13" spans="1:14">
      <c r="A13" t="s">
        <v>45</v>
      </c>
      <c r="B13" s="202">
        <f>'11'!D2</f>
        <v>179191.62</v>
      </c>
      <c r="C13" s="203">
        <f>'11'!E2</f>
        <v>-14175.82</v>
      </c>
      <c r="D13" s="204">
        <f t="shared" si="0"/>
        <v>185556.62</v>
      </c>
      <c r="E13" s="202">
        <f>'11'!F2</f>
        <v>178439.6</v>
      </c>
      <c r="F13" s="203">
        <f>'11'!G2</f>
        <v>-18452.8</v>
      </c>
      <c r="G13" s="205">
        <f t="shared" si="1"/>
        <v>228415.2</v>
      </c>
      <c r="H13" s="31"/>
      <c r="I13" s="32" t="s">
        <v>28</v>
      </c>
      <c r="J13">
        <v>48</v>
      </c>
      <c r="K13" s="2">
        <f t="shared" si="2"/>
        <v>11.266080000000001</v>
      </c>
      <c r="L13" s="2">
        <f t="shared" si="3"/>
        <v>36.733919999999998</v>
      </c>
      <c r="N13" s="326">
        <f>N12/12</f>
        <v>33.397232500000001</v>
      </c>
    </row>
    <row r="14" spans="1:14">
      <c r="A14" t="s">
        <v>47</v>
      </c>
      <c r="B14" s="202">
        <f>'22_12'!D2</f>
        <v>15475.960000000001</v>
      </c>
      <c r="C14" s="203">
        <f>'22_12'!E2</f>
        <v>-16961.339999999997</v>
      </c>
      <c r="D14" s="204">
        <f t="shared" si="0"/>
        <v>184071.24</v>
      </c>
      <c r="E14" s="202">
        <f>'22_12'!F2</f>
        <v>22052.39</v>
      </c>
      <c r="F14" s="203">
        <f>'22_12'!G2</f>
        <v>-21692.25</v>
      </c>
      <c r="G14" s="205">
        <f t="shared" si="1"/>
        <v>228775.34000000003</v>
      </c>
      <c r="H14" s="31"/>
      <c r="I14" s="32" t="s">
        <v>42</v>
      </c>
      <c r="J14">
        <v>48</v>
      </c>
      <c r="K14" s="2">
        <f t="shared" si="2"/>
        <v>11.266080000000001</v>
      </c>
      <c r="L14" s="2">
        <f t="shared" si="3"/>
        <v>36.733919999999998</v>
      </c>
    </row>
    <row r="15" spans="1:14">
      <c r="A15" s="43" t="s">
        <v>59</v>
      </c>
      <c r="B15" s="208">
        <f>SUM(B3:B14)</f>
        <v>446314.05000000005</v>
      </c>
      <c r="C15" s="209">
        <f>SUM(C3:C14)</f>
        <v>-262242.81000000006</v>
      </c>
      <c r="D15" s="327">
        <f>B15+C15</f>
        <v>184071.24</v>
      </c>
      <c r="E15" s="208">
        <f>SUM(E3:E14)</f>
        <v>545372.04</v>
      </c>
      <c r="F15" s="209">
        <f>SUM(F3:F14)</f>
        <v>-316596.7</v>
      </c>
      <c r="G15" s="327">
        <f>E15+F15</f>
        <v>228775.34000000003</v>
      </c>
      <c r="H15" s="31"/>
      <c r="I15" s="211"/>
      <c r="J15" s="211">
        <f>SUM(J9:J14)</f>
        <v>351</v>
      </c>
      <c r="K15" s="328">
        <f>SUM(K9:K14)</f>
        <v>82.383210000000005</v>
      </c>
      <c r="L15" s="328">
        <f>SUM(L9:L14)</f>
        <v>268.61678999999998</v>
      </c>
      <c r="M15" s="328">
        <f>SUM(M3:M14)</f>
        <v>86.05</v>
      </c>
      <c r="N15" s="328">
        <f>SUM(N3:N7)</f>
        <v>46.1</v>
      </c>
    </row>
    <row r="16" spans="1:14">
      <c r="A16" s="329">
        <v>12</v>
      </c>
      <c r="B16" s="330">
        <f>B15/A16</f>
        <v>37192.837500000001</v>
      </c>
      <c r="C16" s="331">
        <f>C15/A16</f>
        <v>-21853.567500000005</v>
      </c>
      <c r="D16" s="331"/>
      <c r="E16" s="331">
        <f>E15/A16</f>
        <v>45447.670000000006</v>
      </c>
      <c r="F16" s="331">
        <f>F15/A16</f>
        <v>-26383.058333333334</v>
      </c>
      <c r="G16" s="331">
        <f>G15/A16</f>
        <v>19064.611666666668</v>
      </c>
      <c r="H16" s="53"/>
      <c r="I16" s="213"/>
      <c r="J16" s="331">
        <f>J15/12</f>
        <v>29.25</v>
      </c>
      <c r="K16" s="331">
        <f>K15/12</f>
        <v>6.8652675000000007</v>
      </c>
      <c r="L16" s="331">
        <f>L15/12</f>
        <v>22.384732499999998</v>
      </c>
      <c r="M16" s="331">
        <f>M15/12</f>
        <v>7.1708333333333334</v>
      </c>
      <c r="N16" s="331">
        <f>N15/12</f>
        <v>3.8416666666666668</v>
      </c>
    </row>
    <row r="17" spans="3:10">
      <c r="C17" s="2"/>
      <c r="D17" s="2"/>
      <c r="G17" s="60"/>
      <c r="H17" s="60"/>
      <c r="I17" s="32"/>
    </row>
    <row r="18" spans="3:10">
      <c r="J18" s="32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76"/>
  <sheetViews>
    <sheetView topLeftCell="A43" zoomScale="170" zoomScaleNormal="170" workbookViewId="0">
      <selection activeCell="A39" sqref="A39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2" customWidth="1"/>
    <col min="8" max="8" width="12.28515625" customWidth="1"/>
    <col min="9" max="9" width="9.140625" customWidth="1"/>
  </cols>
  <sheetData>
    <row r="1" spans="1:8">
      <c r="E1" s="178"/>
      <c r="F1" s="178" t="s">
        <v>20</v>
      </c>
      <c r="G1" s="332" t="s">
        <v>21</v>
      </c>
      <c r="H1" s="178" t="s">
        <v>3</v>
      </c>
    </row>
    <row r="2" spans="1:8">
      <c r="A2" s="3" t="s">
        <v>1316</v>
      </c>
      <c r="C2" s="76" t="s">
        <v>59</v>
      </c>
      <c r="D2" s="295">
        <f>SUM(D11:D62)</f>
        <v>15475.960000000001</v>
      </c>
      <c r="E2" s="295">
        <f>SUM(E11:E94)</f>
        <v>-16961.339999999997</v>
      </c>
      <c r="F2" s="295">
        <f>SUM(F11:F92)</f>
        <v>22052.39</v>
      </c>
      <c r="G2" s="333">
        <f>SUM(G11:G92)</f>
        <v>-21692.25</v>
      </c>
      <c r="H2" s="295">
        <f>F2+G2</f>
        <v>360.13999999999942</v>
      </c>
    </row>
    <row r="3" spans="1:8">
      <c r="B3" s="15"/>
      <c r="H3" s="60"/>
    </row>
    <row r="4" spans="1:8">
      <c r="B4" s="15"/>
      <c r="H4" s="60">
        <f>H3+F11+G11</f>
        <v>680</v>
      </c>
    </row>
    <row r="5" spans="1:8">
      <c r="A5" s="96">
        <v>44897</v>
      </c>
      <c r="B5" s="97" t="s">
        <v>1317</v>
      </c>
      <c r="C5" s="97"/>
      <c r="D5" s="97"/>
      <c r="E5" s="60">
        <v>-200</v>
      </c>
      <c r="G5" s="2">
        <v>-214</v>
      </c>
      <c r="H5" s="60">
        <f t="shared" ref="H5:H36" si="0">H4+F5+G5</f>
        <v>466</v>
      </c>
    </row>
    <row r="6" spans="1:8">
      <c r="A6" s="96">
        <v>44897</v>
      </c>
      <c r="B6" s="97" t="s">
        <v>1318</v>
      </c>
      <c r="C6" s="97"/>
      <c r="D6" s="97"/>
      <c r="E6" s="60">
        <v>-400</v>
      </c>
      <c r="G6" s="2">
        <v>-491</v>
      </c>
      <c r="H6" s="60">
        <f t="shared" si="0"/>
        <v>-25</v>
      </c>
    </row>
    <row r="7" spans="1:8">
      <c r="B7" s="102"/>
      <c r="C7" s="102"/>
      <c r="D7" s="102"/>
      <c r="E7" s="60"/>
      <c r="H7" s="60">
        <f t="shared" si="0"/>
        <v>-25</v>
      </c>
    </row>
    <row r="8" spans="1:8">
      <c r="A8" s="96">
        <v>44902</v>
      </c>
      <c r="B8" s="97" t="s">
        <v>1319</v>
      </c>
      <c r="C8" s="97"/>
      <c r="D8" s="97"/>
      <c r="E8" s="60">
        <v>-4300</v>
      </c>
      <c r="G8" s="2">
        <v>-4300</v>
      </c>
      <c r="H8" s="60">
        <f t="shared" si="0"/>
        <v>-4325</v>
      </c>
    </row>
    <row r="9" spans="1:8">
      <c r="A9" s="96">
        <v>44902</v>
      </c>
      <c r="B9" s="97" t="s">
        <v>1320</v>
      </c>
      <c r="C9" s="97"/>
      <c r="D9" s="97"/>
      <c r="E9" s="60">
        <v>-496.5</v>
      </c>
      <c r="G9" s="2">
        <v>-496.5</v>
      </c>
      <c r="H9" s="60">
        <f t="shared" si="0"/>
        <v>-4821.5</v>
      </c>
    </row>
    <row r="10" spans="1:8">
      <c r="B10" s="15"/>
      <c r="H10" s="60">
        <f t="shared" si="0"/>
        <v>-4821.5</v>
      </c>
    </row>
    <row r="11" spans="1:8">
      <c r="B11" s="32" t="s">
        <v>1321</v>
      </c>
      <c r="D11">
        <v>693.79</v>
      </c>
      <c r="F11" s="60">
        <v>680</v>
      </c>
      <c r="H11" s="60">
        <f t="shared" si="0"/>
        <v>-4141.5</v>
      </c>
    </row>
    <row r="12" spans="1:8">
      <c r="B12" s="32" t="s">
        <v>321</v>
      </c>
      <c r="D12">
        <v>1399.75</v>
      </c>
      <c r="E12" s="60"/>
      <c r="F12" s="60">
        <v>1400</v>
      </c>
      <c r="H12" s="60">
        <f t="shared" si="0"/>
        <v>-2741.5</v>
      </c>
    </row>
    <row r="13" spans="1:8">
      <c r="B13" s="32" t="s">
        <v>322</v>
      </c>
      <c r="D13">
        <v>295.51</v>
      </c>
      <c r="E13" s="60"/>
      <c r="F13" s="60">
        <v>295</v>
      </c>
      <c r="H13" s="60">
        <f t="shared" si="0"/>
        <v>-2446.5</v>
      </c>
    </row>
    <row r="14" spans="1:8">
      <c r="B14" s="32" t="s">
        <v>1322</v>
      </c>
      <c r="D14">
        <v>200</v>
      </c>
      <c r="E14" s="60"/>
      <c r="F14" s="316">
        <v>100</v>
      </c>
      <c r="H14" s="60">
        <f t="shared" si="0"/>
        <v>-2346.5</v>
      </c>
    </row>
    <row r="15" spans="1:8">
      <c r="B15" s="32" t="s">
        <v>323</v>
      </c>
      <c r="D15">
        <v>1681.84</v>
      </c>
      <c r="E15" s="60"/>
      <c r="F15" s="60">
        <v>1680</v>
      </c>
      <c r="H15" s="60">
        <f t="shared" si="0"/>
        <v>-666.5</v>
      </c>
    </row>
    <row r="16" spans="1:8">
      <c r="B16" s="32" t="s">
        <v>324</v>
      </c>
      <c r="D16">
        <v>1087.68</v>
      </c>
      <c r="F16" s="60">
        <v>1080</v>
      </c>
      <c r="H16" s="60">
        <f t="shared" si="0"/>
        <v>413.5</v>
      </c>
    </row>
    <row r="17" spans="1:8">
      <c r="B17" s="32" t="s">
        <v>1323</v>
      </c>
      <c r="C17" s="102"/>
      <c r="D17" s="102">
        <v>200</v>
      </c>
      <c r="E17" s="60"/>
      <c r="F17" s="60">
        <v>200</v>
      </c>
      <c r="H17" s="60">
        <f t="shared" si="0"/>
        <v>613.5</v>
      </c>
    </row>
    <row r="18" spans="1:8">
      <c r="B18" s="32" t="s">
        <v>325</v>
      </c>
      <c r="C18" s="102"/>
      <c r="D18" s="102">
        <v>217.89</v>
      </c>
      <c r="E18" s="60"/>
      <c r="F18" s="60">
        <v>217.89</v>
      </c>
      <c r="H18" s="60">
        <f t="shared" si="0"/>
        <v>831.39</v>
      </c>
    </row>
    <row r="19" spans="1:8">
      <c r="B19" s="102" t="s">
        <v>1324</v>
      </c>
      <c r="C19" s="102"/>
      <c r="D19" s="102"/>
      <c r="E19" s="60">
        <v>-4516</v>
      </c>
      <c r="F19" s="60"/>
      <c r="G19" s="2">
        <v>-4516</v>
      </c>
      <c r="H19" s="60">
        <f t="shared" si="0"/>
        <v>-3684.61</v>
      </c>
    </row>
    <row r="20" spans="1:8">
      <c r="B20" s="102"/>
      <c r="C20" s="102"/>
      <c r="D20" s="102"/>
      <c r="E20" s="152"/>
      <c r="F20" s="60"/>
      <c r="H20" s="60">
        <f t="shared" si="0"/>
        <v>-3684.61</v>
      </c>
    </row>
    <row r="21" spans="1:8">
      <c r="A21" s="96">
        <v>44866</v>
      </c>
      <c r="B21" s="102" t="s">
        <v>1325</v>
      </c>
      <c r="C21" s="102"/>
      <c r="D21" s="102"/>
      <c r="E21" s="60">
        <v>-208.17</v>
      </c>
      <c r="F21" s="60"/>
      <c r="H21" s="60">
        <f t="shared" si="0"/>
        <v>-3684.61</v>
      </c>
    </row>
    <row r="22" spans="1:8">
      <c r="A22" s="96">
        <v>44871</v>
      </c>
      <c r="B22" s="102" t="s">
        <v>1326</v>
      </c>
      <c r="C22" s="102"/>
      <c r="D22" s="102"/>
      <c r="E22" s="60">
        <v>-151.65</v>
      </c>
      <c r="F22" s="60"/>
      <c r="H22" s="60">
        <f t="shared" si="0"/>
        <v>-3684.61</v>
      </c>
    </row>
    <row r="23" spans="1:8">
      <c r="A23" s="96">
        <v>44860</v>
      </c>
      <c r="B23" s="8" t="s">
        <v>1327</v>
      </c>
      <c r="E23" s="60">
        <v>-40</v>
      </c>
      <c r="F23" s="60"/>
      <c r="H23" s="60">
        <f t="shared" si="0"/>
        <v>-3684.61</v>
      </c>
    </row>
    <row r="24" spans="1:8">
      <c r="A24" s="96">
        <v>44868</v>
      </c>
      <c r="B24" s="103" t="s">
        <v>1328</v>
      </c>
      <c r="C24" s="102"/>
      <c r="D24" s="102"/>
      <c r="E24" s="60">
        <v>-173.67</v>
      </c>
      <c r="F24" s="60"/>
      <c r="H24" s="60">
        <f t="shared" si="0"/>
        <v>-3684.61</v>
      </c>
    </row>
    <row r="25" spans="1:8">
      <c r="A25" s="96">
        <v>44870</v>
      </c>
      <c r="B25" s="102" t="s">
        <v>1329</v>
      </c>
      <c r="C25" s="102"/>
      <c r="D25" s="102"/>
      <c r="E25" s="60">
        <v>-398.07</v>
      </c>
      <c r="F25" s="60"/>
      <c r="H25" s="60">
        <f t="shared" si="0"/>
        <v>-3684.61</v>
      </c>
    </row>
    <row r="26" spans="1:8">
      <c r="A26" s="96">
        <v>44873</v>
      </c>
      <c r="B26" s="8" t="s">
        <v>1330</v>
      </c>
      <c r="C26" s="102"/>
      <c r="D26" s="102"/>
      <c r="E26" s="60">
        <v>-1111.1099999999999</v>
      </c>
      <c r="F26" s="60"/>
      <c r="H26" s="60">
        <f t="shared" si="0"/>
        <v>-3684.61</v>
      </c>
    </row>
    <row r="27" spans="1:8">
      <c r="A27" s="96">
        <v>44888</v>
      </c>
      <c r="B27" s="8" t="s">
        <v>1331</v>
      </c>
      <c r="C27" s="102"/>
      <c r="D27" s="102"/>
      <c r="E27" s="60"/>
      <c r="F27" s="317">
        <v>1150</v>
      </c>
      <c r="H27" s="60">
        <f t="shared" si="0"/>
        <v>-2534.61</v>
      </c>
    </row>
    <row r="28" spans="1:8">
      <c r="A28" s="96">
        <v>44875</v>
      </c>
      <c r="B28" s="102" t="s">
        <v>1332</v>
      </c>
      <c r="C28" s="102"/>
      <c r="D28" s="102"/>
      <c r="E28" s="60">
        <v>-279.99</v>
      </c>
      <c r="F28" s="60"/>
      <c r="H28" s="60">
        <f t="shared" si="0"/>
        <v>-2534.61</v>
      </c>
    </row>
    <row r="29" spans="1:8">
      <c r="A29" s="96">
        <v>44875</v>
      </c>
      <c r="B29" s="102" t="s">
        <v>1333</v>
      </c>
      <c r="C29" s="102"/>
      <c r="D29" s="102"/>
      <c r="E29" s="60">
        <v>-89</v>
      </c>
      <c r="F29" s="60"/>
      <c r="H29" s="60">
        <f t="shared" si="0"/>
        <v>-2534.61</v>
      </c>
    </row>
    <row r="30" spans="1:8">
      <c r="A30" s="96">
        <v>44875</v>
      </c>
      <c r="B30" s="102" t="s">
        <v>1334</v>
      </c>
      <c r="C30" s="102"/>
      <c r="D30" s="102"/>
      <c r="E30" s="60">
        <v>-189.9</v>
      </c>
      <c r="F30" s="60"/>
      <c r="H30" s="60">
        <f t="shared" si="0"/>
        <v>-2534.61</v>
      </c>
    </row>
    <row r="31" spans="1:8">
      <c r="A31" s="96">
        <v>44875</v>
      </c>
      <c r="B31" s="102" t="s">
        <v>1335</v>
      </c>
      <c r="C31" s="102"/>
      <c r="D31" s="102"/>
      <c r="E31" s="60">
        <v>-2146.5</v>
      </c>
      <c r="F31" s="60"/>
      <c r="H31" s="60">
        <f t="shared" si="0"/>
        <v>-2534.61</v>
      </c>
    </row>
    <row r="32" spans="1:8">
      <c r="A32" s="96">
        <v>44875</v>
      </c>
      <c r="B32" s="102" t="s">
        <v>1335</v>
      </c>
      <c r="C32" s="102"/>
      <c r="D32" s="102"/>
      <c r="E32" s="60">
        <v>-275</v>
      </c>
      <c r="F32" s="60"/>
      <c r="H32" s="60">
        <f t="shared" si="0"/>
        <v>-2534.61</v>
      </c>
    </row>
    <row r="33" spans="1:8">
      <c r="A33" s="96">
        <v>44877</v>
      </c>
      <c r="B33" s="103" t="s">
        <v>1336</v>
      </c>
      <c r="C33" s="102"/>
      <c r="D33" s="102"/>
      <c r="E33" s="60">
        <v>-189.66</v>
      </c>
      <c r="F33" s="60"/>
      <c r="H33" s="60">
        <f t="shared" si="0"/>
        <v>-2534.61</v>
      </c>
    </row>
    <row r="34" spans="1:8">
      <c r="A34" s="96">
        <v>44879</v>
      </c>
      <c r="B34" s="102" t="s">
        <v>1337</v>
      </c>
      <c r="C34" s="102"/>
      <c r="D34" s="102"/>
      <c r="E34" s="60">
        <v>-1720</v>
      </c>
      <c r="F34" s="60"/>
      <c r="H34" s="60">
        <f t="shared" si="0"/>
        <v>-2534.61</v>
      </c>
    </row>
    <row r="35" spans="1:8">
      <c r="A35" s="96">
        <v>44882</v>
      </c>
      <c r="B35" s="103" t="s">
        <v>1338</v>
      </c>
      <c r="C35" s="102"/>
      <c r="D35" s="102"/>
      <c r="E35" s="60">
        <f>-204.04</f>
        <v>-204.04</v>
      </c>
      <c r="F35" s="60"/>
      <c r="H35" s="60">
        <f t="shared" si="0"/>
        <v>-2534.61</v>
      </c>
    </row>
    <row r="36" spans="1:8">
      <c r="A36" s="96">
        <v>44887</v>
      </c>
      <c r="B36" s="102" t="s">
        <v>1339</v>
      </c>
      <c r="C36" s="102"/>
      <c r="D36" s="102"/>
      <c r="E36" s="60">
        <v>-90</v>
      </c>
      <c r="F36" s="60"/>
      <c r="H36" s="60">
        <f t="shared" si="0"/>
        <v>-2534.61</v>
      </c>
    </row>
    <row r="37" spans="1:8">
      <c r="A37" s="96">
        <v>44887</v>
      </c>
      <c r="B37" s="102" t="s">
        <v>1340</v>
      </c>
      <c r="C37" s="102"/>
      <c r="D37" s="102"/>
      <c r="E37" s="60">
        <v>-678.58</v>
      </c>
      <c r="F37" s="60"/>
      <c r="H37" s="60">
        <f t="shared" ref="H37:H65" si="1">H36+F37+G37</f>
        <v>-2534.61</v>
      </c>
    </row>
    <row r="38" spans="1:8">
      <c r="A38" s="96">
        <v>44900</v>
      </c>
      <c r="B38" s="102" t="s">
        <v>1341</v>
      </c>
      <c r="C38" s="102"/>
      <c r="D38" s="102"/>
      <c r="E38" s="152"/>
      <c r="F38" s="60"/>
      <c r="G38" s="2">
        <v>-7945.34</v>
      </c>
      <c r="H38" s="60">
        <f t="shared" si="1"/>
        <v>-10479.950000000001</v>
      </c>
    </row>
    <row r="39" spans="1:8">
      <c r="A39" s="96"/>
      <c r="B39" s="102"/>
      <c r="C39" s="102"/>
      <c r="D39" s="102"/>
      <c r="E39" s="152"/>
      <c r="F39" s="60"/>
      <c r="H39" s="60">
        <f t="shared" si="1"/>
        <v>-10479.950000000001</v>
      </c>
    </row>
    <row r="40" spans="1:8">
      <c r="A40" s="96">
        <v>44907</v>
      </c>
      <c r="B40" s="102" t="s">
        <v>1342</v>
      </c>
      <c r="C40" s="102"/>
      <c r="D40" s="102"/>
      <c r="E40" s="152"/>
      <c r="F40" s="60"/>
      <c r="G40" s="2">
        <v>-1000</v>
      </c>
      <c r="H40" s="60">
        <f t="shared" si="1"/>
        <v>-11479.95</v>
      </c>
    </row>
    <row r="41" spans="1:8">
      <c r="A41" s="96">
        <v>44911</v>
      </c>
      <c r="B41" s="102" t="s">
        <v>1343</v>
      </c>
      <c r="C41" s="102"/>
      <c r="D41" s="60">
        <v>-200</v>
      </c>
      <c r="E41" s="152"/>
      <c r="F41" s="60"/>
      <c r="G41" s="2">
        <v>-1012.5</v>
      </c>
      <c r="H41" s="60">
        <f t="shared" si="1"/>
        <v>-12492.45</v>
      </c>
    </row>
    <row r="42" spans="1:8">
      <c r="A42" s="96">
        <v>44911</v>
      </c>
      <c r="B42" s="102" t="s">
        <v>1344</v>
      </c>
      <c r="C42" s="102"/>
      <c r="D42" s="60">
        <v>-50</v>
      </c>
      <c r="E42" s="152"/>
      <c r="F42" s="60"/>
      <c r="G42" s="2">
        <v>-96.5</v>
      </c>
      <c r="H42" s="60">
        <f t="shared" si="1"/>
        <v>-12588.95</v>
      </c>
    </row>
    <row r="43" spans="1:8">
      <c r="A43" s="96">
        <v>44911</v>
      </c>
      <c r="B43" s="102" t="s">
        <v>1345</v>
      </c>
      <c r="C43" s="102"/>
      <c r="D43" s="102"/>
      <c r="E43" s="152"/>
      <c r="F43" s="60"/>
      <c r="G43" s="2">
        <v>-123</v>
      </c>
      <c r="H43" s="60">
        <f t="shared" si="1"/>
        <v>-12711.95</v>
      </c>
    </row>
    <row r="44" spans="1:8">
      <c r="A44" s="96">
        <v>44914</v>
      </c>
      <c r="B44" s="102" t="s">
        <v>1346</v>
      </c>
      <c r="C44" s="102"/>
      <c r="D44" s="102"/>
      <c r="E44" s="152"/>
      <c r="F44" s="317">
        <v>2500</v>
      </c>
      <c r="H44" s="60">
        <f t="shared" si="1"/>
        <v>-10211.950000000001</v>
      </c>
    </row>
    <row r="45" spans="1:8">
      <c r="A45" s="96"/>
      <c r="B45" s="102"/>
      <c r="C45" s="102"/>
      <c r="D45" s="102"/>
      <c r="E45" s="152"/>
      <c r="F45" s="60"/>
      <c r="H45" s="60">
        <f t="shared" si="1"/>
        <v>-10211.950000000001</v>
      </c>
    </row>
    <row r="46" spans="1:8">
      <c r="A46" s="96">
        <v>44908</v>
      </c>
      <c r="B46" s="103" t="s">
        <v>1347</v>
      </c>
      <c r="C46" s="102" t="s">
        <v>1348</v>
      </c>
      <c r="D46" s="102"/>
      <c r="E46" s="152"/>
      <c r="F46" s="60"/>
      <c r="G46" s="2">
        <v>-140</v>
      </c>
      <c r="H46" s="60">
        <f t="shared" si="1"/>
        <v>-10351.950000000001</v>
      </c>
    </row>
    <row r="47" spans="1:8">
      <c r="A47" s="96">
        <v>44910</v>
      </c>
      <c r="B47" s="103" t="s">
        <v>1349</v>
      </c>
      <c r="C47" s="102" t="s">
        <v>1348</v>
      </c>
      <c r="D47" s="102"/>
      <c r="E47" s="152"/>
      <c r="F47" s="60"/>
      <c r="G47" s="2">
        <v>-170</v>
      </c>
      <c r="H47" s="60">
        <f t="shared" si="1"/>
        <v>-10521.95</v>
      </c>
    </row>
    <row r="48" spans="1:8">
      <c r="A48" s="96">
        <v>44921</v>
      </c>
      <c r="B48" s="102" t="s">
        <v>1350</v>
      </c>
      <c r="C48" s="102" t="s">
        <v>1351</v>
      </c>
      <c r="D48" s="102"/>
      <c r="E48" s="152"/>
      <c r="F48" s="60"/>
      <c r="G48" s="2">
        <v>-114.91</v>
      </c>
      <c r="H48" s="60">
        <f t="shared" si="1"/>
        <v>-10636.86</v>
      </c>
    </row>
    <row r="49" spans="1:8">
      <c r="A49" s="96"/>
      <c r="B49" s="103"/>
      <c r="C49" s="102"/>
      <c r="D49" s="102"/>
      <c r="E49" s="152"/>
      <c r="F49" s="60"/>
      <c r="H49" s="60">
        <f t="shared" si="1"/>
        <v>-10636.86</v>
      </c>
    </row>
    <row r="50" spans="1:8">
      <c r="A50" s="96">
        <v>44925</v>
      </c>
      <c r="B50" s="103" t="s">
        <v>1352</v>
      </c>
      <c r="C50" s="102"/>
      <c r="D50" s="102"/>
      <c r="E50" s="152"/>
      <c r="F50" s="60"/>
      <c r="G50" s="2">
        <v>-350</v>
      </c>
      <c r="H50" s="60">
        <f t="shared" si="1"/>
        <v>-10986.86</v>
      </c>
    </row>
    <row r="51" spans="1:8">
      <c r="B51" t="s">
        <v>69</v>
      </c>
      <c r="E51" s="152">
        <v>-1500</v>
      </c>
      <c r="F51" s="60"/>
      <c r="G51" s="2">
        <v>-2112</v>
      </c>
      <c r="H51" s="60">
        <f t="shared" si="1"/>
        <v>-13098.86</v>
      </c>
    </row>
    <row r="52" spans="1:8">
      <c r="B52" t="s">
        <v>70</v>
      </c>
      <c r="E52" s="152">
        <v>-1500</v>
      </c>
      <c r="F52" s="60"/>
      <c r="G52" s="2">
        <v>-2112</v>
      </c>
      <c r="H52" s="60">
        <f t="shared" si="1"/>
        <v>-15210.86</v>
      </c>
    </row>
    <row r="53" spans="1:8">
      <c r="B53" t="s">
        <v>71</v>
      </c>
      <c r="E53" s="152">
        <v>-1500</v>
      </c>
      <c r="F53" s="60"/>
      <c r="G53" s="2">
        <v>-1500</v>
      </c>
      <c r="H53" s="60">
        <f t="shared" si="1"/>
        <v>-16710.86</v>
      </c>
    </row>
    <row r="54" spans="1:8">
      <c r="B54" s="102"/>
      <c r="C54" s="102"/>
      <c r="D54" s="102"/>
      <c r="E54" s="60"/>
      <c r="F54" s="60"/>
      <c r="H54" s="60">
        <f t="shared" si="1"/>
        <v>-16710.86</v>
      </c>
    </row>
    <row r="55" spans="1:8">
      <c r="B55" t="s">
        <v>68</v>
      </c>
      <c r="D55" s="175">
        <v>4299.5</v>
      </c>
      <c r="F55" s="60">
        <v>4299.5</v>
      </c>
      <c r="H55" s="60">
        <f t="shared" si="1"/>
        <v>-12411.36</v>
      </c>
    </row>
    <row r="56" spans="1:8">
      <c r="A56" s="96">
        <v>44912</v>
      </c>
      <c r="B56" s="8" t="s">
        <v>663</v>
      </c>
      <c r="D56" s="175">
        <v>1650</v>
      </c>
      <c r="F56" s="60">
        <v>1650</v>
      </c>
      <c r="H56" s="60">
        <f t="shared" si="1"/>
        <v>-10761.36</v>
      </c>
    </row>
    <row r="57" spans="1:8">
      <c r="A57" s="96"/>
      <c r="B57" s="8" t="s">
        <v>1353</v>
      </c>
      <c r="D57" s="175">
        <v>3000</v>
      </c>
      <c r="F57" s="60">
        <v>3000</v>
      </c>
      <c r="H57" s="60">
        <f t="shared" si="1"/>
        <v>-7761.3600000000006</v>
      </c>
    </row>
    <row r="58" spans="1:8">
      <c r="B58" t="s">
        <v>1354</v>
      </c>
      <c r="D58" s="98">
        <v>1000</v>
      </c>
      <c r="H58" s="60">
        <f t="shared" si="1"/>
        <v>-7761.3600000000006</v>
      </c>
    </row>
    <row r="59" spans="1:8">
      <c r="D59" s="98"/>
      <c r="F59" s="60"/>
      <c r="H59" s="60">
        <f t="shared" si="1"/>
        <v>-7761.3600000000006</v>
      </c>
    </row>
    <row r="60" spans="1:8">
      <c r="A60" s="96">
        <v>44921</v>
      </c>
      <c r="B60" s="8" t="s">
        <v>1355</v>
      </c>
      <c r="D60" s="98"/>
      <c r="F60" s="2">
        <v>3300</v>
      </c>
      <c r="H60" s="60">
        <f t="shared" si="1"/>
        <v>-4461.3600000000006</v>
      </c>
    </row>
    <row r="61" spans="1:8">
      <c r="A61" s="96">
        <v>44922</v>
      </c>
      <c r="B61" s="8" t="s">
        <v>1356</v>
      </c>
      <c r="D61" s="60"/>
      <c r="F61" s="60">
        <v>500</v>
      </c>
      <c r="H61" s="60">
        <f t="shared" si="1"/>
        <v>-3961.3600000000006</v>
      </c>
    </row>
    <row r="62" spans="1:8">
      <c r="A62" s="96">
        <v>44922</v>
      </c>
      <c r="B62" s="102" t="s">
        <v>1357</v>
      </c>
      <c r="C62" s="102"/>
      <c r="D62" s="102"/>
      <c r="E62" s="152"/>
      <c r="F62" s="60"/>
      <c r="G62" s="60">
        <v>-500</v>
      </c>
      <c r="H62" s="60">
        <f t="shared" si="1"/>
        <v>-4461.3600000000006</v>
      </c>
    </row>
    <row r="63" spans="1:8">
      <c r="E63" s="60"/>
      <c r="H63" s="60">
        <f t="shared" si="1"/>
        <v>-4461.3600000000006</v>
      </c>
    </row>
    <row r="64" spans="1:8">
      <c r="B64" t="s">
        <v>1358</v>
      </c>
      <c r="E64" s="60"/>
      <c r="H64" s="60">
        <f t="shared" si="1"/>
        <v>-4461.3600000000006</v>
      </c>
    </row>
    <row r="65" spans="1:8">
      <c r="E65" s="60"/>
      <c r="H65" s="60">
        <f t="shared" si="1"/>
        <v>-4461.3600000000006</v>
      </c>
    </row>
    <row r="66" spans="1:8">
      <c r="E66" s="60"/>
      <c r="H66" s="60"/>
    </row>
    <row r="67" spans="1:8">
      <c r="H67" s="60"/>
    </row>
    <row r="68" spans="1:8">
      <c r="A68" s="266"/>
      <c r="B68" s="266"/>
      <c r="C68" s="266"/>
      <c r="D68" s="266"/>
      <c r="E68" s="60"/>
      <c r="H68" s="60"/>
    </row>
    <row r="69" spans="1:8">
      <c r="A69" s="334">
        <v>44871</v>
      </c>
      <c r="B69" s="266" t="s">
        <v>1359</v>
      </c>
      <c r="C69" s="266"/>
      <c r="D69" s="315">
        <v>200</v>
      </c>
      <c r="E69" s="60" t="s">
        <v>1360</v>
      </c>
      <c r="H69" s="60"/>
    </row>
    <row r="70" spans="1:8">
      <c r="A70" s="334">
        <v>44839</v>
      </c>
      <c r="B70" s="266" t="s">
        <v>1361</v>
      </c>
      <c r="C70" s="266"/>
      <c r="D70" s="315">
        <v>200</v>
      </c>
      <c r="E70" s="60" t="s">
        <v>1360</v>
      </c>
      <c r="H70" s="60"/>
    </row>
    <row r="71" spans="1:8">
      <c r="A71" s="334"/>
      <c r="B71" s="266"/>
      <c r="C71" s="266"/>
      <c r="D71" s="335"/>
      <c r="E71" s="60"/>
      <c r="H71" s="60"/>
    </row>
    <row r="72" spans="1:8">
      <c r="A72" s="334">
        <v>44650</v>
      </c>
      <c r="B72" s="266" t="s">
        <v>1242</v>
      </c>
      <c r="C72" s="266">
        <v>3</v>
      </c>
      <c r="D72" s="8" t="s">
        <v>1362</v>
      </c>
      <c r="E72" s="60"/>
    </row>
    <row r="73" spans="1:8">
      <c r="A73" s="334">
        <v>44844</v>
      </c>
      <c r="B73" s="266" t="s">
        <v>1244</v>
      </c>
      <c r="C73" s="160"/>
      <c r="D73" s="8" t="s">
        <v>1245</v>
      </c>
    </row>
    <row r="74" spans="1:8">
      <c r="D74" s="60"/>
    </row>
    <row r="76" spans="1:8">
      <c r="D76" s="6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E6A39"/>
  </sheetPr>
  <dimension ref="A1:H61"/>
  <sheetViews>
    <sheetView topLeftCell="A31" zoomScale="170" zoomScaleNormal="170" workbookViewId="0">
      <selection activeCell="A27" sqref="A27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8">
        <v>5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1363</v>
      </c>
      <c r="C2" s="76" t="s">
        <v>59</v>
      </c>
      <c r="D2" s="295">
        <f>SUM(D4:D52)</f>
        <v>179191.62</v>
      </c>
      <c r="E2" s="295">
        <f>SUM(E4:E73)</f>
        <v>-14175.82</v>
      </c>
      <c r="F2" s="295">
        <f>SUM(F4:F71)</f>
        <v>178439.6</v>
      </c>
      <c r="G2" s="295">
        <f>SUM(G4:G71)</f>
        <v>-18452.8</v>
      </c>
      <c r="H2" s="295">
        <f>F2+G2</f>
        <v>159986.80000000002</v>
      </c>
    </row>
    <row r="3" spans="1:8">
      <c r="B3" s="15"/>
      <c r="D3" s="175"/>
      <c r="E3" s="175"/>
      <c r="F3" s="175"/>
      <c r="G3" s="175"/>
      <c r="H3" s="60"/>
    </row>
    <row r="4" spans="1:8">
      <c r="D4" s="175"/>
      <c r="E4" s="175"/>
      <c r="F4" s="98"/>
      <c r="G4" s="175"/>
      <c r="H4" s="60">
        <f t="shared" ref="H4:H35" si="0">H3+F4+G4</f>
        <v>0</v>
      </c>
    </row>
    <row r="5" spans="1:8">
      <c r="A5" s="96">
        <v>44874</v>
      </c>
      <c r="B5" s="8" t="s">
        <v>321</v>
      </c>
      <c r="D5" s="175">
        <v>1221.4100000000001</v>
      </c>
      <c r="E5" s="175"/>
      <c r="F5" s="175">
        <v>1220</v>
      </c>
      <c r="G5" s="175"/>
      <c r="H5" s="60">
        <f t="shared" si="0"/>
        <v>1220</v>
      </c>
    </row>
    <row r="6" spans="1:8">
      <c r="A6" s="96">
        <v>44874</v>
      </c>
      <c r="B6" s="8" t="s">
        <v>322</v>
      </c>
      <c r="D6" s="175">
        <v>98.9</v>
      </c>
      <c r="E6" s="175"/>
      <c r="F6" s="175">
        <v>98</v>
      </c>
      <c r="G6" s="175"/>
      <c r="H6" s="60">
        <f t="shared" si="0"/>
        <v>1318</v>
      </c>
    </row>
    <row r="7" spans="1:8">
      <c r="A7" s="96">
        <v>44871</v>
      </c>
      <c r="B7" s="8" t="s">
        <v>1359</v>
      </c>
      <c r="D7" s="98">
        <v>200</v>
      </c>
      <c r="E7" s="175"/>
      <c r="F7" s="175"/>
      <c r="G7" s="175"/>
      <c r="H7" s="60">
        <f t="shared" si="0"/>
        <v>1318</v>
      </c>
    </row>
    <row r="8" spans="1:8">
      <c r="A8" s="96">
        <v>44874</v>
      </c>
      <c r="B8" s="8" t="s">
        <v>323</v>
      </c>
      <c r="D8" s="175">
        <v>1182.1600000000001</v>
      </c>
      <c r="E8" s="175"/>
      <c r="F8" s="175">
        <v>1182.1500000000001</v>
      </c>
      <c r="G8" s="175"/>
      <c r="H8" s="60">
        <f t="shared" si="0"/>
        <v>2500.15</v>
      </c>
    </row>
    <row r="9" spans="1:8">
      <c r="A9" s="96">
        <v>44874</v>
      </c>
      <c r="B9" s="8" t="s">
        <v>324</v>
      </c>
      <c r="D9" s="175">
        <v>289.7</v>
      </c>
      <c r="E9" s="175"/>
      <c r="F9" s="175">
        <v>290</v>
      </c>
      <c r="G9" s="175"/>
      <c r="H9" s="60">
        <f t="shared" si="0"/>
        <v>2790.15</v>
      </c>
    </row>
    <row r="10" spans="1:8">
      <c r="A10" s="96">
        <v>44874</v>
      </c>
      <c r="B10" s="8" t="s">
        <v>1364</v>
      </c>
      <c r="D10" s="175">
        <v>200</v>
      </c>
      <c r="E10" s="175"/>
      <c r="F10" s="175">
        <v>200</v>
      </c>
      <c r="G10" s="175"/>
      <c r="H10" s="60">
        <f t="shared" si="0"/>
        <v>2990.15</v>
      </c>
    </row>
    <row r="11" spans="1:8">
      <c r="A11" s="96">
        <v>44874</v>
      </c>
      <c r="B11" s="8" t="s">
        <v>325</v>
      </c>
      <c r="D11" s="175">
        <v>49.95</v>
      </c>
      <c r="E11" s="175"/>
      <c r="F11" s="175">
        <v>49.95</v>
      </c>
      <c r="G11" s="175"/>
      <c r="H11" s="60">
        <f t="shared" si="0"/>
        <v>3040.1</v>
      </c>
    </row>
    <row r="12" spans="1:8">
      <c r="A12" s="96">
        <v>44875</v>
      </c>
      <c r="B12" s="102" t="s">
        <v>1324</v>
      </c>
      <c r="C12" s="102"/>
      <c r="D12" s="336"/>
      <c r="E12" s="175">
        <v>-1500</v>
      </c>
      <c r="F12" s="175"/>
      <c r="G12" s="175">
        <v>-2334</v>
      </c>
      <c r="H12" s="60">
        <f t="shared" si="0"/>
        <v>706.09999999999991</v>
      </c>
    </row>
    <row r="13" spans="1:8">
      <c r="A13" s="96">
        <v>44872</v>
      </c>
      <c r="B13" s="8" t="s">
        <v>1365</v>
      </c>
      <c r="D13" s="175"/>
      <c r="E13" s="175"/>
      <c r="F13" s="175">
        <v>200</v>
      </c>
      <c r="G13" s="175"/>
      <c r="H13" s="60">
        <f t="shared" si="0"/>
        <v>906.09999999999991</v>
      </c>
    </row>
    <row r="14" spans="1:8">
      <c r="D14" s="175"/>
      <c r="E14" s="175"/>
      <c r="F14" s="175"/>
      <c r="G14" s="175"/>
      <c r="H14" s="60">
        <f t="shared" si="0"/>
        <v>906.09999999999991</v>
      </c>
    </row>
    <row r="15" spans="1:8">
      <c r="A15" s="96">
        <v>44868</v>
      </c>
      <c r="B15" s="97" t="s">
        <v>1317</v>
      </c>
      <c r="C15" s="97"/>
      <c r="D15" s="336"/>
      <c r="E15" s="175">
        <v>-200</v>
      </c>
      <c r="F15" s="175"/>
      <c r="G15" s="175">
        <v>-255</v>
      </c>
      <c r="H15" s="60">
        <f t="shared" si="0"/>
        <v>651.09999999999991</v>
      </c>
    </row>
    <row r="16" spans="1:8">
      <c r="A16" s="96">
        <v>44868</v>
      </c>
      <c r="B16" s="97" t="s">
        <v>1318</v>
      </c>
      <c r="C16" s="97"/>
      <c r="D16" s="336"/>
      <c r="E16" s="175">
        <v>-400</v>
      </c>
      <c r="F16" s="175"/>
      <c r="G16" s="175">
        <v>-536</v>
      </c>
      <c r="H16" s="60">
        <f t="shared" si="0"/>
        <v>115.09999999999991</v>
      </c>
    </row>
    <row r="17" spans="1:8">
      <c r="B17" s="97"/>
      <c r="C17" s="97"/>
      <c r="D17" s="336"/>
      <c r="E17" s="98"/>
      <c r="F17" s="175"/>
      <c r="G17" s="175"/>
      <c r="H17" s="60">
        <f t="shared" si="0"/>
        <v>115.09999999999991</v>
      </c>
    </row>
    <row r="18" spans="1:8">
      <c r="A18" s="96">
        <v>44873</v>
      </c>
      <c r="B18" s="97" t="s">
        <v>1366</v>
      </c>
      <c r="C18" s="97"/>
      <c r="D18" s="336"/>
      <c r="E18" s="98"/>
      <c r="F18" s="175"/>
      <c r="G18" s="175">
        <v>-1250</v>
      </c>
      <c r="H18" s="60">
        <f t="shared" si="0"/>
        <v>-1134.9000000000001</v>
      </c>
    </row>
    <row r="19" spans="1:8">
      <c r="B19" s="102" t="s">
        <v>1367</v>
      </c>
      <c r="C19" s="102"/>
      <c r="D19" s="336"/>
      <c r="E19" s="98"/>
      <c r="F19" s="337">
        <v>1250</v>
      </c>
      <c r="G19" s="175"/>
      <c r="H19" s="60">
        <f t="shared" si="0"/>
        <v>115.09999999999991</v>
      </c>
    </row>
    <row r="20" spans="1:8">
      <c r="A20" s="96">
        <v>44872</v>
      </c>
      <c r="B20" s="97" t="s">
        <v>1368</v>
      </c>
      <c r="C20" s="97"/>
      <c r="D20" s="336"/>
      <c r="E20" s="175">
        <v>-4300</v>
      </c>
      <c r="F20" s="98"/>
      <c r="G20" s="175">
        <v>-4150</v>
      </c>
      <c r="H20" s="60">
        <f t="shared" si="0"/>
        <v>-4034.9</v>
      </c>
    </row>
    <row r="21" spans="1:8">
      <c r="A21" s="96">
        <v>44872</v>
      </c>
      <c r="B21" s="97" t="s">
        <v>1369</v>
      </c>
      <c r="C21" s="97"/>
      <c r="D21" s="336"/>
      <c r="E21" s="175">
        <v>-496.5</v>
      </c>
      <c r="F21" s="98"/>
      <c r="G21" s="175">
        <v>-496.5</v>
      </c>
      <c r="H21" s="60">
        <f t="shared" si="0"/>
        <v>-4531.3999999999996</v>
      </c>
    </row>
    <row r="22" spans="1:8">
      <c r="B22" s="102"/>
      <c r="C22" s="102"/>
      <c r="D22" s="336"/>
      <c r="E22" s="98"/>
      <c r="F22" s="175"/>
      <c r="G22" s="175"/>
      <c r="H22" s="60">
        <f t="shared" si="0"/>
        <v>-4531.3999999999996</v>
      </c>
    </row>
    <row r="23" spans="1:8">
      <c r="A23" s="96">
        <v>44830</v>
      </c>
      <c r="B23" s="102" t="s">
        <v>1370</v>
      </c>
      <c r="C23" s="102"/>
      <c r="D23" s="336"/>
      <c r="E23" s="175">
        <v>-112.67</v>
      </c>
      <c r="F23" s="175"/>
      <c r="G23" s="175"/>
      <c r="H23" s="60">
        <f t="shared" si="0"/>
        <v>-4531.3999999999996</v>
      </c>
    </row>
    <row r="24" spans="1:8">
      <c r="A24" s="96">
        <v>44835</v>
      </c>
      <c r="B24" s="102" t="s">
        <v>1371</v>
      </c>
      <c r="C24" s="102"/>
      <c r="D24" s="336"/>
      <c r="E24" s="175">
        <v>-754.45</v>
      </c>
      <c r="F24" s="175"/>
      <c r="G24" s="175"/>
      <c r="H24" s="60">
        <f t="shared" si="0"/>
        <v>-4531.3999999999996</v>
      </c>
    </row>
    <row r="25" spans="1:8">
      <c r="A25" s="96">
        <v>44835</v>
      </c>
      <c r="B25" s="102" t="s">
        <v>1372</v>
      </c>
      <c r="C25" s="102"/>
      <c r="D25" s="336"/>
      <c r="E25" s="175">
        <v>-208.17</v>
      </c>
      <c r="F25" s="175"/>
      <c r="G25" s="175"/>
      <c r="H25" s="60">
        <f t="shared" si="0"/>
        <v>-4531.3999999999996</v>
      </c>
    </row>
    <row r="26" spans="1:8">
      <c r="A26" s="96">
        <v>44840</v>
      </c>
      <c r="B26" s="102" t="s">
        <v>1373</v>
      </c>
      <c r="C26" s="102"/>
      <c r="D26" s="336"/>
      <c r="E26" s="175">
        <v>-151.65</v>
      </c>
      <c r="F26" s="175"/>
      <c r="G26" s="175"/>
      <c r="H26" s="60">
        <f t="shared" si="0"/>
        <v>-4531.3999999999996</v>
      </c>
    </row>
    <row r="27" spans="1:8">
      <c r="A27" s="96">
        <v>44833</v>
      </c>
      <c r="B27" s="8" t="s">
        <v>1374</v>
      </c>
      <c r="D27" s="175"/>
      <c r="E27" s="175">
        <v>-721.38</v>
      </c>
      <c r="F27" s="175"/>
      <c r="G27" s="175"/>
      <c r="H27" s="60">
        <f t="shared" si="0"/>
        <v>-4531.3999999999996</v>
      </c>
    </row>
    <row r="28" spans="1:8">
      <c r="A28" s="96">
        <v>44850</v>
      </c>
      <c r="B28" s="102" t="s">
        <v>1375</v>
      </c>
      <c r="C28" s="102"/>
      <c r="D28" s="336"/>
      <c r="E28" s="175">
        <v>-500</v>
      </c>
      <c r="F28" s="175"/>
      <c r="G28" s="175"/>
      <c r="H28" s="60">
        <f t="shared" si="0"/>
        <v>-4531.3999999999996</v>
      </c>
    </row>
    <row r="29" spans="1:8">
      <c r="A29" s="96">
        <v>44857</v>
      </c>
      <c r="B29" s="102" t="s">
        <v>1218</v>
      </c>
      <c r="C29" s="102"/>
      <c r="D29" s="336"/>
      <c r="E29" s="175">
        <v>-80</v>
      </c>
      <c r="F29" s="175"/>
      <c r="G29" s="175"/>
      <c r="H29" s="60">
        <f t="shared" si="0"/>
        <v>-4531.3999999999996</v>
      </c>
    </row>
    <row r="30" spans="1:8">
      <c r="A30" s="96">
        <v>44869</v>
      </c>
      <c r="B30" s="102" t="s">
        <v>1376</v>
      </c>
      <c r="C30" s="102"/>
      <c r="D30" s="336"/>
      <c r="E30" s="98"/>
      <c r="F30" s="175"/>
      <c r="G30" s="175">
        <v>-2528.3000000000002</v>
      </c>
      <c r="H30" s="60">
        <f t="shared" si="0"/>
        <v>-7059.7</v>
      </c>
    </row>
    <row r="31" spans="1:8">
      <c r="B31" s="102"/>
      <c r="C31" s="102"/>
      <c r="D31" s="336"/>
      <c r="E31" s="98"/>
      <c r="F31" s="175"/>
      <c r="G31" s="175"/>
      <c r="H31" s="60">
        <f t="shared" si="0"/>
        <v>-7059.7</v>
      </c>
    </row>
    <row r="32" spans="1:8">
      <c r="B32" s="102" t="s">
        <v>1377</v>
      </c>
      <c r="C32" s="102"/>
      <c r="D32" s="336"/>
      <c r="E32" s="175">
        <v>-200</v>
      </c>
      <c r="F32" s="175"/>
      <c r="G32" s="175">
        <v>-569</v>
      </c>
      <c r="H32" s="60">
        <f t="shared" si="0"/>
        <v>-7628.7</v>
      </c>
    </row>
    <row r="33" spans="1:8">
      <c r="B33" s="102" t="s">
        <v>1378</v>
      </c>
      <c r="C33" s="102"/>
      <c r="D33" s="336"/>
      <c r="E33" s="175">
        <v>-51</v>
      </c>
      <c r="F33" s="175"/>
      <c r="G33" s="175">
        <v>-51</v>
      </c>
      <c r="H33" s="60">
        <f t="shared" si="0"/>
        <v>-7679.7</v>
      </c>
    </row>
    <row r="34" spans="1:8">
      <c r="B34" s="102"/>
      <c r="C34" s="102"/>
      <c r="D34" s="336"/>
      <c r="E34" s="175"/>
      <c r="F34" s="175"/>
      <c r="G34" s="175"/>
      <c r="H34" s="60">
        <f t="shared" si="0"/>
        <v>-7679.7</v>
      </c>
    </row>
    <row r="35" spans="1:8">
      <c r="A35" s="96">
        <v>44890</v>
      </c>
      <c r="B35" s="103" t="s">
        <v>1379</v>
      </c>
      <c r="C35" s="102"/>
      <c r="D35" s="336"/>
      <c r="E35" s="175"/>
      <c r="F35" s="175"/>
      <c r="G35" s="175">
        <v>-175</v>
      </c>
      <c r="H35" s="60">
        <f t="shared" si="0"/>
        <v>-7854.7</v>
      </c>
    </row>
    <row r="36" spans="1:8">
      <c r="A36" s="96">
        <v>44891</v>
      </c>
      <c r="B36" s="103" t="s">
        <v>1380</v>
      </c>
      <c r="C36" s="102"/>
      <c r="D36" s="336"/>
      <c r="E36" s="175"/>
      <c r="F36" s="175"/>
      <c r="G36" s="175">
        <v>-204</v>
      </c>
      <c r="H36" s="60">
        <f t="shared" ref="H36:H54" si="1">H35+F36+G36</f>
        <v>-8058.7</v>
      </c>
    </row>
    <row r="37" spans="1:8">
      <c r="A37" s="96">
        <v>44894</v>
      </c>
      <c r="B37" s="103" t="s">
        <v>1381</v>
      </c>
      <c r="C37" s="102"/>
      <c r="D37" s="336"/>
      <c r="E37" s="175"/>
      <c r="F37" s="175"/>
      <c r="G37" s="175">
        <v>-182</v>
      </c>
      <c r="H37" s="60">
        <f t="shared" si="1"/>
        <v>-8240.7000000000007</v>
      </c>
    </row>
    <row r="38" spans="1:8">
      <c r="B38" s="102"/>
      <c r="C38" s="102"/>
      <c r="D38" s="336"/>
      <c r="E38" s="98"/>
      <c r="F38" s="175"/>
      <c r="G38" s="175"/>
      <c r="H38" s="60">
        <f t="shared" si="1"/>
        <v>-8240.7000000000007</v>
      </c>
    </row>
    <row r="39" spans="1:8">
      <c r="B39" t="s">
        <v>69</v>
      </c>
      <c r="D39" s="175"/>
      <c r="E39" s="98">
        <v>-1500</v>
      </c>
      <c r="F39" s="175"/>
      <c r="G39" s="175">
        <v>-2111</v>
      </c>
      <c r="H39" s="60">
        <f t="shared" si="1"/>
        <v>-10351.700000000001</v>
      </c>
    </row>
    <row r="40" spans="1:8">
      <c r="B40" t="s">
        <v>70</v>
      </c>
      <c r="D40" s="175"/>
      <c r="E40" s="98">
        <v>-1500</v>
      </c>
      <c r="F40" s="175"/>
      <c r="G40" s="175">
        <v>-2111</v>
      </c>
      <c r="H40" s="60">
        <f t="shared" si="1"/>
        <v>-12462.7</v>
      </c>
    </row>
    <row r="41" spans="1:8">
      <c r="B41" t="s">
        <v>71</v>
      </c>
      <c r="D41" s="175"/>
      <c r="E41" s="98">
        <v>-1500</v>
      </c>
      <c r="F41" s="175"/>
      <c r="G41" s="175">
        <v>-1500</v>
      </c>
      <c r="H41" s="60">
        <f t="shared" si="1"/>
        <v>-13962.7</v>
      </c>
    </row>
    <row r="42" spans="1:8">
      <c r="D42" s="175"/>
      <c r="E42" s="175"/>
      <c r="F42" s="175"/>
      <c r="G42" s="175"/>
      <c r="H42" s="60">
        <f t="shared" si="1"/>
        <v>-13962.7</v>
      </c>
    </row>
    <row r="43" spans="1:8">
      <c r="B43" t="s">
        <v>68</v>
      </c>
      <c r="D43" s="175">
        <v>4299.5</v>
      </c>
      <c r="E43" s="175"/>
      <c r="F43" s="175">
        <v>4299.5</v>
      </c>
      <c r="G43" s="175"/>
      <c r="H43" s="60">
        <f t="shared" si="1"/>
        <v>-9663.2000000000007</v>
      </c>
    </row>
    <row r="44" spans="1:8">
      <c r="B44" t="s">
        <v>663</v>
      </c>
      <c r="D44" s="175">
        <v>1650</v>
      </c>
      <c r="E44" s="175"/>
      <c r="F44" s="175">
        <v>1650</v>
      </c>
      <c r="G44" s="175"/>
      <c r="H44" s="60">
        <f t="shared" si="1"/>
        <v>-8013.2000000000007</v>
      </c>
    </row>
    <row r="45" spans="1:8">
      <c r="A45" s="96">
        <v>44903</v>
      </c>
      <c r="B45" s="8" t="s">
        <v>1382</v>
      </c>
      <c r="D45" s="175">
        <v>3000</v>
      </c>
      <c r="E45" s="175"/>
      <c r="F45" s="175">
        <v>3000</v>
      </c>
      <c r="G45" s="175"/>
      <c r="H45" s="60">
        <f t="shared" si="1"/>
        <v>-5013.2000000000007</v>
      </c>
    </row>
    <row r="46" spans="1:8">
      <c r="A46" s="96">
        <v>44895</v>
      </c>
      <c r="B46" s="8" t="s">
        <v>1383</v>
      </c>
      <c r="D46" s="175">
        <v>1000</v>
      </c>
      <c r="E46" s="175"/>
      <c r="F46" s="175">
        <v>1000</v>
      </c>
      <c r="G46" s="175"/>
      <c r="H46" s="60">
        <f t="shared" si="1"/>
        <v>-4013.2000000000007</v>
      </c>
    </row>
    <row r="47" spans="1:8">
      <c r="A47" s="96"/>
      <c r="D47" s="98"/>
      <c r="E47" s="175"/>
      <c r="F47" s="175"/>
      <c r="G47" s="175"/>
      <c r="H47" s="60">
        <f t="shared" si="1"/>
        <v>-4013.2000000000007</v>
      </c>
    </row>
    <row r="48" spans="1:8">
      <c r="B48" t="s">
        <v>1384</v>
      </c>
      <c r="D48" s="175">
        <v>82000</v>
      </c>
      <c r="E48" s="175"/>
      <c r="F48" s="175">
        <v>80000</v>
      </c>
      <c r="G48" s="175"/>
      <c r="H48" s="60">
        <f t="shared" si="1"/>
        <v>75986.8</v>
      </c>
    </row>
    <row r="49" spans="1:8">
      <c r="B49" t="s">
        <v>1385</v>
      </c>
      <c r="D49" s="175"/>
      <c r="E49" s="175"/>
      <c r="F49" s="175"/>
      <c r="G49" s="175"/>
      <c r="H49" s="60">
        <f t="shared" si="1"/>
        <v>75986.8</v>
      </c>
    </row>
    <row r="50" spans="1:8">
      <c r="A50" s="96">
        <v>44893</v>
      </c>
      <c r="B50" s="8" t="s">
        <v>1386</v>
      </c>
      <c r="D50" s="175">
        <v>84000</v>
      </c>
      <c r="E50" s="175"/>
      <c r="F50" s="175">
        <v>84000</v>
      </c>
      <c r="G50" s="175"/>
      <c r="H50" s="60">
        <f t="shared" si="1"/>
        <v>159986.79999999999</v>
      </c>
    </row>
    <row r="51" spans="1:8">
      <c r="H51" s="60">
        <f t="shared" si="1"/>
        <v>159986.79999999999</v>
      </c>
    </row>
    <row r="52" spans="1:8">
      <c r="E52" s="60"/>
      <c r="F52" s="60"/>
      <c r="G52" s="60"/>
      <c r="H52" s="60">
        <f t="shared" si="1"/>
        <v>159986.79999999999</v>
      </c>
    </row>
    <row r="53" spans="1:8">
      <c r="H53" s="60">
        <f t="shared" si="1"/>
        <v>159986.79999999999</v>
      </c>
    </row>
    <row r="54" spans="1:8">
      <c r="B54" t="s">
        <v>1387</v>
      </c>
      <c r="H54" s="60">
        <f t="shared" si="1"/>
        <v>159986.79999999999</v>
      </c>
    </row>
    <row r="56" spans="1:8">
      <c r="A56" s="96">
        <v>44844</v>
      </c>
      <c r="B56" s="338" t="s">
        <v>1244</v>
      </c>
      <c r="C56" s="338"/>
      <c r="D56" s="339">
        <v>2000</v>
      </c>
    </row>
    <row r="57" spans="1:8">
      <c r="A57" s="96">
        <v>44839</v>
      </c>
      <c r="B57" s="338" t="s">
        <v>1361</v>
      </c>
      <c r="C57" s="338"/>
      <c r="D57" s="339">
        <v>200</v>
      </c>
    </row>
    <row r="59" spans="1:8">
      <c r="A59" s="334">
        <v>44803</v>
      </c>
      <c r="B59" s="266" t="s">
        <v>1242</v>
      </c>
      <c r="C59" s="266"/>
      <c r="D59" s="335"/>
    </row>
    <row r="60" spans="1:8">
      <c r="A60" s="334">
        <v>44772</v>
      </c>
      <c r="B60" s="266" t="s">
        <v>1388</v>
      </c>
      <c r="C60" s="266"/>
      <c r="D60" s="335"/>
    </row>
    <row r="61" spans="1:8">
      <c r="A61" s="334">
        <v>44742</v>
      </c>
      <c r="B61" s="266" t="s">
        <v>1389</v>
      </c>
      <c r="C61" s="266"/>
      <c r="D61" s="33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89"/>
  <sheetViews>
    <sheetView topLeftCell="A57" zoomScale="170" zoomScaleNormal="170" workbookViewId="0">
      <selection activeCell="A53" sqref="A53"/>
    </sheetView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38">
        <v>3.54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1390</v>
      </c>
      <c r="C2" s="76" t="s">
        <v>59</v>
      </c>
      <c r="D2" s="295">
        <f>SUM(D4:D78)</f>
        <v>23872.199999999997</v>
      </c>
      <c r="E2" s="295">
        <f>SUM(E4:E107)</f>
        <v>-33587.82</v>
      </c>
      <c r="F2" s="295">
        <f>SUM(F4:F104)</f>
        <v>79418.41</v>
      </c>
      <c r="G2" s="295">
        <f>SUM(G4:G104)</f>
        <v>-90424.320000000007</v>
      </c>
      <c r="H2" s="295">
        <f>F2+G2</f>
        <v>-11005.910000000003</v>
      </c>
    </row>
    <row r="3" spans="1:8">
      <c r="B3" s="15"/>
      <c r="H3" s="60"/>
    </row>
    <row r="4" spans="1:8">
      <c r="A4" s="96">
        <v>44838</v>
      </c>
      <c r="B4" s="8" t="s">
        <v>1391</v>
      </c>
      <c r="F4" s="317">
        <v>3000</v>
      </c>
      <c r="G4" s="60"/>
      <c r="H4" s="60">
        <f>H3+F4+G4</f>
        <v>3000</v>
      </c>
    </row>
    <row r="5" spans="1:8">
      <c r="E5" s="60"/>
      <c r="F5" s="60"/>
      <c r="G5" s="60"/>
      <c r="H5" s="60">
        <f>H4+F5+G5</f>
        <v>3000</v>
      </c>
    </row>
    <row r="6" spans="1:8">
      <c r="B6" t="s">
        <v>321</v>
      </c>
      <c r="D6" s="2">
        <v>933.39</v>
      </c>
      <c r="E6" s="60"/>
      <c r="F6" s="60">
        <v>933</v>
      </c>
      <c r="G6" s="60"/>
      <c r="H6" s="60">
        <f>H5+F6+G6</f>
        <v>3933</v>
      </c>
    </row>
    <row r="7" spans="1:8">
      <c r="B7" t="s">
        <v>322</v>
      </c>
      <c r="D7" s="2">
        <v>99.8</v>
      </c>
      <c r="E7" s="60"/>
      <c r="F7" s="60">
        <v>99</v>
      </c>
      <c r="G7" s="60"/>
      <c r="H7" s="60">
        <f>H6+F7+G7</f>
        <v>4032</v>
      </c>
    </row>
    <row r="8" spans="1:8">
      <c r="B8" t="s">
        <v>1361</v>
      </c>
      <c r="D8" s="14">
        <v>200</v>
      </c>
      <c r="E8" s="60"/>
      <c r="F8" s="60"/>
      <c r="G8" s="60"/>
      <c r="H8" s="60"/>
    </row>
    <row r="9" spans="1:8">
      <c r="B9" t="s">
        <v>323</v>
      </c>
      <c r="D9" s="2">
        <v>846.7</v>
      </c>
      <c r="E9" s="60"/>
      <c r="F9" s="60">
        <v>845</v>
      </c>
      <c r="G9" s="60"/>
      <c r="H9" s="60">
        <f>H7+F9+G9</f>
        <v>4877</v>
      </c>
    </row>
    <row r="10" spans="1:8">
      <c r="A10" s="96">
        <v>44837</v>
      </c>
      <c r="B10" s="8" t="s">
        <v>324</v>
      </c>
      <c r="D10" s="2">
        <v>445.75</v>
      </c>
      <c r="E10" s="60"/>
      <c r="F10" s="60">
        <v>445</v>
      </c>
      <c r="G10" s="60"/>
      <c r="H10" s="60">
        <f>H9+F10+G10</f>
        <v>5322</v>
      </c>
    </row>
    <row r="11" spans="1:8">
      <c r="A11" s="96"/>
      <c r="B11" s="8" t="s">
        <v>324</v>
      </c>
      <c r="D11" s="2">
        <v>200</v>
      </c>
      <c r="E11" s="60"/>
      <c r="F11" s="60">
        <v>200</v>
      </c>
      <c r="G11" s="60"/>
      <c r="H11" s="60"/>
    </row>
    <row r="12" spans="1:8">
      <c r="A12" s="96">
        <v>44837</v>
      </c>
      <c r="B12" s="8" t="s">
        <v>325</v>
      </c>
      <c r="D12" s="2">
        <v>202.91</v>
      </c>
      <c r="E12" s="60"/>
      <c r="F12" s="60">
        <v>202.91</v>
      </c>
      <c r="G12" s="60"/>
      <c r="H12" s="60">
        <f>H10+F12+G12</f>
        <v>5524.91</v>
      </c>
    </row>
    <row r="13" spans="1:8">
      <c r="A13" s="96">
        <v>44838</v>
      </c>
      <c r="B13" s="102" t="s">
        <v>1324</v>
      </c>
      <c r="C13" s="102"/>
      <c r="D13" s="102"/>
      <c r="E13" s="60">
        <v>-1500</v>
      </c>
      <c r="F13" s="60"/>
      <c r="G13" s="60">
        <v>-1998</v>
      </c>
      <c r="H13" s="60">
        <f t="shared" ref="H13:H44" si="0">H12+F13+G13</f>
        <v>3526.91</v>
      </c>
    </row>
    <row r="14" spans="1:8">
      <c r="A14" s="96">
        <v>44837</v>
      </c>
      <c r="B14" s="97" t="s">
        <v>1317</v>
      </c>
      <c r="C14" s="97"/>
      <c r="D14" s="97"/>
      <c r="E14" s="60">
        <v>-200</v>
      </c>
      <c r="F14" s="60"/>
      <c r="G14" s="60">
        <v>-299</v>
      </c>
      <c r="H14" s="60">
        <f t="shared" si="0"/>
        <v>3227.91</v>
      </c>
    </row>
    <row r="15" spans="1:8">
      <c r="A15" s="96">
        <v>44837</v>
      </c>
      <c r="B15" s="97" t="s">
        <v>1318</v>
      </c>
      <c r="C15" s="97"/>
      <c r="D15" s="97"/>
      <c r="E15" s="60">
        <v>-400</v>
      </c>
      <c r="F15" s="60"/>
      <c r="G15" s="60">
        <v>-649</v>
      </c>
      <c r="H15" s="60">
        <f t="shared" si="0"/>
        <v>2578.91</v>
      </c>
    </row>
    <row r="16" spans="1:8">
      <c r="A16" s="96">
        <v>44851</v>
      </c>
      <c r="B16" s="97" t="s">
        <v>1392</v>
      </c>
      <c r="C16" s="97"/>
      <c r="D16" s="97"/>
      <c r="E16" s="152"/>
      <c r="F16" s="60"/>
      <c r="G16" s="60">
        <v>-193</v>
      </c>
      <c r="H16" s="60">
        <f t="shared" si="0"/>
        <v>2385.91</v>
      </c>
    </row>
    <row r="17" spans="1:8">
      <c r="A17" s="96">
        <v>44838</v>
      </c>
      <c r="B17" s="97" t="s">
        <v>1393</v>
      </c>
      <c r="C17" s="97"/>
      <c r="D17" s="97"/>
      <c r="E17" s="60">
        <v>-4300</v>
      </c>
      <c r="F17" s="152"/>
      <c r="G17" s="60">
        <v>-4300</v>
      </c>
      <c r="H17" s="60">
        <f t="shared" si="0"/>
        <v>-1914.0900000000001</v>
      </c>
    </row>
    <row r="18" spans="1:8">
      <c r="A18" s="96">
        <v>44837</v>
      </c>
      <c r="B18" s="97" t="s">
        <v>1394</v>
      </c>
      <c r="C18" s="97"/>
      <c r="D18" s="97"/>
      <c r="E18" s="60">
        <v>-496.5</v>
      </c>
      <c r="F18" s="152"/>
      <c r="G18" s="60">
        <v>-492.5</v>
      </c>
      <c r="H18" s="60">
        <f t="shared" si="0"/>
        <v>-2406.59</v>
      </c>
    </row>
    <row r="19" spans="1:8">
      <c r="B19" s="102"/>
      <c r="C19" s="102"/>
      <c r="D19" s="102"/>
      <c r="E19" s="60"/>
      <c r="F19" s="60"/>
      <c r="G19" s="60"/>
      <c r="H19" s="60">
        <f t="shared" si="0"/>
        <v>-2406.59</v>
      </c>
    </row>
    <row r="20" spans="1:8">
      <c r="B20" s="102"/>
      <c r="C20" s="102"/>
      <c r="D20" s="102"/>
      <c r="E20" s="60"/>
      <c r="F20" s="60"/>
      <c r="G20" s="60"/>
      <c r="H20" s="60">
        <f t="shared" si="0"/>
        <v>-2406.59</v>
      </c>
    </row>
    <row r="21" spans="1:8">
      <c r="A21" s="96">
        <v>44799</v>
      </c>
      <c r="B21" s="102" t="s">
        <v>1395</v>
      </c>
      <c r="C21" s="102"/>
      <c r="D21" s="102"/>
      <c r="E21" s="60">
        <v>-112.67</v>
      </c>
      <c r="F21" s="60"/>
      <c r="G21" s="60"/>
      <c r="H21" s="60">
        <f t="shared" si="0"/>
        <v>-2406.59</v>
      </c>
    </row>
    <row r="22" spans="1:8">
      <c r="A22" s="96">
        <v>44801</v>
      </c>
      <c r="B22" s="102" t="s">
        <v>1396</v>
      </c>
      <c r="C22" s="102"/>
      <c r="D22" s="102"/>
      <c r="E22" s="60">
        <v>-355.2</v>
      </c>
      <c r="F22" s="60"/>
      <c r="G22" s="60"/>
      <c r="H22" s="60">
        <f t="shared" si="0"/>
        <v>-2406.59</v>
      </c>
    </row>
    <row r="23" spans="1:8">
      <c r="A23" s="96">
        <v>44802</v>
      </c>
      <c r="B23" s="102" t="s">
        <v>1397</v>
      </c>
      <c r="C23" s="102"/>
      <c r="D23" s="102"/>
      <c r="E23" s="60">
        <v>-363.48</v>
      </c>
      <c r="F23" s="60"/>
      <c r="G23" s="60"/>
      <c r="H23" s="60">
        <f t="shared" si="0"/>
        <v>-2406.59</v>
      </c>
    </row>
    <row r="24" spans="1:8">
      <c r="A24" s="96">
        <v>44802</v>
      </c>
      <c r="B24" s="102" t="s">
        <v>1398</v>
      </c>
      <c r="C24" s="102"/>
      <c r="D24" s="102"/>
      <c r="E24" s="60">
        <v>-250</v>
      </c>
      <c r="F24" s="60"/>
      <c r="G24" s="60"/>
      <c r="H24" s="60">
        <f t="shared" si="0"/>
        <v>-2406.59</v>
      </c>
    </row>
    <row r="25" spans="1:8">
      <c r="A25" s="96">
        <v>44802</v>
      </c>
      <c r="B25" s="102" t="s">
        <v>1399</v>
      </c>
      <c r="C25" s="102"/>
      <c r="D25" s="102"/>
      <c r="E25" s="60">
        <v>-240</v>
      </c>
      <c r="F25" s="60"/>
      <c r="G25" s="60"/>
      <c r="H25" s="60">
        <f t="shared" si="0"/>
        <v>-2406.59</v>
      </c>
    </row>
    <row r="26" spans="1:8">
      <c r="A26" s="96">
        <v>44802</v>
      </c>
      <c r="B26" s="102" t="s">
        <v>1400</v>
      </c>
      <c r="C26" s="102"/>
      <c r="D26" s="102"/>
      <c r="E26" s="60">
        <v>-232.5</v>
      </c>
      <c r="F26" s="60"/>
      <c r="G26" s="60"/>
      <c r="H26" s="60">
        <f t="shared" si="0"/>
        <v>-2406.59</v>
      </c>
    </row>
    <row r="27" spans="1:8">
      <c r="A27" s="96">
        <v>44803</v>
      </c>
      <c r="B27" s="102" t="s">
        <v>603</v>
      </c>
      <c r="C27" s="102"/>
      <c r="D27" s="102"/>
      <c r="E27" s="60">
        <v>-104.65</v>
      </c>
      <c r="F27" s="60"/>
      <c r="G27" s="60"/>
      <c r="H27" s="60">
        <f t="shared" si="0"/>
        <v>-2406.59</v>
      </c>
    </row>
    <row r="28" spans="1:8">
      <c r="A28" s="96">
        <v>44803</v>
      </c>
      <c r="B28" s="102" t="s">
        <v>603</v>
      </c>
      <c r="C28" s="102"/>
      <c r="D28" s="102"/>
      <c r="E28" s="60">
        <v>-185.75</v>
      </c>
      <c r="F28" s="60"/>
      <c r="G28" s="60"/>
      <c r="H28" s="60">
        <f t="shared" si="0"/>
        <v>-2406.59</v>
      </c>
    </row>
    <row r="29" spans="1:8">
      <c r="A29" s="96">
        <v>44803</v>
      </c>
      <c r="B29" s="102" t="s">
        <v>1401</v>
      </c>
      <c r="C29" s="102"/>
      <c r="D29" s="102"/>
      <c r="E29" s="60">
        <v>-368.74</v>
      </c>
      <c r="F29" s="60"/>
      <c r="G29" s="60"/>
      <c r="H29" s="60">
        <f t="shared" si="0"/>
        <v>-2406.59</v>
      </c>
    </row>
    <row r="30" spans="1:8">
      <c r="A30" s="96">
        <v>44803</v>
      </c>
      <c r="B30" s="102" t="s">
        <v>603</v>
      </c>
      <c r="C30" s="102"/>
      <c r="D30" s="102"/>
      <c r="E30" s="60">
        <v>-127.46</v>
      </c>
      <c r="F30" s="60"/>
      <c r="G30" s="60"/>
      <c r="H30" s="60">
        <f t="shared" si="0"/>
        <v>-2406.59</v>
      </c>
    </row>
    <row r="31" spans="1:8">
      <c r="A31" s="96">
        <v>44803</v>
      </c>
      <c r="B31" s="102" t="s">
        <v>1402</v>
      </c>
      <c r="C31" s="102"/>
      <c r="D31" s="102"/>
      <c r="E31" s="60">
        <v>-65.97</v>
      </c>
      <c r="F31" s="60"/>
      <c r="G31" s="60"/>
      <c r="H31" s="60">
        <f t="shared" si="0"/>
        <v>-2406.59</v>
      </c>
    </row>
    <row r="32" spans="1:8">
      <c r="A32" s="96">
        <v>44803</v>
      </c>
      <c r="B32" s="102" t="s">
        <v>516</v>
      </c>
      <c r="C32" s="102"/>
      <c r="D32" s="102"/>
      <c r="E32" s="60">
        <v>-204</v>
      </c>
      <c r="F32" s="60"/>
      <c r="G32" s="60"/>
      <c r="H32" s="60">
        <f t="shared" si="0"/>
        <v>-2406.59</v>
      </c>
    </row>
    <row r="33" spans="1:8">
      <c r="A33" s="96">
        <v>44805</v>
      </c>
      <c r="B33" s="102" t="s">
        <v>1403</v>
      </c>
      <c r="C33" s="102"/>
      <c r="D33" s="102"/>
      <c r="E33" s="60">
        <v>-208.17</v>
      </c>
      <c r="F33" s="60"/>
      <c r="G33" s="60"/>
      <c r="H33" s="60">
        <f t="shared" si="0"/>
        <v>-2406.59</v>
      </c>
    </row>
    <row r="34" spans="1:8">
      <c r="A34" s="96">
        <v>44805</v>
      </c>
      <c r="B34" s="102" t="s">
        <v>1404</v>
      </c>
      <c r="C34" s="102"/>
      <c r="D34" s="102"/>
      <c r="E34" s="60">
        <v>-754.45</v>
      </c>
      <c r="F34" s="60"/>
      <c r="G34" s="60"/>
      <c r="H34" s="60">
        <f t="shared" si="0"/>
        <v>-2406.59</v>
      </c>
    </row>
    <row r="35" spans="1:8">
      <c r="A35" s="96">
        <v>44806</v>
      </c>
      <c r="B35" s="102" t="s">
        <v>603</v>
      </c>
      <c r="C35" s="102"/>
      <c r="D35" s="102"/>
      <c r="E35" s="60">
        <v>-137.69999999999999</v>
      </c>
      <c r="F35" s="60"/>
      <c r="G35" s="60"/>
      <c r="H35" s="60">
        <f t="shared" si="0"/>
        <v>-2406.59</v>
      </c>
    </row>
    <row r="36" spans="1:8">
      <c r="A36" s="96">
        <v>44806</v>
      </c>
      <c r="B36" s="102" t="s">
        <v>603</v>
      </c>
      <c r="C36" s="102"/>
      <c r="D36" s="102"/>
      <c r="E36" s="60">
        <v>-161.91</v>
      </c>
      <c r="F36" s="60"/>
      <c r="G36" s="60"/>
      <c r="H36" s="60">
        <f t="shared" si="0"/>
        <v>-2406.59</v>
      </c>
    </row>
    <row r="37" spans="1:8">
      <c r="A37" s="96">
        <v>44807</v>
      </c>
      <c r="B37" s="8" t="s">
        <v>1405</v>
      </c>
      <c r="C37" s="102"/>
      <c r="D37" s="102"/>
      <c r="E37" s="60">
        <v>-697.3</v>
      </c>
      <c r="F37" s="60"/>
      <c r="G37" s="60"/>
      <c r="H37" s="60">
        <f t="shared" si="0"/>
        <v>-2406.59</v>
      </c>
    </row>
    <row r="38" spans="1:8">
      <c r="A38" s="96">
        <v>44807</v>
      </c>
      <c r="B38" s="102" t="s">
        <v>1406</v>
      </c>
      <c r="C38" s="102"/>
      <c r="D38" s="102"/>
      <c r="E38" s="60">
        <v>-600</v>
      </c>
      <c r="F38" s="60"/>
      <c r="G38" s="60"/>
      <c r="H38" s="60">
        <f t="shared" si="0"/>
        <v>-2406.59</v>
      </c>
    </row>
    <row r="39" spans="1:8">
      <c r="A39" s="96">
        <v>44807</v>
      </c>
      <c r="B39" s="102" t="s">
        <v>1407</v>
      </c>
      <c r="C39" s="102"/>
      <c r="D39" s="102"/>
      <c r="E39" s="60">
        <v>-350</v>
      </c>
      <c r="F39" s="60"/>
      <c r="G39" s="60"/>
      <c r="H39" s="60">
        <f t="shared" si="0"/>
        <v>-2406.59</v>
      </c>
    </row>
    <row r="40" spans="1:8">
      <c r="A40" s="96">
        <v>44808</v>
      </c>
      <c r="B40" s="102" t="s">
        <v>1408</v>
      </c>
      <c r="C40" s="102"/>
      <c r="D40" s="102"/>
      <c r="E40" s="60">
        <v>-920</v>
      </c>
      <c r="F40" s="60"/>
      <c r="G40" s="60"/>
      <c r="H40" s="60">
        <f t="shared" si="0"/>
        <v>-2406.59</v>
      </c>
    </row>
    <row r="41" spans="1:8">
      <c r="A41" s="96">
        <v>44808</v>
      </c>
      <c r="B41" s="102" t="s">
        <v>1409</v>
      </c>
      <c r="C41" s="102"/>
      <c r="D41" s="102"/>
      <c r="E41" s="60">
        <v>-392</v>
      </c>
      <c r="F41" s="60"/>
      <c r="G41" s="60"/>
      <c r="H41" s="60">
        <f t="shared" si="0"/>
        <v>-2406.59</v>
      </c>
    </row>
    <row r="42" spans="1:8">
      <c r="A42" s="96">
        <v>44809</v>
      </c>
      <c r="B42" s="102" t="s">
        <v>603</v>
      </c>
      <c r="C42" s="102"/>
      <c r="D42" s="102"/>
      <c r="E42" s="60">
        <v>-98.8</v>
      </c>
      <c r="F42" s="60"/>
      <c r="G42" s="60"/>
      <c r="H42" s="60">
        <f t="shared" si="0"/>
        <v>-2406.59</v>
      </c>
    </row>
    <row r="43" spans="1:8">
      <c r="A43" s="96">
        <v>44810</v>
      </c>
      <c r="B43" s="102" t="s">
        <v>1401</v>
      </c>
      <c r="C43" s="102"/>
      <c r="D43" s="102"/>
      <c r="E43" s="60">
        <v>-339.36</v>
      </c>
      <c r="F43" s="60"/>
      <c r="G43" s="60"/>
      <c r="H43" s="60">
        <f t="shared" si="0"/>
        <v>-2406.59</v>
      </c>
    </row>
    <row r="44" spans="1:8">
      <c r="A44" s="96">
        <v>44810</v>
      </c>
      <c r="B44" s="102" t="s">
        <v>1410</v>
      </c>
      <c r="C44" s="102"/>
      <c r="D44" s="102"/>
      <c r="E44" s="60">
        <v>-151.65</v>
      </c>
      <c r="F44" s="60"/>
      <c r="G44" s="60"/>
      <c r="H44" s="60">
        <f t="shared" si="0"/>
        <v>-2406.59</v>
      </c>
    </row>
    <row r="45" spans="1:8">
      <c r="A45" s="96">
        <v>44810</v>
      </c>
      <c r="B45" s="102" t="s">
        <v>1411</v>
      </c>
      <c r="C45" s="102"/>
      <c r="D45" s="102"/>
      <c r="E45" s="60">
        <v>-75</v>
      </c>
      <c r="F45" s="60"/>
      <c r="G45" s="60"/>
      <c r="H45" s="60">
        <f t="shared" ref="H45:H76" si="1">H44+F45+G45</f>
        <v>-2406.59</v>
      </c>
    </row>
    <row r="46" spans="1:8">
      <c r="A46" s="96">
        <v>44810</v>
      </c>
      <c r="B46" s="102" t="s">
        <v>1400</v>
      </c>
      <c r="C46" s="102"/>
      <c r="D46" s="102"/>
      <c r="E46" s="60">
        <v>-397.56</v>
      </c>
      <c r="F46" s="60"/>
      <c r="G46" s="60"/>
      <c r="H46" s="60">
        <f t="shared" si="1"/>
        <v>-2406.59</v>
      </c>
    </row>
    <row r="47" spans="1:8">
      <c r="A47" s="96">
        <v>44810</v>
      </c>
      <c r="B47" s="102" t="s">
        <v>1412</v>
      </c>
      <c r="C47" s="102"/>
      <c r="D47" s="102"/>
      <c r="E47" s="60">
        <v>-120</v>
      </c>
      <c r="F47" s="60"/>
      <c r="G47" s="60"/>
      <c r="H47" s="60">
        <f t="shared" si="1"/>
        <v>-2406.59</v>
      </c>
    </row>
    <row r="48" spans="1:8">
      <c r="A48" s="96">
        <v>44810</v>
      </c>
      <c r="B48" s="102" t="s">
        <v>1413</v>
      </c>
      <c r="C48" s="102"/>
      <c r="D48" s="102"/>
      <c r="E48" s="60">
        <v>-250</v>
      </c>
      <c r="F48" s="60"/>
      <c r="G48" s="60"/>
      <c r="H48" s="60">
        <f t="shared" si="1"/>
        <v>-2406.59</v>
      </c>
    </row>
    <row r="49" spans="1:8">
      <c r="A49" s="96">
        <v>44810</v>
      </c>
      <c r="B49" s="102" t="s">
        <v>1414</v>
      </c>
      <c r="C49" s="102"/>
      <c r="D49" s="102"/>
      <c r="E49" s="60">
        <v>-200</v>
      </c>
      <c r="F49" s="60"/>
      <c r="G49" s="60"/>
      <c r="H49" s="60">
        <f t="shared" si="1"/>
        <v>-2406.59</v>
      </c>
    </row>
    <row r="50" spans="1:8">
      <c r="A50" s="96">
        <v>44810</v>
      </c>
      <c r="B50" s="102" t="s">
        <v>1415</v>
      </c>
      <c r="C50" s="102"/>
      <c r="D50" s="102"/>
      <c r="E50" s="60">
        <v>-100</v>
      </c>
      <c r="F50" s="60"/>
      <c r="G50" s="60"/>
      <c r="H50" s="60">
        <f t="shared" si="1"/>
        <v>-2406.59</v>
      </c>
    </row>
    <row r="51" spans="1:8">
      <c r="A51" s="96">
        <v>44811</v>
      </c>
      <c r="B51" s="102" t="s">
        <v>1416</v>
      </c>
      <c r="C51" s="102"/>
      <c r="D51" s="102"/>
      <c r="E51" s="60">
        <v>-360</v>
      </c>
      <c r="F51" s="60"/>
      <c r="G51" s="60"/>
      <c r="H51" s="60">
        <f t="shared" si="1"/>
        <v>-2406.59</v>
      </c>
    </row>
    <row r="52" spans="1:8">
      <c r="A52" s="96">
        <v>44814</v>
      </c>
      <c r="B52" s="102" t="s">
        <v>1417</v>
      </c>
      <c r="C52" s="102"/>
      <c r="D52" s="102"/>
      <c r="E52" s="60">
        <v>-400</v>
      </c>
      <c r="F52" s="60"/>
      <c r="G52" s="60"/>
      <c r="H52" s="60">
        <f t="shared" si="1"/>
        <v>-2406.59</v>
      </c>
    </row>
    <row r="53" spans="1:8">
      <c r="B53" s="102" t="s">
        <v>1418</v>
      </c>
      <c r="C53" s="102"/>
      <c r="D53" s="102"/>
      <c r="E53" s="152"/>
      <c r="F53" s="60"/>
      <c r="G53" s="60">
        <v>-9324.32</v>
      </c>
      <c r="H53" s="60">
        <f t="shared" si="1"/>
        <v>-11730.91</v>
      </c>
    </row>
    <row r="54" spans="1:8">
      <c r="A54" s="96">
        <v>44837</v>
      </c>
      <c r="B54" s="8" t="s">
        <v>356</v>
      </c>
      <c r="G54" s="60">
        <v>-30374</v>
      </c>
      <c r="H54" s="60">
        <f t="shared" si="1"/>
        <v>-42104.91</v>
      </c>
    </row>
    <row r="55" spans="1:8">
      <c r="A55" s="96"/>
      <c r="G55" s="60"/>
      <c r="H55" s="60">
        <f t="shared" si="1"/>
        <v>-42104.91</v>
      </c>
    </row>
    <row r="56" spans="1:8">
      <c r="A56" s="96"/>
      <c r="B56" s="8" t="s">
        <v>1419</v>
      </c>
      <c r="G56" s="60"/>
      <c r="H56" s="60">
        <f t="shared" si="1"/>
        <v>-42104.91</v>
      </c>
    </row>
    <row r="57" spans="1:8">
      <c r="A57" s="96"/>
      <c r="B57" s="8" t="s">
        <v>1420</v>
      </c>
      <c r="G57" s="60"/>
      <c r="H57" s="60">
        <f t="shared" si="1"/>
        <v>-42104.91</v>
      </c>
    </row>
    <row r="58" spans="1:8">
      <c r="A58" s="96">
        <v>44844</v>
      </c>
      <c r="B58" s="8" t="s">
        <v>1421</v>
      </c>
      <c r="F58">
        <v>10300</v>
      </c>
      <c r="G58" s="60"/>
      <c r="H58" s="60">
        <f t="shared" si="1"/>
        <v>-31804.910000000003</v>
      </c>
    </row>
    <row r="59" spans="1:8">
      <c r="A59" s="96">
        <v>44847</v>
      </c>
      <c r="B59" s="8" t="s">
        <v>1421</v>
      </c>
      <c r="D59">
        <v>9000</v>
      </c>
      <c r="F59">
        <v>9000</v>
      </c>
      <c r="G59" s="60"/>
      <c r="H59" s="60">
        <f t="shared" si="1"/>
        <v>-22804.910000000003</v>
      </c>
    </row>
    <row r="60" spans="1:8">
      <c r="A60" s="96">
        <v>44844</v>
      </c>
      <c r="B60" s="8" t="s">
        <v>1422</v>
      </c>
      <c r="D60" s="3"/>
      <c r="F60">
        <v>20700</v>
      </c>
      <c r="G60" s="60"/>
      <c r="H60" s="60">
        <f t="shared" si="1"/>
        <v>-2104.9100000000035</v>
      </c>
    </row>
    <row r="61" spans="1:8">
      <c r="A61" s="96">
        <v>44844</v>
      </c>
      <c r="B61" s="8" t="s">
        <v>1244</v>
      </c>
      <c r="D61" s="3">
        <v>2000</v>
      </c>
      <c r="G61" s="60"/>
      <c r="H61" s="60">
        <f t="shared" si="1"/>
        <v>-2104.9100000000035</v>
      </c>
    </row>
    <row r="62" spans="1:8">
      <c r="A62" s="96"/>
      <c r="B62" s="8" t="s">
        <v>1423</v>
      </c>
      <c r="G62" s="60">
        <v>-2620</v>
      </c>
      <c r="H62" s="60">
        <f t="shared" si="1"/>
        <v>-4724.9100000000035</v>
      </c>
    </row>
    <row r="63" spans="1:8">
      <c r="A63" s="96"/>
      <c r="G63" s="60"/>
      <c r="H63" s="60">
        <f t="shared" si="1"/>
        <v>-4724.9100000000035</v>
      </c>
    </row>
    <row r="64" spans="1:8">
      <c r="A64" s="96"/>
      <c r="B64" s="102" t="s">
        <v>1424</v>
      </c>
      <c r="C64" s="102"/>
      <c r="D64" s="102"/>
      <c r="E64" s="152">
        <v>-200</v>
      </c>
      <c r="G64" s="60"/>
      <c r="H64" s="60">
        <f t="shared" si="1"/>
        <v>-4724.9100000000035</v>
      </c>
    </row>
    <row r="65" spans="1:8">
      <c r="A65" s="96"/>
      <c r="B65" s="102" t="s">
        <v>1425</v>
      </c>
      <c r="C65" s="102"/>
      <c r="D65" s="102"/>
      <c r="E65" s="152"/>
      <c r="G65" s="60">
        <v>-94.5</v>
      </c>
      <c r="H65" s="60">
        <f t="shared" si="1"/>
        <v>-4819.4100000000035</v>
      </c>
    </row>
    <row r="66" spans="1:8">
      <c r="A66" s="96"/>
      <c r="G66" s="60"/>
      <c r="H66" s="60">
        <f t="shared" si="1"/>
        <v>-4819.4100000000035</v>
      </c>
    </row>
    <row r="67" spans="1:8">
      <c r="B67" t="s">
        <v>69</v>
      </c>
      <c r="D67" s="3"/>
      <c r="E67" s="152">
        <v>-1500</v>
      </c>
      <c r="F67" s="60"/>
      <c r="G67" s="60">
        <v>-2110</v>
      </c>
      <c r="H67" s="60">
        <f t="shared" si="1"/>
        <v>-6929.4100000000035</v>
      </c>
    </row>
    <row r="68" spans="1:8">
      <c r="B68" t="s">
        <v>70</v>
      </c>
      <c r="D68" s="3"/>
      <c r="E68" s="152">
        <v>-1500</v>
      </c>
      <c r="F68" s="60"/>
      <c r="G68" s="60">
        <v>-2110</v>
      </c>
      <c r="H68" s="60">
        <f t="shared" si="1"/>
        <v>-9039.4100000000035</v>
      </c>
    </row>
    <row r="69" spans="1:8">
      <c r="B69" t="s">
        <v>71</v>
      </c>
      <c r="D69" s="3"/>
      <c r="E69" s="152">
        <v>-1500</v>
      </c>
      <c r="G69" s="60">
        <v>-2110</v>
      </c>
      <c r="H69" s="60">
        <f t="shared" si="1"/>
        <v>-11149.410000000003</v>
      </c>
    </row>
    <row r="70" spans="1:8">
      <c r="B70" s="102"/>
      <c r="C70" s="102"/>
      <c r="D70" s="103"/>
      <c r="E70" s="152"/>
      <c r="F70" s="60"/>
      <c r="G70" s="60"/>
      <c r="H70" s="60">
        <f t="shared" si="1"/>
        <v>-11149.410000000003</v>
      </c>
    </row>
    <row r="71" spans="1:8">
      <c r="B71" t="s">
        <v>68</v>
      </c>
      <c r="D71" s="175">
        <v>4293.6499999999996</v>
      </c>
      <c r="E71" s="3"/>
      <c r="F71" s="175">
        <v>4293.5</v>
      </c>
      <c r="G71" s="60"/>
      <c r="H71" s="60">
        <f t="shared" si="1"/>
        <v>-6855.9100000000035</v>
      </c>
    </row>
    <row r="72" spans="1:8">
      <c r="A72" s="96">
        <v>44861</v>
      </c>
      <c r="B72" s="8" t="s">
        <v>663</v>
      </c>
      <c r="D72" s="175">
        <v>1650</v>
      </c>
      <c r="E72" s="3"/>
      <c r="F72" s="60">
        <v>1650</v>
      </c>
      <c r="G72" s="60"/>
      <c r="H72" s="60">
        <f t="shared" si="1"/>
        <v>-5205.9100000000035</v>
      </c>
    </row>
    <row r="73" spans="1:8">
      <c r="A73" s="96">
        <v>44865</v>
      </c>
      <c r="B73" s="8" t="s">
        <v>1426</v>
      </c>
      <c r="D73" s="175">
        <v>3000</v>
      </c>
      <c r="E73" s="3"/>
      <c r="F73" s="60">
        <v>3000</v>
      </c>
      <c r="G73" s="60"/>
      <c r="H73" s="60">
        <f t="shared" si="1"/>
        <v>-2205.9100000000035</v>
      </c>
    </row>
    <row r="74" spans="1:8">
      <c r="A74" s="96">
        <v>44865</v>
      </c>
      <c r="B74" s="8" t="s">
        <v>1427</v>
      </c>
      <c r="D74" s="175">
        <v>1000</v>
      </c>
      <c r="E74" s="3"/>
      <c r="F74">
        <v>1000</v>
      </c>
      <c r="H74" s="60">
        <f t="shared" si="1"/>
        <v>-1205.9100000000035</v>
      </c>
    </row>
    <row r="75" spans="1:8">
      <c r="D75" s="98"/>
      <c r="E75" s="3"/>
      <c r="H75" s="60">
        <f t="shared" si="1"/>
        <v>-1205.9100000000035</v>
      </c>
    </row>
    <row r="76" spans="1:8">
      <c r="H76" s="60">
        <f t="shared" si="1"/>
        <v>-1205.9100000000035</v>
      </c>
    </row>
    <row r="77" spans="1:8">
      <c r="A77" s="96">
        <v>44847</v>
      </c>
      <c r="B77" s="8" t="s">
        <v>1428</v>
      </c>
      <c r="E77" s="152">
        <v>-12667</v>
      </c>
      <c r="G77" s="60">
        <v>-10000</v>
      </c>
      <c r="H77" s="60">
        <f t="shared" ref="H77:H84" si="2">H76+F77+G77</f>
        <v>-11205.910000000003</v>
      </c>
    </row>
    <row r="78" spans="1:8">
      <c r="H78" s="60">
        <f t="shared" si="2"/>
        <v>-11205.910000000003</v>
      </c>
    </row>
    <row r="79" spans="1:8">
      <c r="H79" s="60">
        <f t="shared" si="2"/>
        <v>-11205.910000000003</v>
      </c>
    </row>
    <row r="80" spans="1:8">
      <c r="B80" t="s">
        <v>1387</v>
      </c>
      <c r="H80" s="60">
        <f t="shared" si="2"/>
        <v>-11205.910000000003</v>
      </c>
    </row>
    <row r="81" spans="1:8">
      <c r="H81" s="60">
        <f t="shared" si="2"/>
        <v>-11205.910000000003</v>
      </c>
    </row>
    <row r="82" spans="1:8">
      <c r="B82" t="s">
        <v>1429</v>
      </c>
      <c r="H82" s="60">
        <f t="shared" si="2"/>
        <v>-11205.910000000003</v>
      </c>
    </row>
    <row r="83" spans="1:8">
      <c r="B83" s="340" t="s">
        <v>1430</v>
      </c>
      <c r="C83" s="340"/>
      <c r="D83" s="341">
        <v>20000</v>
      </c>
      <c r="F83">
        <v>23750</v>
      </c>
      <c r="H83" s="60">
        <f t="shared" si="2"/>
        <v>12544.089999999997</v>
      </c>
    </row>
    <row r="84" spans="1:8">
      <c r="B84" s="340" t="s">
        <v>1431</v>
      </c>
      <c r="C84" s="340"/>
      <c r="D84" s="341"/>
      <c r="G84" s="60">
        <v>-23750</v>
      </c>
      <c r="H84" s="60">
        <f t="shared" si="2"/>
        <v>-11205.910000000003</v>
      </c>
    </row>
    <row r="85" spans="1:8">
      <c r="D85" s="2"/>
      <c r="G85" s="60"/>
      <c r="H85" s="60"/>
    </row>
    <row r="86" spans="1:8">
      <c r="A86" s="334"/>
      <c r="B86" s="266"/>
      <c r="C86" s="266"/>
      <c r="D86" s="342"/>
      <c r="G86" s="60"/>
      <c r="H86" s="60"/>
    </row>
    <row r="87" spans="1:8">
      <c r="A87" s="334">
        <v>44803</v>
      </c>
      <c r="B87" s="266" t="s">
        <v>1242</v>
      </c>
      <c r="C87" s="266"/>
      <c r="D87" s="342">
        <v>4000</v>
      </c>
      <c r="H87" s="60"/>
    </row>
    <row r="88" spans="1:8">
      <c r="A88" s="334">
        <v>44772</v>
      </c>
      <c r="B88" s="266" t="s">
        <v>1388</v>
      </c>
      <c r="C88" s="266"/>
      <c r="D88" s="342">
        <v>4000</v>
      </c>
      <c r="H88" s="60"/>
    </row>
    <row r="89" spans="1:8">
      <c r="A89" s="334">
        <v>44742</v>
      </c>
      <c r="B89" s="266" t="s">
        <v>1389</v>
      </c>
      <c r="C89" s="266"/>
      <c r="D89" s="342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E6A39"/>
  </sheetPr>
  <dimension ref="A1:H48"/>
  <sheetViews>
    <sheetView topLeftCell="A14" zoomScale="170" zoomScaleNormal="170" workbookViewId="0">
      <selection activeCell="A23" sqref="A23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8">
        <v>3.08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1432</v>
      </c>
      <c r="C2" s="76" t="s">
        <v>59</v>
      </c>
      <c r="D2" s="295">
        <f>SUM(D5:D42)</f>
        <v>66162.31</v>
      </c>
      <c r="E2" s="295">
        <f>SUM(E5:E69)</f>
        <v>-61978.720000000001</v>
      </c>
      <c r="F2" s="295">
        <f>SUM(F5:F66)</f>
        <v>9260.5</v>
      </c>
      <c r="G2" s="295">
        <f>SUM(G5:G66)</f>
        <v>-25729.239999999998</v>
      </c>
      <c r="H2" s="295">
        <f>F2+G2</f>
        <v>-16468.739999999998</v>
      </c>
    </row>
    <row r="3" spans="1:8">
      <c r="B3" s="15"/>
      <c r="H3" s="60"/>
    </row>
    <row r="4" spans="1:8">
      <c r="B4" s="15"/>
      <c r="H4" s="60">
        <f t="shared" ref="H4:H46" si="0">H3+F4+G4</f>
        <v>0</v>
      </c>
    </row>
    <row r="5" spans="1:8">
      <c r="E5" s="60"/>
      <c r="F5" s="60"/>
      <c r="G5" s="60"/>
      <c r="H5" s="60">
        <f t="shared" si="0"/>
        <v>0</v>
      </c>
    </row>
    <row r="6" spans="1:8">
      <c r="B6" t="s">
        <v>321</v>
      </c>
      <c r="D6">
        <v>1156.32</v>
      </c>
      <c r="E6" s="60"/>
      <c r="F6" s="60">
        <v>1155</v>
      </c>
      <c r="G6" s="60"/>
      <c r="H6" s="60">
        <f t="shared" si="0"/>
        <v>1155</v>
      </c>
    </row>
    <row r="7" spans="1:8">
      <c r="B7" t="s">
        <v>1433</v>
      </c>
      <c r="D7">
        <v>904.99</v>
      </c>
      <c r="E7" s="60"/>
      <c r="F7" s="60">
        <v>905</v>
      </c>
      <c r="G7" s="60"/>
      <c r="H7" s="60">
        <f t="shared" si="0"/>
        <v>2060</v>
      </c>
    </row>
    <row r="8" spans="1:8">
      <c r="B8" t="s">
        <v>325</v>
      </c>
      <c r="D8">
        <v>51</v>
      </c>
      <c r="E8" s="60"/>
      <c r="F8" s="60">
        <v>51</v>
      </c>
      <c r="G8" s="60"/>
      <c r="H8" s="60">
        <f t="shared" si="0"/>
        <v>2111</v>
      </c>
    </row>
    <row r="9" spans="1:8">
      <c r="B9" s="102" t="s">
        <v>1324</v>
      </c>
      <c r="C9" s="102"/>
      <c r="D9" s="102"/>
      <c r="E9" s="60">
        <v>-1500</v>
      </c>
      <c r="F9" s="60"/>
      <c r="G9" s="60">
        <v>-1763.74</v>
      </c>
      <c r="H9" s="60">
        <f t="shared" si="0"/>
        <v>347.26</v>
      </c>
    </row>
    <row r="10" spans="1:8">
      <c r="A10" s="96">
        <v>44805</v>
      </c>
      <c r="B10" s="97" t="s">
        <v>1317</v>
      </c>
      <c r="C10" s="97"/>
      <c r="D10" s="97"/>
      <c r="E10" s="60">
        <v>-200</v>
      </c>
      <c r="F10" s="152"/>
      <c r="G10" s="60">
        <v>-229.9</v>
      </c>
      <c r="H10" s="60">
        <f t="shared" si="0"/>
        <v>117.35999999999999</v>
      </c>
    </row>
    <row r="11" spans="1:8">
      <c r="A11" s="96">
        <v>44805</v>
      </c>
      <c r="B11" s="97" t="s">
        <v>1318</v>
      </c>
      <c r="C11" s="97"/>
      <c r="D11" s="97"/>
      <c r="E11" s="60">
        <v>-400</v>
      </c>
      <c r="F11" s="152"/>
      <c r="G11" s="60">
        <v>-501.1</v>
      </c>
      <c r="H11" s="60">
        <f t="shared" si="0"/>
        <v>-383.74</v>
      </c>
    </row>
    <row r="12" spans="1:8">
      <c r="A12" s="96">
        <v>44807</v>
      </c>
      <c r="B12" s="97" t="s">
        <v>1434</v>
      </c>
      <c r="C12" s="97"/>
      <c r="D12" s="97"/>
      <c r="E12" s="60"/>
      <c r="F12" s="152"/>
      <c r="G12" s="60">
        <v>-1000</v>
      </c>
      <c r="H12" s="60">
        <f t="shared" si="0"/>
        <v>-1383.74</v>
      </c>
    </row>
    <row r="13" spans="1:8">
      <c r="A13" s="96">
        <v>44816</v>
      </c>
      <c r="B13" s="97" t="s">
        <v>1435</v>
      </c>
      <c r="C13" s="97"/>
      <c r="D13" s="97"/>
      <c r="E13" s="60">
        <v>-4300</v>
      </c>
      <c r="F13" s="152"/>
      <c r="G13" s="60">
        <v>-4300</v>
      </c>
      <c r="H13" s="60">
        <f t="shared" si="0"/>
        <v>-5683.74</v>
      </c>
    </row>
    <row r="14" spans="1:8">
      <c r="A14" s="96">
        <v>44805</v>
      </c>
      <c r="B14" s="97" t="s">
        <v>1436</v>
      </c>
      <c r="C14" s="97"/>
      <c r="D14" s="97"/>
      <c r="E14" s="60">
        <v>-396.5</v>
      </c>
      <c r="F14" s="152"/>
      <c r="G14" s="60">
        <v>-696.5</v>
      </c>
      <c r="H14" s="60">
        <f t="shared" si="0"/>
        <v>-6380.24</v>
      </c>
    </row>
    <row r="15" spans="1:8">
      <c r="B15" s="102"/>
      <c r="C15" s="102"/>
      <c r="D15" s="102"/>
      <c r="E15" s="60"/>
      <c r="F15" s="60"/>
      <c r="G15" s="60"/>
      <c r="H15" s="60">
        <f t="shared" si="0"/>
        <v>-6380.24</v>
      </c>
    </row>
    <row r="16" spans="1:8">
      <c r="B16" s="102" t="s">
        <v>1424</v>
      </c>
      <c r="C16" s="102"/>
      <c r="D16" s="102"/>
      <c r="E16" s="60">
        <v>-200</v>
      </c>
      <c r="F16" s="60"/>
      <c r="G16" s="60">
        <v>-61.44</v>
      </c>
      <c r="H16" s="60">
        <f t="shared" si="0"/>
        <v>-6441.6799999999994</v>
      </c>
    </row>
    <row r="17" spans="1:8">
      <c r="B17" s="102" t="s">
        <v>1437</v>
      </c>
      <c r="C17" s="102"/>
      <c r="D17" s="102"/>
      <c r="E17" s="60">
        <v>-50</v>
      </c>
      <c r="F17" s="60"/>
      <c r="G17" s="60">
        <v>-26.33</v>
      </c>
      <c r="H17" s="60">
        <f t="shared" si="0"/>
        <v>-6468.0099999999993</v>
      </c>
    </row>
    <row r="18" spans="1:8">
      <c r="B18" s="102"/>
      <c r="C18" s="102"/>
      <c r="D18" s="102"/>
      <c r="E18" s="60"/>
      <c r="F18" s="60"/>
      <c r="G18" s="60"/>
      <c r="H18" s="60">
        <f t="shared" si="0"/>
        <v>-6468.0099999999993</v>
      </c>
    </row>
    <row r="19" spans="1:8">
      <c r="A19" s="96">
        <v>44796</v>
      </c>
      <c r="B19" s="102" t="s">
        <v>1438</v>
      </c>
      <c r="C19" s="102"/>
      <c r="D19" s="102"/>
      <c r="E19" s="60">
        <v>-177.65</v>
      </c>
      <c r="F19" s="60"/>
      <c r="G19" s="60"/>
      <c r="H19" s="60">
        <f t="shared" si="0"/>
        <v>-6468.0099999999993</v>
      </c>
    </row>
    <row r="20" spans="1:8">
      <c r="A20" s="96">
        <v>44768</v>
      </c>
      <c r="B20" s="102" t="s">
        <v>1439</v>
      </c>
      <c r="C20" s="102"/>
      <c r="D20" s="102"/>
      <c r="E20" s="60">
        <v>-448.35</v>
      </c>
      <c r="F20" s="60"/>
      <c r="G20" s="60"/>
      <c r="H20" s="60">
        <f t="shared" si="0"/>
        <v>-6468.0099999999993</v>
      </c>
    </row>
    <row r="21" spans="1:8">
      <c r="A21" s="96">
        <v>44768</v>
      </c>
      <c r="B21" s="102" t="s">
        <v>1440</v>
      </c>
      <c r="C21" s="102"/>
      <c r="D21" s="102"/>
      <c r="E21" s="60">
        <v>-112.67</v>
      </c>
      <c r="F21" s="60"/>
      <c r="G21" s="60"/>
      <c r="H21" s="60">
        <f t="shared" si="0"/>
        <v>-6468.0099999999993</v>
      </c>
    </row>
    <row r="22" spans="1:8">
      <c r="A22" s="96">
        <v>44779</v>
      </c>
      <c r="B22" s="8" t="s">
        <v>1441</v>
      </c>
      <c r="E22" s="60">
        <v>-900.19</v>
      </c>
      <c r="H22" s="60">
        <f t="shared" si="0"/>
        <v>-6468.0099999999993</v>
      </c>
    </row>
    <row r="23" spans="1:8">
      <c r="A23" s="96">
        <v>44783</v>
      </c>
      <c r="B23" s="102" t="s">
        <v>1442</v>
      </c>
      <c r="C23" s="102"/>
      <c r="D23" s="102"/>
      <c r="E23" s="60">
        <v>-633.20000000000005</v>
      </c>
      <c r="F23" s="60"/>
      <c r="G23" s="60"/>
      <c r="H23" s="60">
        <f t="shared" si="0"/>
        <v>-6468.0099999999993</v>
      </c>
    </row>
    <row r="24" spans="1:8">
      <c r="A24" s="96">
        <v>44787</v>
      </c>
      <c r="B24" s="102" t="s">
        <v>1443</v>
      </c>
      <c r="C24" s="102"/>
      <c r="D24" s="102"/>
      <c r="E24" s="60">
        <v>-1080.1600000000001</v>
      </c>
      <c r="F24" s="60"/>
      <c r="G24" s="60"/>
      <c r="H24" s="60">
        <f t="shared" si="0"/>
        <v>-6468.0099999999993</v>
      </c>
    </row>
    <row r="25" spans="1:8">
      <c r="A25" s="96">
        <v>44796</v>
      </c>
      <c r="B25" s="102">
        <v>2240</v>
      </c>
      <c r="C25" s="102"/>
      <c r="D25" s="102"/>
      <c r="E25" s="60">
        <v>-80</v>
      </c>
      <c r="F25" s="60"/>
      <c r="G25" s="60"/>
      <c r="H25" s="60">
        <f t="shared" si="0"/>
        <v>-6468.0099999999993</v>
      </c>
    </row>
    <row r="26" spans="1:8">
      <c r="B26" s="102" t="s">
        <v>1444</v>
      </c>
      <c r="C26" s="102"/>
      <c r="D26" s="102"/>
      <c r="E26" s="152"/>
      <c r="F26" s="60"/>
      <c r="G26" s="60">
        <v>-3432.23</v>
      </c>
      <c r="H26" s="60">
        <f t="shared" si="0"/>
        <v>-9900.24</v>
      </c>
    </row>
    <row r="27" spans="1:8">
      <c r="B27" s="102" t="s">
        <v>1445</v>
      </c>
      <c r="C27" s="102" t="s">
        <v>1446</v>
      </c>
      <c r="D27" s="102"/>
      <c r="E27" s="152"/>
      <c r="F27" s="60"/>
      <c r="G27" s="60">
        <v>-7000</v>
      </c>
      <c r="H27" s="60">
        <f t="shared" si="0"/>
        <v>-16900.239999999998</v>
      </c>
    </row>
    <row r="28" spans="1:8">
      <c r="F28" s="60"/>
      <c r="G28" s="60"/>
      <c r="H28" s="60">
        <f t="shared" si="0"/>
        <v>-16900.239999999998</v>
      </c>
    </row>
    <row r="29" spans="1:8">
      <c r="B29" s="102"/>
      <c r="C29" s="102"/>
      <c r="D29" s="102"/>
      <c r="E29" s="152"/>
      <c r="F29" s="60"/>
      <c r="G29" s="60"/>
      <c r="H29" s="60">
        <f t="shared" si="0"/>
        <v>-16900.239999999998</v>
      </c>
    </row>
    <row r="30" spans="1:8">
      <c r="B30" t="s">
        <v>69</v>
      </c>
      <c r="D30" s="60"/>
      <c r="E30" s="60">
        <v>-1500</v>
      </c>
      <c r="F30" s="60"/>
      <c r="G30" s="60">
        <v>-2609</v>
      </c>
      <c r="H30" s="60">
        <f t="shared" si="0"/>
        <v>-19509.239999999998</v>
      </c>
    </row>
    <row r="31" spans="1:8">
      <c r="B31" t="s">
        <v>356</v>
      </c>
      <c r="D31" s="60"/>
      <c r="E31" s="60">
        <v>-32000</v>
      </c>
      <c r="G31" s="60"/>
      <c r="H31" s="60">
        <f t="shared" si="0"/>
        <v>-19509.239999999998</v>
      </c>
    </row>
    <row r="32" spans="1:8">
      <c r="B32" t="s">
        <v>70</v>
      </c>
      <c r="D32" s="60"/>
      <c r="E32" s="60">
        <v>-1500</v>
      </c>
      <c r="F32" s="60"/>
      <c r="G32" s="60">
        <v>-2609</v>
      </c>
      <c r="H32" s="60">
        <f t="shared" si="0"/>
        <v>-22118.239999999998</v>
      </c>
    </row>
    <row r="33" spans="1:8">
      <c r="B33" t="s">
        <v>1447</v>
      </c>
      <c r="D33" s="60"/>
      <c r="E33" s="152">
        <v>-15000</v>
      </c>
      <c r="F33" s="60"/>
      <c r="G33" s="60"/>
      <c r="H33" s="60">
        <f t="shared" si="0"/>
        <v>-22118.239999999998</v>
      </c>
    </row>
    <row r="34" spans="1:8">
      <c r="B34" t="s">
        <v>1448</v>
      </c>
      <c r="E34" s="60">
        <v>-1500</v>
      </c>
      <c r="G34" s="2">
        <v>-1500</v>
      </c>
      <c r="H34" s="60">
        <f t="shared" si="0"/>
        <v>-23618.239999999998</v>
      </c>
    </row>
    <row r="35" spans="1:8">
      <c r="B35" s="102"/>
      <c r="C35" s="102"/>
      <c r="D35" s="102"/>
      <c r="E35" s="152"/>
      <c r="F35" s="60"/>
      <c r="G35" s="60"/>
      <c r="H35" s="60">
        <f t="shared" si="0"/>
        <v>-23618.239999999998</v>
      </c>
    </row>
    <row r="36" spans="1:8">
      <c r="B36" t="s">
        <v>68</v>
      </c>
      <c r="D36" s="60">
        <v>4200</v>
      </c>
      <c r="F36" s="60">
        <v>4299.5</v>
      </c>
      <c r="G36" s="60"/>
      <c r="H36" s="60">
        <f t="shared" si="0"/>
        <v>-19318.739999999998</v>
      </c>
    </row>
    <row r="37" spans="1:8">
      <c r="B37" t="s">
        <v>663</v>
      </c>
      <c r="D37" s="60">
        <v>1650</v>
      </c>
      <c r="F37" s="60">
        <v>1650</v>
      </c>
      <c r="G37" s="60"/>
      <c r="H37" s="60">
        <f t="shared" si="0"/>
        <v>-17668.739999999998</v>
      </c>
    </row>
    <row r="38" spans="1:8">
      <c r="B38" t="s">
        <v>1449</v>
      </c>
      <c r="D38" s="2">
        <v>1200</v>
      </c>
      <c r="F38" s="2">
        <v>1200</v>
      </c>
      <c r="H38" s="60">
        <f t="shared" si="0"/>
        <v>-16468.739999999998</v>
      </c>
    </row>
    <row r="39" spans="1:8">
      <c r="B39" t="s">
        <v>1450</v>
      </c>
      <c r="D39" s="2">
        <v>54000</v>
      </c>
      <c r="F39" s="2"/>
      <c r="G39" s="2"/>
      <c r="H39" s="60">
        <f t="shared" si="0"/>
        <v>-16468.739999999998</v>
      </c>
    </row>
    <row r="40" spans="1:8">
      <c r="H40" s="60">
        <f t="shared" si="0"/>
        <v>-16468.739999999998</v>
      </c>
    </row>
    <row r="41" spans="1:8">
      <c r="B41" t="s">
        <v>1451</v>
      </c>
      <c r="D41" s="152">
        <v>3000</v>
      </c>
      <c r="H41" s="60">
        <f t="shared" si="0"/>
        <v>-16468.739999999998</v>
      </c>
    </row>
    <row r="42" spans="1:8">
      <c r="D42" s="14"/>
      <c r="H42" s="60">
        <f t="shared" si="0"/>
        <v>-16468.739999999998</v>
      </c>
    </row>
    <row r="43" spans="1:8">
      <c r="H43" s="60">
        <f t="shared" si="0"/>
        <v>-16468.739999999998</v>
      </c>
    </row>
    <row r="44" spans="1:8">
      <c r="H44" s="60">
        <f t="shared" si="0"/>
        <v>-16468.739999999998</v>
      </c>
    </row>
    <row r="45" spans="1:8">
      <c r="B45" s="343" t="s">
        <v>1430</v>
      </c>
      <c r="C45" s="343"/>
      <c r="D45" s="344">
        <v>20000</v>
      </c>
      <c r="H45" s="60">
        <f t="shared" si="0"/>
        <v>-16468.739999999998</v>
      </c>
    </row>
    <row r="46" spans="1:8">
      <c r="A46" s="334">
        <v>44803</v>
      </c>
      <c r="B46" s="266" t="s">
        <v>1242</v>
      </c>
      <c r="C46" s="266"/>
      <c r="D46" s="342">
        <v>4000</v>
      </c>
      <c r="H46" s="60">
        <f t="shared" si="0"/>
        <v>-16468.739999999998</v>
      </c>
    </row>
    <row r="47" spans="1:8">
      <c r="A47" s="334">
        <v>44772</v>
      </c>
      <c r="B47" s="266" t="s">
        <v>1388</v>
      </c>
      <c r="C47" s="266"/>
      <c r="D47" s="342">
        <v>4000</v>
      </c>
      <c r="H47" s="60" t="e">
        <f>#REF!+F47+G47</f>
        <v>#REF!</v>
      </c>
    </row>
    <row r="48" spans="1:8">
      <c r="A48" s="334">
        <v>44742</v>
      </c>
      <c r="B48" s="266" t="s">
        <v>1389</v>
      </c>
      <c r="C48" s="266"/>
      <c r="D48" s="342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E6A39"/>
  </sheetPr>
  <dimension ref="A1:H60"/>
  <sheetViews>
    <sheetView topLeftCell="A40" zoomScale="170" zoomScaleNormal="170" workbookViewId="0">
      <selection activeCell="A31" sqref="A31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8">
        <v>1.46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1452</v>
      </c>
      <c r="C2" s="76" t="s">
        <v>59</v>
      </c>
      <c r="D2" s="295">
        <f>SUM(D4:D52)</f>
        <v>34617.910000000003</v>
      </c>
      <c r="E2" s="295">
        <f>SUM(E4:E84)</f>
        <v>-11695.349999999999</v>
      </c>
      <c r="F2" s="295">
        <f>SUM(F4:F81)</f>
        <v>102061.66</v>
      </c>
      <c r="G2" s="295">
        <f>SUM(G4:G81)</f>
        <v>-33894.33</v>
      </c>
      <c r="H2" s="295">
        <f>F2+G2</f>
        <v>68167.33</v>
      </c>
    </row>
    <row r="3" spans="1:8">
      <c r="B3" s="15"/>
      <c r="H3" s="60"/>
    </row>
    <row r="4" spans="1:8">
      <c r="H4" s="60">
        <f t="shared" ref="H4:H35" si="0">H3+F4+G4</f>
        <v>0</v>
      </c>
    </row>
    <row r="5" spans="1:8">
      <c r="B5" t="s">
        <v>321</v>
      </c>
      <c r="D5">
        <v>901.88</v>
      </c>
      <c r="E5" s="60"/>
      <c r="F5" s="60">
        <v>900</v>
      </c>
      <c r="G5" s="60"/>
      <c r="H5" s="60">
        <f t="shared" si="0"/>
        <v>900</v>
      </c>
    </row>
    <row r="6" spans="1:8">
      <c r="B6" t="s">
        <v>1453</v>
      </c>
      <c r="D6">
        <v>208.85</v>
      </c>
      <c r="E6" s="60"/>
      <c r="F6" s="60">
        <v>208.85</v>
      </c>
      <c r="G6" s="60"/>
      <c r="H6" s="60">
        <f t="shared" si="0"/>
        <v>1108.8499999999999</v>
      </c>
    </row>
    <row r="7" spans="1:8">
      <c r="B7" t="s">
        <v>1433</v>
      </c>
      <c r="D7">
        <v>488.3</v>
      </c>
      <c r="E7" s="60"/>
      <c r="F7" s="60">
        <v>488.3</v>
      </c>
      <c r="G7" s="60"/>
      <c r="H7" s="60">
        <f t="shared" si="0"/>
        <v>1597.1499999999999</v>
      </c>
    </row>
    <row r="8" spans="1:8">
      <c r="B8" t="s">
        <v>325</v>
      </c>
      <c r="D8">
        <v>69.38</v>
      </c>
      <c r="E8" s="60"/>
      <c r="F8" s="60">
        <v>69.38</v>
      </c>
      <c r="G8" s="60"/>
      <c r="H8" s="60">
        <f t="shared" si="0"/>
        <v>1666.5299999999997</v>
      </c>
    </row>
    <row r="9" spans="1:8">
      <c r="B9" s="102" t="s">
        <v>1324</v>
      </c>
      <c r="C9" s="102"/>
      <c r="D9" s="103"/>
      <c r="E9" s="60">
        <v>-1311.2</v>
      </c>
      <c r="F9" s="60"/>
      <c r="G9" s="60">
        <v>-1311.2</v>
      </c>
      <c r="H9" s="60">
        <f t="shared" si="0"/>
        <v>355.3299999999997</v>
      </c>
    </row>
    <row r="10" spans="1:8">
      <c r="B10" s="102"/>
      <c r="C10" s="102"/>
      <c r="D10" s="103"/>
      <c r="E10" s="152"/>
      <c r="F10" s="60"/>
      <c r="G10" s="60"/>
      <c r="H10" s="60">
        <f t="shared" si="0"/>
        <v>355.3299999999997</v>
      </c>
    </row>
    <row r="11" spans="1:8">
      <c r="B11" s="97" t="s">
        <v>1317</v>
      </c>
      <c r="C11" s="97"/>
      <c r="D11" s="95"/>
      <c r="E11" s="60">
        <v>-200</v>
      </c>
      <c r="F11" s="152"/>
      <c r="G11" s="60">
        <v>-254.9</v>
      </c>
      <c r="H11" s="60">
        <f t="shared" si="0"/>
        <v>100.42999999999969</v>
      </c>
    </row>
    <row r="12" spans="1:8">
      <c r="B12" s="97" t="s">
        <v>1318</v>
      </c>
      <c r="C12" s="97"/>
      <c r="D12" s="95"/>
      <c r="E12" s="60">
        <v>-400</v>
      </c>
      <c r="F12" s="152"/>
      <c r="G12" s="60">
        <v>-531.9</v>
      </c>
      <c r="H12" s="60">
        <f t="shared" si="0"/>
        <v>-431.47000000000025</v>
      </c>
    </row>
    <row r="13" spans="1:8">
      <c r="A13" s="96">
        <v>44788</v>
      </c>
      <c r="B13" s="102" t="s">
        <v>1454</v>
      </c>
      <c r="C13" s="97"/>
      <c r="D13" s="95"/>
      <c r="E13" s="152"/>
      <c r="F13" s="152"/>
      <c r="G13" s="60">
        <v>-149.30000000000001</v>
      </c>
      <c r="H13" s="60">
        <f t="shared" si="0"/>
        <v>-580.77000000000021</v>
      </c>
    </row>
    <row r="14" spans="1:8">
      <c r="B14" s="97" t="s">
        <v>1455</v>
      </c>
      <c r="C14" s="97"/>
      <c r="D14" s="95"/>
      <c r="E14" s="60">
        <v>-4300</v>
      </c>
      <c r="F14" s="152"/>
      <c r="G14" s="60">
        <v>-4300</v>
      </c>
      <c r="H14" s="60">
        <f t="shared" si="0"/>
        <v>-4880.7700000000004</v>
      </c>
    </row>
    <row r="15" spans="1:8">
      <c r="B15" s="97" t="s">
        <v>1456</v>
      </c>
      <c r="C15" s="97"/>
      <c r="D15" s="95"/>
      <c r="E15" s="60">
        <v>-396.5</v>
      </c>
      <c r="F15" s="152"/>
      <c r="G15" s="60">
        <v>-396.5</v>
      </c>
      <c r="H15" s="60">
        <f t="shared" si="0"/>
        <v>-5277.27</v>
      </c>
    </row>
    <row r="16" spans="1:8">
      <c r="B16" s="102"/>
      <c r="C16" s="102"/>
      <c r="D16" s="103"/>
      <c r="E16" s="152"/>
      <c r="F16" s="60"/>
      <c r="G16" s="60"/>
      <c r="H16" s="60">
        <f t="shared" si="0"/>
        <v>-5277.27</v>
      </c>
    </row>
    <row r="17" spans="1:8">
      <c r="B17" s="102" t="s">
        <v>1424</v>
      </c>
      <c r="C17" s="102"/>
      <c r="D17" s="103"/>
      <c r="E17" s="60">
        <v>-200</v>
      </c>
      <c r="F17" s="60"/>
      <c r="G17" s="60">
        <v>-140.51</v>
      </c>
      <c r="H17" s="60">
        <f t="shared" si="0"/>
        <v>-5417.7800000000007</v>
      </c>
    </row>
    <row r="18" spans="1:8">
      <c r="B18" s="102" t="s">
        <v>1437</v>
      </c>
      <c r="C18" s="102"/>
      <c r="D18" s="103"/>
      <c r="E18" s="60">
        <v>-50</v>
      </c>
      <c r="F18" s="60"/>
      <c r="G18" s="60">
        <v>-59.47</v>
      </c>
      <c r="H18" s="60">
        <f t="shared" si="0"/>
        <v>-5477.2500000000009</v>
      </c>
    </row>
    <row r="19" spans="1:8">
      <c r="B19" s="102"/>
      <c r="C19" s="102"/>
      <c r="D19" s="103"/>
      <c r="E19" s="152"/>
      <c r="F19" s="60"/>
      <c r="G19" s="60"/>
      <c r="H19" s="60">
        <f t="shared" si="0"/>
        <v>-5477.2500000000009</v>
      </c>
    </row>
    <row r="20" spans="1:8">
      <c r="B20" s="102" t="s">
        <v>1457</v>
      </c>
      <c r="C20" s="102"/>
      <c r="D20" s="103"/>
      <c r="E20" s="60">
        <v>-177.65</v>
      </c>
      <c r="F20" s="60"/>
      <c r="G20" s="60"/>
      <c r="H20" s="60">
        <f t="shared" si="0"/>
        <v>-5477.2500000000009</v>
      </c>
    </row>
    <row r="21" spans="1:8">
      <c r="B21" s="102" t="s">
        <v>1458</v>
      </c>
      <c r="C21" s="102"/>
      <c r="D21" s="103"/>
      <c r="E21" s="60">
        <v>-100</v>
      </c>
      <c r="F21" s="60"/>
      <c r="G21" s="60"/>
      <c r="H21" s="60">
        <f t="shared" si="0"/>
        <v>-5477.2500000000009</v>
      </c>
    </row>
    <row r="22" spans="1:8">
      <c r="B22" s="102">
        <v>2240</v>
      </c>
      <c r="C22" s="102"/>
      <c r="D22" s="103"/>
      <c r="E22" s="60">
        <v>-60</v>
      </c>
      <c r="F22" s="60"/>
      <c r="G22" s="60"/>
      <c r="H22" s="60">
        <f t="shared" si="0"/>
        <v>-5477.2500000000009</v>
      </c>
    </row>
    <row r="23" spans="1:8">
      <c r="A23" s="96">
        <v>44777</v>
      </c>
      <c r="B23" s="102" t="s">
        <v>1444</v>
      </c>
      <c r="C23" s="102"/>
      <c r="D23" s="103"/>
      <c r="E23" s="152"/>
      <c r="F23" s="60"/>
      <c r="G23" s="60">
        <v>-337.65</v>
      </c>
      <c r="H23" s="60">
        <f t="shared" si="0"/>
        <v>-5814.9000000000005</v>
      </c>
    </row>
    <row r="24" spans="1:8">
      <c r="A24" s="96">
        <v>44799</v>
      </c>
      <c r="B24" s="102" t="s">
        <v>1459</v>
      </c>
      <c r="C24" s="102"/>
      <c r="D24" s="103"/>
      <c r="E24" s="152"/>
      <c r="F24" s="60"/>
      <c r="G24" s="60">
        <v>-1500</v>
      </c>
      <c r="H24" s="60">
        <f t="shared" si="0"/>
        <v>-7314.9000000000005</v>
      </c>
    </row>
    <row r="25" spans="1:8">
      <c r="A25" s="96">
        <v>44805</v>
      </c>
      <c r="B25" s="8" t="s">
        <v>69</v>
      </c>
      <c r="D25" s="3"/>
      <c r="E25" s="60">
        <v>-1500</v>
      </c>
      <c r="F25" s="60"/>
      <c r="G25" s="60">
        <v>-2108</v>
      </c>
      <c r="H25" s="60">
        <f t="shared" si="0"/>
        <v>-9422.9000000000015</v>
      </c>
    </row>
    <row r="26" spans="1:8">
      <c r="A26" s="96">
        <v>44805</v>
      </c>
      <c r="B26" s="8" t="s">
        <v>70</v>
      </c>
      <c r="D26" s="3"/>
      <c r="E26" s="60">
        <v>-1500</v>
      </c>
      <c r="F26" s="60"/>
      <c r="G26" s="60">
        <v>-2108</v>
      </c>
      <c r="H26" s="60">
        <f t="shared" si="0"/>
        <v>-11530.900000000001</v>
      </c>
    </row>
    <row r="27" spans="1:8">
      <c r="B27" t="s">
        <v>71</v>
      </c>
      <c r="D27" s="3"/>
      <c r="E27" s="60">
        <v>-1500</v>
      </c>
      <c r="H27" s="60">
        <f t="shared" si="0"/>
        <v>-11530.900000000001</v>
      </c>
    </row>
    <row r="28" spans="1:8">
      <c r="A28" s="96">
        <v>44779</v>
      </c>
      <c r="B28" s="8" t="s">
        <v>1460</v>
      </c>
      <c r="D28" s="3"/>
      <c r="E28" s="3"/>
      <c r="G28" s="60">
        <v>-1038</v>
      </c>
      <c r="H28" s="60">
        <f t="shared" si="0"/>
        <v>-12568.900000000001</v>
      </c>
    </row>
    <row r="29" spans="1:8">
      <c r="B29" t="s">
        <v>1461</v>
      </c>
      <c r="D29" s="3"/>
      <c r="E29" s="3"/>
      <c r="G29" s="60">
        <v>-3000</v>
      </c>
      <c r="H29" s="60">
        <f t="shared" si="0"/>
        <v>-15568.900000000001</v>
      </c>
    </row>
    <row r="30" spans="1:8">
      <c r="A30" s="96">
        <v>44788</v>
      </c>
      <c r="B30" s="8" t="s">
        <v>1462</v>
      </c>
      <c r="D30" s="3"/>
      <c r="E30" s="3"/>
      <c r="G30" s="60">
        <v>-638</v>
      </c>
      <c r="H30" s="60">
        <f t="shared" si="0"/>
        <v>-16206.900000000001</v>
      </c>
    </row>
    <row r="31" spans="1:8">
      <c r="B31" t="s">
        <v>171</v>
      </c>
      <c r="D31" s="3"/>
      <c r="E31" s="3"/>
      <c r="G31" s="60">
        <v>-400</v>
      </c>
      <c r="H31" s="60">
        <f t="shared" si="0"/>
        <v>-16606.900000000001</v>
      </c>
    </row>
    <row r="32" spans="1:8">
      <c r="B32" t="s">
        <v>1463</v>
      </c>
      <c r="D32" s="3"/>
      <c r="E32" s="3"/>
      <c r="G32" s="60">
        <v>-1872.16</v>
      </c>
      <c r="H32" s="60">
        <f t="shared" si="0"/>
        <v>-18479.060000000001</v>
      </c>
    </row>
    <row r="33" spans="1:8">
      <c r="B33" t="s">
        <v>1464</v>
      </c>
      <c r="D33" s="3"/>
      <c r="E33" s="3"/>
      <c r="G33" s="60">
        <v>-3.74</v>
      </c>
      <c r="H33" s="60">
        <f t="shared" si="0"/>
        <v>-18482.800000000003</v>
      </c>
    </row>
    <row r="34" spans="1:8">
      <c r="B34" t="s">
        <v>1465</v>
      </c>
      <c r="D34" s="3"/>
      <c r="E34" s="3"/>
      <c r="G34" s="60">
        <v>-700</v>
      </c>
      <c r="H34" s="60">
        <f t="shared" si="0"/>
        <v>-19182.800000000003</v>
      </c>
    </row>
    <row r="35" spans="1:8">
      <c r="B35" t="s">
        <v>1466</v>
      </c>
      <c r="D35" s="3"/>
      <c r="E35" s="3"/>
      <c r="G35" s="60">
        <v>-380</v>
      </c>
      <c r="H35" s="60">
        <f t="shared" si="0"/>
        <v>-19562.800000000003</v>
      </c>
    </row>
    <row r="36" spans="1:8">
      <c r="B36" t="s">
        <v>1467</v>
      </c>
      <c r="D36" s="3"/>
      <c r="E36" s="3"/>
      <c r="G36" s="60">
        <v>-200</v>
      </c>
      <c r="H36" s="60">
        <f t="shared" ref="H36:H60" si="1">H35+F36+G36</f>
        <v>-19762.800000000003</v>
      </c>
    </row>
    <row r="37" spans="1:8">
      <c r="B37" t="s">
        <v>1468</v>
      </c>
      <c r="D37" s="3"/>
      <c r="E37" s="3"/>
      <c r="G37" s="60">
        <v>-100</v>
      </c>
      <c r="H37" s="60">
        <f t="shared" si="1"/>
        <v>-19862.800000000003</v>
      </c>
    </row>
    <row r="38" spans="1:8">
      <c r="B38" t="s">
        <v>1469</v>
      </c>
      <c r="D38" s="3"/>
      <c r="E38" s="3"/>
      <c r="G38">
        <v>-7000</v>
      </c>
      <c r="H38" s="60">
        <f t="shared" si="1"/>
        <v>-26862.800000000003</v>
      </c>
    </row>
    <row r="39" spans="1:8">
      <c r="D39" s="3"/>
      <c r="E39" s="3"/>
      <c r="H39" s="60">
        <f t="shared" si="1"/>
        <v>-26862.800000000003</v>
      </c>
    </row>
    <row r="40" spans="1:8">
      <c r="A40" s="96">
        <v>44774</v>
      </c>
      <c r="B40" s="8" t="s">
        <v>1470</v>
      </c>
      <c r="C40" s="102"/>
      <c r="D40" s="103"/>
      <c r="E40" s="152"/>
      <c r="F40" s="60"/>
      <c r="G40" s="60"/>
      <c r="H40" s="60">
        <f t="shared" si="1"/>
        <v>-26862.800000000003</v>
      </c>
    </row>
    <row r="41" spans="1:8">
      <c r="A41" s="96">
        <v>44774</v>
      </c>
      <c r="B41" s="8" t="s">
        <v>1471</v>
      </c>
      <c r="C41" s="102"/>
      <c r="D41" s="345"/>
      <c r="E41" s="152"/>
      <c r="F41" s="60">
        <v>20000</v>
      </c>
      <c r="G41" s="60"/>
      <c r="H41" s="60">
        <f t="shared" si="1"/>
        <v>-6862.8000000000029</v>
      </c>
    </row>
    <row r="42" spans="1:8">
      <c r="A42" s="96">
        <v>44778</v>
      </c>
      <c r="B42" s="8" t="s">
        <v>1471</v>
      </c>
      <c r="C42" s="102"/>
      <c r="D42" s="103"/>
      <c r="E42" s="152"/>
      <c r="F42" s="60">
        <v>25000</v>
      </c>
      <c r="G42" s="60"/>
      <c r="H42" s="60">
        <f t="shared" si="1"/>
        <v>18137.199999999997</v>
      </c>
    </row>
    <row r="43" spans="1:8">
      <c r="A43" s="96"/>
      <c r="B43" s="8" t="s">
        <v>1472</v>
      </c>
      <c r="C43" s="102"/>
      <c r="D43" s="103"/>
      <c r="E43" s="152"/>
      <c r="F43" s="60"/>
      <c r="G43" s="60">
        <v>-5365</v>
      </c>
      <c r="H43" s="60">
        <f t="shared" si="1"/>
        <v>12772.199999999997</v>
      </c>
    </row>
    <row r="44" spans="1:8">
      <c r="A44" s="96"/>
      <c r="B44" s="8" t="s">
        <v>1473</v>
      </c>
      <c r="C44" s="102"/>
      <c r="D44" s="103"/>
      <c r="E44" s="152"/>
      <c r="F44" s="60">
        <v>40000</v>
      </c>
      <c r="G44" s="60"/>
      <c r="H44" s="60">
        <f t="shared" si="1"/>
        <v>52772.2</v>
      </c>
    </row>
    <row r="45" spans="1:8">
      <c r="A45" s="96"/>
      <c r="B45" s="8" t="s">
        <v>1474</v>
      </c>
      <c r="C45" s="102"/>
      <c r="D45" s="103"/>
      <c r="E45" s="152"/>
      <c r="F45" s="60"/>
      <c r="G45" s="60"/>
      <c r="H45" s="60">
        <f t="shared" si="1"/>
        <v>52772.2</v>
      </c>
    </row>
    <row r="46" spans="1:8">
      <c r="A46" s="96"/>
      <c r="C46" s="102"/>
      <c r="D46" s="103"/>
      <c r="E46" s="152"/>
      <c r="F46" s="60"/>
      <c r="G46" s="60"/>
      <c r="H46" s="60">
        <f t="shared" si="1"/>
        <v>52772.2</v>
      </c>
    </row>
    <row r="47" spans="1:8">
      <c r="B47" t="s">
        <v>68</v>
      </c>
      <c r="D47" s="60">
        <v>4299.5</v>
      </c>
      <c r="E47" s="3"/>
      <c r="F47" s="60">
        <v>4299.5</v>
      </c>
      <c r="G47" s="60"/>
      <c r="H47" s="60">
        <f t="shared" si="1"/>
        <v>57071.7</v>
      </c>
    </row>
    <row r="48" spans="1:8">
      <c r="B48" t="s">
        <v>663</v>
      </c>
      <c r="D48" s="60">
        <v>1650</v>
      </c>
      <c r="E48" s="3"/>
      <c r="F48" s="60">
        <v>1650</v>
      </c>
      <c r="G48" s="60"/>
      <c r="H48" s="60">
        <f t="shared" si="1"/>
        <v>58721.7</v>
      </c>
    </row>
    <row r="49" spans="1:8">
      <c r="A49" s="96">
        <v>44802</v>
      </c>
      <c r="B49" s="8" t="s">
        <v>1475</v>
      </c>
      <c r="D49" s="60">
        <v>3000</v>
      </c>
      <c r="E49" s="3"/>
      <c r="F49" s="60">
        <v>3000</v>
      </c>
      <c r="G49" s="60"/>
      <c r="H49" s="60">
        <f t="shared" si="1"/>
        <v>61721.7</v>
      </c>
    </row>
    <row r="50" spans="1:8">
      <c r="B50" t="s">
        <v>1430</v>
      </c>
      <c r="D50" s="14">
        <v>20000</v>
      </c>
      <c r="E50" s="3"/>
      <c r="H50" s="60">
        <f t="shared" si="1"/>
        <v>61721.7</v>
      </c>
    </row>
    <row r="51" spans="1:8">
      <c r="H51" s="60">
        <f t="shared" si="1"/>
        <v>61721.7</v>
      </c>
    </row>
    <row r="52" spans="1:8">
      <c r="B52" t="s">
        <v>1242</v>
      </c>
      <c r="D52" s="14">
        <v>4000</v>
      </c>
      <c r="H52" s="60">
        <f t="shared" si="1"/>
        <v>61721.7</v>
      </c>
    </row>
    <row r="53" spans="1:8">
      <c r="H53" s="60">
        <f t="shared" si="1"/>
        <v>61721.7</v>
      </c>
    </row>
    <row r="54" spans="1:8">
      <c r="B54" s="139" t="s">
        <v>1476</v>
      </c>
      <c r="H54" s="60">
        <f t="shared" si="1"/>
        <v>61721.7</v>
      </c>
    </row>
    <row r="55" spans="1:8">
      <c r="B55" s="314" t="s">
        <v>1477</v>
      </c>
      <c r="C55" s="314"/>
      <c r="D55" s="317">
        <v>1000</v>
      </c>
      <c r="E55" s="314"/>
      <c r="F55" s="346">
        <v>1000</v>
      </c>
      <c r="H55" s="60">
        <f t="shared" si="1"/>
        <v>62721.7</v>
      </c>
    </row>
    <row r="56" spans="1:8">
      <c r="A56" s="96">
        <v>44802</v>
      </c>
      <c r="B56" s="347" t="s">
        <v>1478</v>
      </c>
      <c r="C56" s="347" t="s">
        <v>1479</v>
      </c>
      <c r="D56" s="348">
        <v>5000</v>
      </c>
      <c r="E56" s="347"/>
      <c r="F56" s="349">
        <v>5000</v>
      </c>
      <c r="H56" s="60">
        <f t="shared" si="1"/>
        <v>67721.7</v>
      </c>
    </row>
    <row r="57" spans="1:8">
      <c r="B57" s="314" t="s">
        <v>1480</v>
      </c>
      <c r="C57" s="314"/>
      <c r="D57" s="350"/>
      <c r="E57" s="314"/>
      <c r="F57" s="314">
        <v>445.63</v>
      </c>
      <c r="H57" s="60">
        <f t="shared" si="1"/>
        <v>68167.33</v>
      </c>
    </row>
    <row r="58" spans="1:8">
      <c r="H58" s="60">
        <f t="shared" si="1"/>
        <v>68167.33</v>
      </c>
    </row>
    <row r="59" spans="1:8">
      <c r="B59" s="266" t="s">
        <v>1389</v>
      </c>
      <c r="C59" s="266"/>
      <c r="D59" s="342">
        <f>'07'!D55</f>
        <v>4000</v>
      </c>
      <c r="H59" s="60">
        <f t="shared" si="1"/>
        <v>68167.33</v>
      </c>
    </row>
    <row r="60" spans="1:8">
      <c r="B60" s="266" t="s">
        <v>1388</v>
      </c>
      <c r="C60" s="266"/>
      <c r="D60" s="342">
        <v>4000</v>
      </c>
      <c r="H60" s="60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58"/>
  <sheetViews>
    <sheetView topLeftCell="A24" zoomScale="170" zoomScaleNormal="170" workbookViewId="0">
      <selection activeCell="A24" sqref="A24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8">
        <v>2.37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1481</v>
      </c>
      <c r="C2" s="76" t="s">
        <v>59</v>
      </c>
      <c r="D2" s="295">
        <f>SUM(D4:D90)</f>
        <v>27131.070000000003</v>
      </c>
      <c r="E2" s="295">
        <f>SUM(E4:E90)</f>
        <v>-17400.82</v>
      </c>
      <c r="F2" s="295">
        <f>SUM(F4:F87)</f>
        <v>16133.3</v>
      </c>
      <c r="G2" s="295">
        <f>SUM(G4:G87)</f>
        <v>-20600.82</v>
      </c>
      <c r="H2" s="295">
        <f>F2+G2</f>
        <v>-4467.5200000000004</v>
      </c>
    </row>
    <row r="3" spans="1:8">
      <c r="B3" s="15"/>
      <c r="C3" s="3"/>
      <c r="D3" s="3"/>
      <c r="E3" s="60"/>
      <c r="F3" s="60"/>
      <c r="G3" s="60"/>
      <c r="H3" s="60"/>
    </row>
    <row r="4" spans="1:8">
      <c r="H4" s="60">
        <f t="shared" ref="H4:H35" si="0">H3+F4+G4</f>
        <v>0</v>
      </c>
    </row>
    <row r="5" spans="1:8">
      <c r="B5" t="s">
        <v>321</v>
      </c>
      <c r="D5">
        <v>1062.9100000000001</v>
      </c>
      <c r="E5" s="60"/>
      <c r="F5">
        <v>1060</v>
      </c>
      <c r="G5" s="60"/>
      <c r="H5" s="60">
        <f t="shared" si="0"/>
        <v>1060</v>
      </c>
    </row>
    <row r="6" spans="1:8">
      <c r="B6" t="s">
        <v>1453</v>
      </c>
      <c r="D6">
        <v>324.23</v>
      </c>
      <c r="E6" s="60"/>
      <c r="F6">
        <v>325</v>
      </c>
      <c r="G6" s="60"/>
      <c r="H6" s="60">
        <f t="shared" si="0"/>
        <v>1385</v>
      </c>
    </row>
    <row r="7" spans="1:8">
      <c r="H7" s="60">
        <f t="shared" si="0"/>
        <v>1385</v>
      </c>
    </row>
    <row r="8" spans="1:8">
      <c r="B8" t="s">
        <v>325</v>
      </c>
      <c r="D8">
        <v>48.8</v>
      </c>
      <c r="E8" s="60"/>
      <c r="F8" s="60">
        <v>48.8</v>
      </c>
      <c r="G8" s="60"/>
      <c r="H8" s="60">
        <f t="shared" si="0"/>
        <v>1433.8</v>
      </c>
    </row>
    <row r="9" spans="1:8">
      <c r="A9" s="96">
        <v>44755</v>
      </c>
      <c r="B9" s="102" t="s">
        <v>1324</v>
      </c>
      <c r="C9" s="102"/>
      <c r="D9" s="102"/>
      <c r="E9" s="60">
        <v>-1429.2</v>
      </c>
      <c r="F9" s="60"/>
      <c r="G9" s="60">
        <v>-1429.2</v>
      </c>
      <c r="H9" s="60">
        <f t="shared" si="0"/>
        <v>4.5999999999999091</v>
      </c>
    </row>
    <row r="10" spans="1:8">
      <c r="A10" s="96"/>
      <c r="B10" s="102"/>
      <c r="C10" s="102"/>
      <c r="D10" s="102"/>
      <c r="E10" s="60"/>
      <c r="F10" s="60"/>
      <c r="G10" s="60"/>
      <c r="H10" s="60">
        <f t="shared" si="0"/>
        <v>4.5999999999999091</v>
      </c>
    </row>
    <row r="11" spans="1:8">
      <c r="A11" s="96">
        <v>44746</v>
      </c>
      <c r="B11" s="97" t="s">
        <v>1317</v>
      </c>
      <c r="C11" s="97"/>
      <c r="D11" s="97"/>
      <c r="E11" s="60">
        <v>-219</v>
      </c>
      <c r="F11" s="152"/>
      <c r="G11" s="60">
        <v>-219</v>
      </c>
      <c r="H11" s="60">
        <f t="shared" si="0"/>
        <v>-214.40000000000009</v>
      </c>
    </row>
    <row r="12" spans="1:8">
      <c r="A12" s="96">
        <v>44746</v>
      </c>
      <c r="B12" s="97" t="s">
        <v>1318</v>
      </c>
      <c r="C12" s="97"/>
      <c r="D12" s="97"/>
      <c r="E12" s="60">
        <v>-438.6</v>
      </c>
      <c r="F12" s="152"/>
      <c r="G12" s="60">
        <v>-438.6</v>
      </c>
      <c r="H12" s="60">
        <f t="shared" si="0"/>
        <v>-653.00000000000011</v>
      </c>
    </row>
    <row r="13" spans="1:8">
      <c r="A13" s="96"/>
      <c r="B13" s="97"/>
      <c r="C13" s="97"/>
      <c r="D13" s="97"/>
      <c r="E13" s="60"/>
      <c r="F13" s="152"/>
      <c r="G13" s="60"/>
      <c r="H13" s="60">
        <f t="shared" si="0"/>
        <v>-653.00000000000011</v>
      </c>
    </row>
    <row r="14" spans="1:8">
      <c r="A14" s="96">
        <v>44747</v>
      </c>
      <c r="B14" s="97" t="s">
        <v>1482</v>
      </c>
      <c r="C14" s="97"/>
      <c r="D14" s="97"/>
      <c r="E14" s="60"/>
      <c r="F14" s="152"/>
      <c r="G14" s="60">
        <v>-3450</v>
      </c>
      <c r="H14" s="60">
        <f t="shared" si="0"/>
        <v>-4103</v>
      </c>
    </row>
    <row r="15" spans="1:8">
      <c r="A15" s="96">
        <v>44747</v>
      </c>
      <c r="B15" s="8" t="s">
        <v>1483</v>
      </c>
      <c r="F15" s="2">
        <v>3450</v>
      </c>
      <c r="H15" s="60">
        <f t="shared" si="0"/>
        <v>-653</v>
      </c>
    </row>
    <row r="16" spans="1:8">
      <c r="A16" s="96"/>
      <c r="F16" s="2"/>
      <c r="H16" s="60">
        <f t="shared" si="0"/>
        <v>-653</v>
      </c>
    </row>
    <row r="17" spans="1:8">
      <c r="A17" s="96">
        <v>44749</v>
      </c>
      <c r="B17" s="8" t="s">
        <v>1484</v>
      </c>
      <c r="E17" s="60">
        <v>-4.8899999999999997</v>
      </c>
      <c r="F17" s="2"/>
      <c r="G17" s="60">
        <v>-4.8899999999999997</v>
      </c>
      <c r="H17" s="60">
        <f t="shared" si="0"/>
        <v>-657.89</v>
      </c>
    </row>
    <row r="18" spans="1:8">
      <c r="A18" s="96">
        <v>44749</v>
      </c>
      <c r="B18" s="97" t="s">
        <v>1485</v>
      </c>
      <c r="C18" s="97"/>
      <c r="D18" s="97"/>
      <c r="E18" s="60">
        <v>-4300</v>
      </c>
      <c r="F18" s="152"/>
      <c r="G18" s="60">
        <v>-4300</v>
      </c>
      <c r="H18" s="60">
        <f t="shared" si="0"/>
        <v>-4957.8900000000003</v>
      </c>
    </row>
    <row r="19" spans="1:8">
      <c r="A19" s="96">
        <v>44749</v>
      </c>
      <c r="B19" s="97" t="s">
        <v>1486</v>
      </c>
      <c r="C19" s="97"/>
      <c r="D19" s="97"/>
      <c r="E19" s="60">
        <v>-396.5</v>
      </c>
      <c r="F19" s="152"/>
      <c r="G19" s="60">
        <v>-396.5</v>
      </c>
      <c r="H19" s="60">
        <f t="shared" si="0"/>
        <v>-5354.39</v>
      </c>
    </row>
    <row r="20" spans="1:8">
      <c r="B20" s="102"/>
      <c r="C20" s="102"/>
      <c r="D20" s="102"/>
      <c r="E20" s="60"/>
      <c r="F20" s="60"/>
      <c r="G20" s="60"/>
      <c r="H20" s="60">
        <f t="shared" si="0"/>
        <v>-5354.39</v>
      </c>
    </row>
    <row r="21" spans="1:8">
      <c r="B21" s="102" t="s">
        <v>1424</v>
      </c>
      <c r="C21" s="102"/>
      <c r="D21" s="102"/>
      <c r="E21" s="152">
        <v>-200</v>
      </c>
      <c r="F21" s="60"/>
      <c r="G21" s="60"/>
      <c r="H21" s="60">
        <f t="shared" si="0"/>
        <v>-5354.39</v>
      </c>
    </row>
    <row r="22" spans="1:8">
      <c r="B22" s="102" t="s">
        <v>1437</v>
      </c>
      <c r="C22" s="102"/>
      <c r="D22" s="102"/>
      <c r="E22" s="152">
        <v>-50</v>
      </c>
      <c r="F22" s="60"/>
      <c r="G22" s="60"/>
      <c r="H22" s="60">
        <f t="shared" si="0"/>
        <v>-5354.39</v>
      </c>
    </row>
    <row r="23" spans="1:8">
      <c r="B23" s="102"/>
      <c r="C23" s="102"/>
      <c r="D23" s="102"/>
      <c r="E23" s="60"/>
      <c r="F23" s="60"/>
      <c r="G23" s="60"/>
      <c r="H23" s="60">
        <f t="shared" si="0"/>
        <v>-5354.39</v>
      </c>
    </row>
    <row r="24" spans="1:8">
      <c r="B24" s="102" t="s">
        <v>1487</v>
      </c>
      <c r="C24" s="102"/>
      <c r="D24" s="102"/>
      <c r="E24" s="60">
        <v>-177.65</v>
      </c>
      <c r="F24" s="60"/>
      <c r="G24" s="60"/>
      <c r="H24" s="60">
        <f t="shared" si="0"/>
        <v>-5354.39</v>
      </c>
    </row>
    <row r="25" spans="1:8">
      <c r="B25" s="102" t="s">
        <v>1488</v>
      </c>
      <c r="C25" s="102"/>
      <c r="D25" s="102"/>
      <c r="E25" s="60">
        <v>-300</v>
      </c>
      <c r="F25" s="60"/>
      <c r="G25" s="60"/>
      <c r="H25" s="60">
        <f t="shared" si="0"/>
        <v>-5354.39</v>
      </c>
    </row>
    <row r="26" spans="1:8">
      <c r="B26" s="102" t="s">
        <v>1214</v>
      </c>
      <c r="C26" s="102"/>
      <c r="D26" s="102"/>
      <c r="E26" s="60">
        <v>-31.99</v>
      </c>
      <c r="F26" s="60"/>
      <c r="G26" s="60"/>
      <c r="H26" s="60">
        <f t="shared" si="0"/>
        <v>-5354.39</v>
      </c>
    </row>
    <row r="27" spans="1:8">
      <c r="B27" s="102" t="s">
        <v>1489</v>
      </c>
      <c r="C27" s="102"/>
      <c r="D27" s="102"/>
      <c r="E27" s="60">
        <v>-100</v>
      </c>
      <c r="F27" s="60"/>
      <c r="G27" s="60"/>
      <c r="H27" s="60">
        <f t="shared" si="0"/>
        <v>-5354.39</v>
      </c>
    </row>
    <row r="28" spans="1:8">
      <c r="B28" s="102" t="s">
        <v>1490</v>
      </c>
      <c r="C28" s="102"/>
      <c r="D28" s="102"/>
      <c r="E28" s="60">
        <v>-344.2</v>
      </c>
      <c r="F28" s="60"/>
      <c r="G28" s="60"/>
      <c r="H28" s="60">
        <f t="shared" si="0"/>
        <v>-5354.39</v>
      </c>
    </row>
    <row r="29" spans="1:8">
      <c r="B29" s="102" t="s">
        <v>1491</v>
      </c>
      <c r="C29" s="102"/>
      <c r="D29" s="102"/>
      <c r="E29" s="60">
        <v>-400</v>
      </c>
      <c r="F29" s="60"/>
      <c r="G29" s="60"/>
      <c r="H29" s="60">
        <f t="shared" si="0"/>
        <v>-5354.39</v>
      </c>
    </row>
    <row r="30" spans="1:8">
      <c r="B30" s="102" t="s">
        <v>1492</v>
      </c>
      <c r="C30" s="102"/>
      <c r="D30" s="102"/>
      <c r="E30" s="60">
        <v>-256.89</v>
      </c>
      <c r="F30" s="60"/>
      <c r="G30" s="60"/>
      <c r="H30" s="60">
        <f t="shared" si="0"/>
        <v>-5354.39</v>
      </c>
    </row>
    <row r="31" spans="1:8">
      <c r="B31" s="102" t="s">
        <v>1493</v>
      </c>
      <c r="C31" s="102"/>
      <c r="D31" s="102"/>
      <c r="E31" s="60">
        <v>-400</v>
      </c>
      <c r="F31" s="60"/>
      <c r="G31" s="60"/>
      <c r="H31" s="60">
        <f t="shared" si="0"/>
        <v>-5354.39</v>
      </c>
    </row>
    <row r="32" spans="1:8">
      <c r="B32" s="102" t="s">
        <v>1494</v>
      </c>
      <c r="C32" s="102"/>
      <c r="D32" s="102"/>
      <c r="E32" s="60">
        <v>-529.9</v>
      </c>
      <c r="F32" s="60"/>
      <c r="G32" s="60"/>
      <c r="H32" s="60">
        <f t="shared" si="0"/>
        <v>-5354.39</v>
      </c>
    </row>
    <row r="33" spans="1:8">
      <c r="B33" s="102" t="s">
        <v>1218</v>
      </c>
      <c r="C33" s="102"/>
      <c r="D33" s="102"/>
      <c r="E33" s="60">
        <v>-70</v>
      </c>
      <c r="F33" s="60"/>
      <c r="G33" s="60"/>
      <c r="H33" s="60">
        <f t="shared" si="0"/>
        <v>-5354.39</v>
      </c>
    </row>
    <row r="34" spans="1:8">
      <c r="A34" s="96">
        <v>44747</v>
      </c>
      <c r="B34" s="102" t="s">
        <v>1444</v>
      </c>
      <c r="C34" s="102"/>
      <c r="D34" s="102"/>
      <c r="E34" s="152"/>
      <c r="F34" s="60"/>
      <c r="G34" s="60">
        <v>-2610.63</v>
      </c>
      <c r="H34" s="60">
        <f t="shared" si="0"/>
        <v>-7965.02</v>
      </c>
    </row>
    <row r="35" spans="1:8">
      <c r="B35" s="102" t="s">
        <v>1495</v>
      </c>
      <c r="C35" s="102"/>
      <c r="D35" s="345">
        <v>200</v>
      </c>
      <c r="E35" s="60"/>
      <c r="F35" s="60">
        <v>200</v>
      </c>
      <c r="G35" s="60"/>
      <c r="H35" s="60">
        <f t="shared" si="0"/>
        <v>-7765.02</v>
      </c>
    </row>
    <row r="36" spans="1:8">
      <c r="B36" t="s">
        <v>69</v>
      </c>
      <c r="E36" s="60">
        <v>-2107</v>
      </c>
      <c r="F36" s="60"/>
      <c r="G36" s="60">
        <v>-2107</v>
      </c>
      <c r="H36" s="60">
        <f t="shared" ref="H36:H55" si="1">H35+F36+G36</f>
        <v>-9872.02</v>
      </c>
    </row>
    <row r="37" spans="1:8">
      <c r="B37" t="s">
        <v>1066</v>
      </c>
      <c r="E37" s="60">
        <v>-500</v>
      </c>
      <c r="F37" s="60"/>
      <c r="G37" s="60">
        <v>-500</v>
      </c>
      <c r="H37" s="60">
        <f t="shared" si="1"/>
        <v>-10372.02</v>
      </c>
    </row>
    <row r="38" spans="1:8">
      <c r="B38" t="s">
        <v>70</v>
      </c>
      <c r="E38" s="60">
        <v>-2107</v>
      </c>
      <c r="F38" s="60"/>
      <c r="G38" s="60">
        <v>-2107</v>
      </c>
      <c r="H38" s="60">
        <f t="shared" si="1"/>
        <v>-12479.02</v>
      </c>
    </row>
    <row r="39" spans="1:8">
      <c r="B39" t="s">
        <v>1065</v>
      </c>
      <c r="E39" s="60">
        <v>-500</v>
      </c>
      <c r="F39" s="60"/>
      <c r="G39" s="60">
        <v>-500</v>
      </c>
      <c r="H39" s="60">
        <f t="shared" si="1"/>
        <v>-12979.02</v>
      </c>
    </row>
    <row r="40" spans="1:8">
      <c r="B40" t="s">
        <v>71</v>
      </c>
      <c r="E40" s="60">
        <v>-1500</v>
      </c>
      <c r="G40" s="60">
        <v>-1500</v>
      </c>
      <c r="H40" s="60">
        <f t="shared" si="1"/>
        <v>-14479.02</v>
      </c>
    </row>
    <row r="41" spans="1:8">
      <c r="A41" s="96">
        <v>44764</v>
      </c>
      <c r="B41" s="8" t="s">
        <v>1496</v>
      </c>
      <c r="C41" s="8" t="s">
        <v>1479</v>
      </c>
      <c r="E41" s="60">
        <v>-1038</v>
      </c>
      <c r="G41" s="60">
        <v>-1038</v>
      </c>
      <c r="H41" s="60">
        <f t="shared" si="1"/>
        <v>-15517.02</v>
      </c>
    </row>
    <row r="42" spans="1:8">
      <c r="B42" s="102"/>
      <c r="C42" s="102"/>
      <c r="D42" s="102"/>
      <c r="E42" s="60"/>
      <c r="F42" s="60"/>
      <c r="G42" s="60"/>
      <c r="H42" s="60">
        <f t="shared" si="1"/>
        <v>-15517.02</v>
      </c>
    </row>
    <row r="43" spans="1:8">
      <c r="B43" s="102" t="s">
        <v>1497</v>
      </c>
      <c r="C43" s="102"/>
      <c r="D43" s="345">
        <v>1100</v>
      </c>
      <c r="E43" s="60"/>
      <c r="F43" s="60">
        <v>1100</v>
      </c>
      <c r="G43" s="60"/>
      <c r="H43" s="60">
        <f t="shared" si="1"/>
        <v>-14417.02</v>
      </c>
    </row>
    <row r="44" spans="1:8">
      <c r="B44" t="s">
        <v>68</v>
      </c>
      <c r="D44" s="152">
        <v>4299.5</v>
      </c>
      <c r="F44" s="60">
        <v>4299.5</v>
      </c>
      <c r="G44" s="60"/>
      <c r="H44" s="60">
        <f t="shared" si="1"/>
        <v>-10117.52</v>
      </c>
    </row>
    <row r="45" spans="1:8">
      <c r="B45" t="s">
        <v>1498</v>
      </c>
      <c r="D45" s="60">
        <v>1650</v>
      </c>
      <c r="F45" s="60">
        <v>1650</v>
      </c>
      <c r="G45" s="60"/>
      <c r="H45" s="60">
        <f t="shared" si="1"/>
        <v>-8467.52</v>
      </c>
    </row>
    <row r="46" spans="1:8">
      <c r="D46" s="152"/>
      <c r="F46" s="60"/>
      <c r="G46" s="60"/>
      <c r="H46" s="60">
        <f t="shared" si="1"/>
        <v>-8467.52</v>
      </c>
    </row>
    <row r="47" spans="1:8">
      <c r="A47" s="351">
        <v>44747</v>
      </c>
      <c r="B47" s="347" t="s">
        <v>1499</v>
      </c>
      <c r="C47" s="347"/>
      <c r="D47" s="348">
        <v>4000</v>
      </c>
      <c r="E47" s="347"/>
      <c r="F47" s="349">
        <v>4000</v>
      </c>
      <c r="G47" s="60"/>
      <c r="H47" s="60">
        <f t="shared" si="1"/>
        <v>-4467.5200000000004</v>
      </c>
    </row>
    <row r="48" spans="1:8">
      <c r="A48" s="96"/>
      <c r="B48" s="343" t="s">
        <v>1477</v>
      </c>
      <c r="C48" s="343"/>
      <c r="D48" s="352">
        <v>1000</v>
      </c>
      <c r="E48" s="343"/>
      <c r="F48" s="353"/>
      <c r="G48" s="354"/>
      <c r="H48" s="60">
        <f t="shared" si="1"/>
        <v>-4467.5200000000004</v>
      </c>
    </row>
    <row r="49" spans="1:8">
      <c r="B49" t="s">
        <v>1500</v>
      </c>
      <c r="D49" s="152">
        <v>5000</v>
      </c>
      <c r="E49" s="60"/>
      <c r="F49" s="60"/>
      <c r="G49" s="60"/>
      <c r="H49" s="60">
        <f t="shared" si="1"/>
        <v>-4467.5200000000004</v>
      </c>
    </row>
    <row r="50" spans="1:8">
      <c r="B50" t="s">
        <v>1388</v>
      </c>
      <c r="D50" s="14">
        <v>4000</v>
      </c>
      <c r="E50" s="60"/>
      <c r="F50" s="60"/>
      <c r="G50" s="60"/>
      <c r="H50" s="60">
        <f t="shared" si="1"/>
        <v>-4467.5200000000004</v>
      </c>
    </row>
    <row r="51" spans="1:8">
      <c r="D51" s="152"/>
      <c r="E51" s="60"/>
      <c r="F51" s="60"/>
      <c r="G51" s="60"/>
      <c r="H51" s="60">
        <f t="shared" si="1"/>
        <v>-4467.5200000000004</v>
      </c>
    </row>
    <row r="52" spans="1:8">
      <c r="D52" s="152"/>
      <c r="E52" s="60"/>
      <c r="F52" s="60"/>
      <c r="G52" s="60"/>
      <c r="H52" s="60">
        <f t="shared" si="1"/>
        <v>-4467.5200000000004</v>
      </c>
    </row>
    <row r="53" spans="1:8">
      <c r="D53" s="152"/>
      <c r="E53" s="60"/>
      <c r="F53" s="60"/>
      <c r="G53" s="60"/>
      <c r="H53" s="60">
        <f t="shared" si="1"/>
        <v>-4467.5200000000004</v>
      </c>
    </row>
    <row r="54" spans="1:8">
      <c r="A54" s="355"/>
      <c r="B54" s="355" t="s">
        <v>1501</v>
      </c>
      <c r="C54" s="355"/>
      <c r="D54" s="356">
        <v>445.63</v>
      </c>
      <c r="E54" s="357"/>
      <c r="F54" s="355"/>
      <c r="G54" s="357"/>
      <c r="H54" s="60">
        <f t="shared" si="1"/>
        <v>-4467.5200000000004</v>
      </c>
    </row>
    <row r="55" spans="1:8">
      <c r="B55" s="355" t="s">
        <v>1389</v>
      </c>
      <c r="C55" s="355"/>
      <c r="D55" s="344">
        <v>4000</v>
      </c>
      <c r="E55" s="343"/>
      <c r="F55" s="343"/>
      <c r="G55" s="343"/>
      <c r="H55" s="60">
        <f t="shared" si="1"/>
        <v>-4467.5200000000004</v>
      </c>
    </row>
    <row r="58" spans="1:8">
      <c r="H58" s="6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E6A39"/>
  </sheetPr>
  <dimension ref="A1:H47"/>
  <sheetViews>
    <sheetView topLeftCell="A17" zoomScale="170" zoomScaleNormal="170" workbookViewId="0">
      <selection activeCell="A16" sqref="A16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8">
        <v>4.95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1502</v>
      </c>
      <c r="C2" s="76" t="s">
        <v>59</v>
      </c>
      <c r="D2" s="295">
        <f>SUM(D4:D44)</f>
        <v>17837.05</v>
      </c>
      <c r="E2" s="295">
        <f>SUM(E4:E80)</f>
        <v>-28058.100000000002</v>
      </c>
      <c r="F2" s="295">
        <f>SUM(F4:F77)</f>
        <v>16654.189999999999</v>
      </c>
      <c r="G2" s="295">
        <f>SUM(G4:G77)</f>
        <v>-28058.1</v>
      </c>
      <c r="H2" s="295">
        <f>F2+G2</f>
        <v>-11403.91</v>
      </c>
    </row>
    <row r="3" spans="1:8">
      <c r="B3" s="15"/>
      <c r="H3" s="60"/>
    </row>
    <row r="4" spans="1:8">
      <c r="B4" s="3"/>
      <c r="C4" s="3"/>
      <c r="D4" s="3"/>
      <c r="E4" s="60"/>
      <c r="F4" s="60"/>
      <c r="G4" s="60"/>
      <c r="H4" s="60">
        <f t="shared" ref="H4:H47" si="0">H3+F4+G4</f>
        <v>0</v>
      </c>
    </row>
    <row r="5" spans="1:8">
      <c r="A5" s="355"/>
      <c r="B5" s="358" t="s">
        <v>1503</v>
      </c>
      <c r="C5" s="358"/>
      <c r="D5" s="358">
        <v>182.86</v>
      </c>
      <c r="E5" s="359"/>
      <c r="F5" s="359"/>
      <c r="G5" s="359"/>
      <c r="H5" s="60">
        <f t="shared" si="0"/>
        <v>0</v>
      </c>
    </row>
    <row r="6" spans="1:8">
      <c r="B6" t="s">
        <v>321</v>
      </c>
      <c r="D6">
        <v>996.77</v>
      </c>
      <c r="E6" s="60"/>
      <c r="F6" s="60">
        <v>996.77</v>
      </c>
      <c r="G6" s="60"/>
      <c r="H6" s="60">
        <f t="shared" si="0"/>
        <v>996.77</v>
      </c>
    </row>
    <row r="7" spans="1:8">
      <c r="B7" t="s">
        <v>1453</v>
      </c>
      <c r="D7">
        <v>249.02</v>
      </c>
      <c r="E7" s="60"/>
      <c r="F7" s="60">
        <v>249.02</v>
      </c>
      <c r="G7" s="60"/>
      <c r="H7" s="60">
        <f t="shared" si="0"/>
        <v>1245.79</v>
      </c>
    </row>
    <row r="8" spans="1:8">
      <c r="B8" t="s">
        <v>325</v>
      </c>
      <c r="D8">
        <v>140.4</v>
      </c>
      <c r="E8" s="60"/>
      <c r="F8" s="60">
        <v>140.4</v>
      </c>
      <c r="G8" s="60"/>
      <c r="H8" s="60">
        <f t="shared" si="0"/>
        <v>1386.19</v>
      </c>
    </row>
    <row r="9" spans="1:8">
      <c r="B9" s="360" t="s">
        <v>1324</v>
      </c>
      <c r="C9" s="360"/>
      <c r="D9" s="360"/>
      <c r="E9" s="361">
        <v>-1317.2</v>
      </c>
      <c r="F9" s="361"/>
      <c r="G9" s="361">
        <v>-1317.2</v>
      </c>
      <c r="H9" s="60">
        <f t="shared" si="0"/>
        <v>68.990000000000009</v>
      </c>
    </row>
    <row r="10" spans="1:8">
      <c r="B10" s="102"/>
      <c r="C10" s="102"/>
      <c r="D10" s="102"/>
      <c r="E10" s="60"/>
      <c r="F10" s="60"/>
      <c r="G10" s="60"/>
      <c r="H10" s="60">
        <f t="shared" si="0"/>
        <v>68.990000000000009</v>
      </c>
    </row>
    <row r="11" spans="1:8">
      <c r="A11" s="96">
        <v>44718</v>
      </c>
      <c r="B11" s="97" t="s">
        <v>1317</v>
      </c>
      <c r="C11" s="97"/>
      <c r="D11" s="97"/>
      <c r="E11" s="60">
        <v>-200.1</v>
      </c>
      <c r="F11" s="152"/>
      <c r="G11" s="60">
        <v>-200.1</v>
      </c>
      <c r="H11" s="60">
        <f t="shared" si="0"/>
        <v>-131.10999999999999</v>
      </c>
    </row>
    <row r="12" spans="1:8">
      <c r="A12" s="96">
        <v>44718</v>
      </c>
      <c r="B12" s="97" t="s">
        <v>1318</v>
      </c>
      <c r="C12" s="97"/>
      <c r="D12" s="97"/>
      <c r="E12" s="60">
        <v>-395.4</v>
      </c>
      <c r="F12" s="152"/>
      <c r="G12" s="60">
        <v>-395.4</v>
      </c>
      <c r="H12" s="60">
        <f t="shared" si="0"/>
        <v>-526.51</v>
      </c>
    </row>
    <row r="13" spans="1:8">
      <c r="A13" s="96"/>
      <c r="B13" s="97"/>
      <c r="C13" s="97"/>
      <c r="D13" s="97"/>
      <c r="E13" s="152"/>
      <c r="F13" s="152"/>
      <c r="G13" s="60"/>
      <c r="H13" s="60">
        <f t="shared" si="0"/>
        <v>-526.51</v>
      </c>
    </row>
    <row r="14" spans="1:8">
      <c r="A14" s="96">
        <v>44719</v>
      </c>
      <c r="B14" s="97" t="s">
        <v>1504</v>
      </c>
      <c r="C14" s="97"/>
      <c r="D14" s="97"/>
      <c r="E14" s="152"/>
      <c r="F14" s="152"/>
      <c r="G14" s="60"/>
      <c r="H14" s="60">
        <f t="shared" si="0"/>
        <v>-526.51</v>
      </c>
    </row>
    <row r="15" spans="1:8">
      <c r="B15" t="s">
        <v>1505</v>
      </c>
      <c r="C15" t="s">
        <v>1479</v>
      </c>
      <c r="E15" s="60">
        <v>-4820</v>
      </c>
      <c r="F15" s="60"/>
      <c r="G15" s="60">
        <v>-4820</v>
      </c>
      <c r="H15" s="60">
        <f t="shared" si="0"/>
        <v>-5346.51</v>
      </c>
    </row>
    <row r="16" spans="1:8">
      <c r="B16" t="s">
        <v>1506</v>
      </c>
      <c r="C16" t="s">
        <v>1507</v>
      </c>
      <c r="E16" s="60">
        <v>-250</v>
      </c>
      <c r="F16" s="60"/>
      <c r="G16" s="60">
        <v>-250</v>
      </c>
      <c r="H16" s="60">
        <f t="shared" si="0"/>
        <v>-5596.51</v>
      </c>
    </row>
    <row r="17" spans="1:8">
      <c r="F17" s="60"/>
      <c r="G17" s="60"/>
      <c r="H17" s="60">
        <f t="shared" si="0"/>
        <v>-5596.51</v>
      </c>
    </row>
    <row r="18" spans="1:8">
      <c r="B18" t="s">
        <v>1508</v>
      </c>
      <c r="E18" s="60"/>
      <c r="F18" s="60"/>
      <c r="G18" s="60"/>
      <c r="H18" s="60">
        <f t="shared" si="0"/>
        <v>-5596.51</v>
      </c>
    </row>
    <row r="19" spans="1:8">
      <c r="B19" t="s">
        <v>1509</v>
      </c>
      <c r="E19" s="60"/>
      <c r="F19" s="60"/>
      <c r="G19" s="60"/>
      <c r="H19" s="60">
        <f t="shared" si="0"/>
        <v>-5596.51</v>
      </c>
    </row>
    <row r="20" spans="1:8">
      <c r="B20" t="s">
        <v>1510</v>
      </c>
      <c r="E20" s="60"/>
      <c r="F20" s="60"/>
      <c r="G20" s="60"/>
      <c r="H20" s="60">
        <f t="shared" si="0"/>
        <v>-5596.51</v>
      </c>
    </row>
    <row r="21" spans="1:8">
      <c r="B21" t="s">
        <v>1511</v>
      </c>
      <c r="C21" t="s">
        <v>1479</v>
      </c>
      <c r="E21" s="60">
        <v>-12800</v>
      </c>
      <c r="F21" s="60"/>
      <c r="G21" s="60">
        <v>-12800</v>
      </c>
      <c r="H21" s="60">
        <f t="shared" si="0"/>
        <v>-18396.510000000002</v>
      </c>
    </row>
    <row r="22" spans="1:8">
      <c r="B22" t="s">
        <v>1512</v>
      </c>
      <c r="E22" s="60">
        <v>-421.5</v>
      </c>
      <c r="F22" s="60"/>
      <c r="G22" s="60">
        <v>-421.5</v>
      </c>
      <c r="H22" s="60">
        <f t="shared" si="0"/>
        <v>-18818.010000000002</v>
      </c>
    </row>
    <row r="23" spans="1:8">
      <c r="A23" s="96"/>
      <c r="B23" s="97"/>
      <c r="C23" s="97"/>
      <c r="D23" s="97"/>
      <c r="E23" s="152"/>
      <c r="F23" s="152"/>
      <c r="G23" s="60"/>
      <c r="H23" s="60">
        <f t="shared" si="0"/>
        <v>-18818.010000000002</v>
      </c>
    </row>
    <row r="24" spans="1:8">
      <c r="B24" s="362" t="s">
        <v>1513</v>
      </c>
      <c r="C24" s="362"/>
      <c r="D24" s="362"/>
      <c r="E24" s="363">
        <v>-177.65</v>
      </c>
      <c r="F24" s="363"/>
      <c r="G24" s="363"/>
      <c r="H24" s="60">
        <f t="shared" si="0"/>
        <v>-18818.010000000002</v>
      </c>
    </row>
    <row r="25" spans="1:8">
      <c r="B25" s="102" t="s">
        <v>1492</v>
      </c>
      <c r="C25" s="102"/>
      <c r="D25" s="102"/>
      <c r="E25" s="60">
        <v>-389.06</v>
      </c>
      <c r="F25" s="60"/>
      <c r="G25" s="60"/>
      <c r="H25" s="60">
        <f t="shared" si="0"/>
        <v>-18818.010000000002</v>
      </c>
    </row>
    <row r="26" spans="1:8">
      <c r="B26" s="102" t="s">
        <v>1514</v>
      </c>
      <c r="C26" s="102"/>
      <c r="D26" s="102"/>
      <c r="E26" s="60">
        <v>-200</v>
      </c>
      <c r="F26" s="60"/>
      <c r="G26" s="60"/>
      <c r="H26" s="60">
        <f t="shared" si="0"/>
        <v>-18818.010000000002</v>
      </c>
    </row>
    <row r="27" spans="1:8">
      <c r="B27" s="102" t="s">
        <v>1515</v>
      </c>
      <c r="C27" s="102"/>
      <c r="D27" s="102"/>
      <c r="E27" s="60">
        <v>-225</v>
      </c>
      <c r="F27" s="60"/>
      <c r="G27" s="60"/>
      <c r="H27" s="60">
        <f t="shared" si="0"/>
        <v>-18818.010000000002</v>
      </c>
    </row>
    <row r="28" spans="1:8">
      <c r="B28" s="102" t="s">
        <v>1516</v>
      </c>
      <c r="C28" s="102"/>
      <c r="D28" s="102"/>
      <c r="E28" s="60">
        <v>-300</v>
      </c>
      <c r="F28" s="60"/>
      <c r="G28" s="60"/>
      <c r="H28" s="60">
        <f t="shared" si="0"/>
        <v>-18818.010000000002</v>
      </c>
    </row>
    <row r="29" spans="1:8">
      <c r="B29" s="102" t="s">
        <v>1517</v>
      </c>
      <c r="C29" s="102"/>
      <c r="D29" s="102"/>
      <c r="E29" s="60">
        <v>-200</v>
      </c>
      <c r="F29" s="60"/>
      <c r="G29" s="60"/>
      <c r="H29" s="60">
        <f t="shared" si="0"/>
        <v>-18818.010000000002</v>
      </c>
    </row>
    <row r="30" spans="1:8">
      <c r="B30" s="102" t="s">
        <v>1049</v>
      </c>
      <c r="C30" s="102"/>
      <c r="D30" s="102"/>
      <c r="E30" s="60">
        <v>-70</v>
      </c>
      <c r="F30" s="60"/>
      <c r="G30" s="60"/>
      <c r="H30" s="60">
        <f t="shared" si="0"/>
        <v>-18818.010000000002</v>
      </c>
    </row>
    <row r="31" spans="1:8">
      <c r="A31" s="96">
        <v>44718</v>
      </c>
      <c r="B31" s="360" t="s">
        <v>1444</v>
      </c>
      <c r="C31" s="360"/>
      <c r="D31" s="360"/>
      <c r="E31" s="364"/>
      <c r="F31" s="361"/>
      <c r="G31" s="361">
        <v>-1561.71</v>
      </c>
      <c r="H31" s="60">
        <f t="shared" si="0"/>
        <v>-20379.72</v>
      </c>
    </row>
    <row r="32" spans="1:8">
      <c r="A32" s="96"/>
      <c r="B32" s="102"/>
      <c r="C32" s="102"/>
      <c r="D32" s="102"/>
      <c r="E32" s="152"/>
      <c r="F32" s="60"/>
      <c r="G32" s="60"/>
      <c r="H32" s="60">
        <f t="shared" si="0"/>
        <v>-20379.72</v>
      </c>
    </row>
    <row r="33" spans="1:8">
      <c r="A33" s="96">
        <v>44728</v>
      </c>
      <c r="B33" s="102" t="s">
        <v>1518</v>
      </c>
      <c r="C33" s="102"/>
      <c r="D33" s="102"/>
      <c r="E33" s="60">
        <v>-99.5</v>
      </c>
      <c r="F33" s="60"/>
      <c r="G33" s="60">
        <v>-130.72999999999999</v>
      </c>
      <c r="H33" s="60">
        <f t="shared" si="0"/>
        <v>-20510.45</v>
      </c>
    </row>
    <row r="34" spans="1:8">
      <c r="A34" s="96">
        <v>44729</v>
      </c>
      <c r="B34" s="102" t="s">
        <v>1424</v>
      </c>
      <c r="C34" s="102"/>
      <c r="D34" s="102"/>
      <c r="E34" s="60">
        <v>-49.96</v>
      </c>
      <c r="F34" s="60"/>
      <c r="G34" s="60">
        <v>-49.96</v>
      </c>
      <c r="H34" s="60">
        <f t="shared" si="0"/>
        <v>-20560.41</v>
      </c>
    </row>
    <row r="35" spans="1:8">
      <c r="A35" s="96">
        <v>44728</v>
      </c>
      <c r="B35" s="102" t="s">
        <v>1437</v>
      </c>
      <c r="C35" s="102"/>
      <c r="D35" s="102"/>
      <c r="E35" s="60">
        <v>-130.72999999999999</v>
      </c>
      <c r="F35" s="60"/>
      <c r="G35" s="60">
        <v>-99.5</v>
      </c>
      <c r="H35" s="60">
        <f t="shared" si="0"/>
        <v>-20659.91</v>
      </c>
    </row>
    <row r="36" spans="1:8">
      <c r="B36" s="102"/>
      <c r="C36" s="102"/>
      <c r="D36" s="102"/>
      <c r="E36" s="60"/>
      <c r="F36" s="60"/>
      <c r="G36" s="60"/>
      <c r="H36" s="60">
        <f t="shared" si="0"/>
        <v>-20659.91</v>
      </c>
    </row>
    <row r="37" spans="1:8">
      <c r="A37" s="96">
        <v>44739</v>
      </c>
      <c r="B37" s="8" t="s">
        <v>69</v>
      </c>
      <c r="E37" s="60">
        <v>-1506</v>
      </c>
      <c r="F37" s="60"/>
      <c r="G37" s="60">
        <v>-1506</v>
      </c>
      <c r="H37" s="60">
        <f t="shared" si="0"/>
        <v>-22165.91</v>
      </c>
    </row>
    <row r="38" spans="1:8">
      <c r="A38" s="96">
        <v>44739</v>
      </c>
      <c r="B38" s="8" t="s">
        <v>70</v>
      </c>
      <c r="E38" s="60">
        <v>-1506</v>
      </c>
      <c r="F38" s="60"/>
      <c r="G38" s="60">
        <v>-1506</v>
      </c>
      <c r="H38" s="60">
        <f t="shared" si="0"/>
        <v>-23671.91</v>
      </c>
    </row>
    <row r="39" spans="1:8">
      <c r="B39" t="s">
        <v>1519</v>
      </c>
      <c r="E39" s="60">
        <v>-3000</v>
      </c>
      <c r="G39" s="60">
        <v>-3000</v>
      </c>
      <c r="H39" s="60">
        <f t="shared" si="0"/>
        <v>-26671.91</v>
      </c>
    </row>
    <row r="40" spans="1:8">
      <c r="B40" s="102"/>
      <c r="C40" s="102"/>
      <c r="D40" s="102"/>
      <c r="E40" s="60"/>
      <c r="F40" s="60"/>
      <c r="G40" s="60"/>
      <c r="H40" s="60">
        <f t="shared" si="0"/>
        <v>-26671.91</v>
      </c>
    </row>
    <row r="41" spans="1:8">
      <c r="A41" s="96">
        <v>44739</v>
      </c>
      <c r="B41" s="8" t="s">
        <v>68</v>
      </c>
      <c r="D41" s="60">
        <v>3020.37</v>
      </c>
      <c r="E41" s="60"/>
      <c r="F41" s="60">
        <v>3020.37</v>
      </c>
      <c r="G41" s="60"/>
      <c r="H41" s="60">
        <f t="shared" si="0"/>
        <v>-23651.54</v>
      </c>
    </row>
    <row r="42" spans="1:8">
      <c r="A42" s="96">
        <v>44742</v>
      </c>
      <c r="B42" s="8" t="s">
        <v>1520</v>
      </c>
      <c r="D42" s="60">
        <v>1650</v>
      </c>
      <c r="F42" s="60">
        <v>1650</v>
      </c>
      <c r="G42" s="60"/>
      <c r="H42" s="60">
        <f t="shared" si="0"/>
        <v>-22001.54</v>
      </c>
    </row>
    <row r="43" spans="1:8">
      <c r="A43" s="355"/>
      <c r="B43" s="355" t="s">
        <v>1521</v>
      </c>
      <c r="C43" s="355"/>
      <c r="D43" s="357">
        <v>5000</v>
      </c>
      <c r="E43" s="357"/>
      <c r="F43" s="357"/>
      <c r="G43" s="357"/>
      <c r="H43" s="60">
        <f t="shared" si="0"/>
        <v>-22001.54</v>
      </c>
    </row>
    <row r="44" spans="1:8">
      <c r="A44">
        <v>2022</v>
      </c>
      <c r="B44" t="s">
        <v>1522</v>
      </c>
      <c r="D44" s="2">
        <v>6597.63</v>
      </c>
      <c r="F44" s="2">
        <v>6597.63</v>
      </c>
      <c r="H44" s="60">
        <f t="shared" si="0"/>
        <v>-15403.91</v>
      </c>
    </row>
    <row r="45" spans="1:8">
      <c r="D45" s="2"/>
      <c r="F45" s="2"/>
      <c r="H45" s="60">
        <f t="shared" si="0"/>
        <v>-15403.91</v>
      </c>
    </row>
    <row r="46" spans="1:8">
      <c r="A46" s="351">
        <v>44732</v>
      </c>
      <c r="B46" s="347" t="s">
        <v>1523</v>
      </c>
      <c r="C46" s="347"/>
      <c r="D46" s="347"/>
      <c r="E46" s="347"/>
      <c r="F46" s="349">
        <v>4000</v>
      </c>
      <c r="G46" s="347"/>
      <c r="H46" s="60">
        <f t="shared" si="0"/>
        <v>-11403.91</v>
      </c>
    </row>
    <row r="47" spans="1:8">
      <c r="A47" s="355"/>
      <c r="B47" s="355" t="s">
        <v>1389</v>
      </c>
      <c r="C47" s="355"/>
      <c r="D47" s="365">
        <v>4000</v>
      </c>
      <c r="E47" s="355"/>
      <c r="F47" s="355"/>
      <c r="G47" s="355"/>
      <c r="H47" s="60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0"/>
  <sheetViews>
    <sheetView topLeftCell="A5" zoomScale="170" zoomScaleNormal="170" workbookViewId="0">
      <selection activeCell="A5" sqref="A5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1524</v>
      </c>
      <c r="B1" s="38">
        <v>2.98</v>
      </c>
      <c r="F1" s="178" t="s">
        <v>20</v>
      </c>
      <c r="G1" s="178" t="s">
        <v>21</v>
      </c>
      <c r="H1" s="178" t="s">
        <v>3</v>
      </c>
    </row>
    <row r="2" spans="1:8">
      <c r="A2" s="3" t="s">
        <v>1525</v>
      </c>
      <c r="C2" s="76" t="s">
        <v>59</v>
      </c>
      <c r="D2" s="295">
        <f>SUM(D4:D32)</f>
        <v>11328.34</v>
      </c>
      <c r="E2" s="295">
        <f>SUM(E4:E68)</f>
        <v>-7712.66</v>
      </c>
      <c r="F2" s="295">
        <f>SUM(F4:F65)</f>
        <v>9522.369999999999</v>
      </c>
      <c r="G2" s="295">
        <f>SUM(G4:G65)</f>
        <v>-7722.66</v>
      </c>
      <c r="H2" s="295">
        <f>F2+G2</f>
        <v>1799.7099999999991</v>
      </c>
    </row>
    <row r="3" spans="1:8">
      <c r="B3" s="15"/>
      <c r="E3" s="178"/>
      <c r="F3" s="178"/>
      <c r="G3" s="178"/>
      <c r="H3" s="60"/>
    </row>
    <row r="4" spans="1:8">
      <c r="B4" s="3"/>
      <c r="C4" s="3"/>
      <c r="D4" s="3"/>
      <c r="E4" s="60"/>
      <c r="F4" s="60"/>
      <c r="G4" s="60"/>
      <c r="H4" s="60">
        <f t="shared" ref="H4:H34" si="0">H3+F4+G4</f>
        <v>0</v>
      </c>
    </row>
    <row r="5" spans="1:8">
      <c r="B5" t="s">
        <v>1503</v>
      </c>
      <c r="D5">
        <v>155.6</v>
      </c>
      <c r="E5" s="60"/>
      <c r="F5" s="60">
        <v>155</v>
      </c>
      <c r="G5" s="60"/>
      <c r="H5" s="60">
        <f t="shared" si="0"/>
        <v>155</v>
      </c>
    </row>
    <row r="6" spans="1:8">
      <c r="B6" t="s">
        <v>321</v>
      </c>
      <c r="D6">
        <v>1036.21</v>
      </c>
      <c r="E6" s="60"/>
      <c r="F6" s="60">
        <v>1035</v>
      </c>
      <c r="G6" s="60"/>
      <c r="H6" s="60">
        <f t="shared" si="0"/>
        <v>1190</v>
      </c>
    </row>
    <row r="7" spans="1:8">
      <c r="B7" t="s">
        <v>1526</v>
      </c>
      <c r="D7">
        <v>153.68</v>
      </c>
      <c r="E7" s="60"/>
      <c r="F7" s="60">
        <v>350</v>
      </c>
      <c r="G7" s="60"/>
      <c r="H7" s="60">
        <f t="shared" si="0"/>
        <v>1540</v>
      </c>
    </row>
    <row r="8" spans="1:8">
      <c r="B8" t="s">
        <v>1433</v>
      </c>
      <c r="D8">
        <v>230.48</v>
      </c>
      <c r="E8" s="60"/>
      <c r="F8" s="60">
        <v>230</v>
      </c>
      <c r="G8" s="60"/>
      <c r="H8" s="60">
        <f t="shared" si="0"/>
        <v>1770</v>
      </c>
    </row>
    <row r="9" spans="1:8">
      <c r="B9" t="s">
        <v>325</v>
      </c>
      <c r="D9">
        <v>82</v>
      </c>
      <c r="E9" s="60"/>
      <c r="F9" s="60">
        <v>82</v>
      </c>
      <c r="G9" s="60"/>
      <c r="H9" s="60">
        <f t="shared" si="0"/>
        <v>1852</v>
      </c>
    </row>
    <row r="10" spans="1:8">
      <c r="A10" s="96">
        <v>44691</v>
      </c>
      <c r="B10" s="102" t="s">
        <v>1324</v>
      </c>
      <c r="C10" s="102"/>
      <c r="D10" s="102"/>
      <c r="E10" s="60">
        <v>-1360.1</v>
      </c>
      <c r="F10" s="60"/>
      <c r="G10" s="60">
        <v>-1360.1</v>
      </c>
      <c r="H10" s="60">
        <f t="shared" si="0"/>
        <v>491.90000000000009</v>
      </c>
    </row>
    <row r="11" spans="1:8">
      <c r="A11" s="96">
        <v>44686</v>
      </c>
      <c r="B11" s="97" t="s">
        <v>1317</v>
      </c>
      <c r="C11" s="97"/>
      <c r="D11" s="97"/>
      <c r="E11" s="60">
        <v>-197.1</v>
      </c>
      <c r="F11" s="60"/>
      <c r="G11" s="60">
        <v>-197.1</v>
      </c>
      <c r="H11" s="60">
        <f t="shared" si="0"/>
        <v>294.80000000000007</v>
      </c>
    </row>
    <row r="12" spans="1:8">
      <c r="A12" s="96">
        <v>44686</v>
      </c>
      <c r="B12" s="97" t="s">
        <v>1318</v>
      </c>
      <c r="C12" s="97"/>
      <c r="D12" s="97"/>
      <c r="E12" s="60">
        <v>-365.7</v>
      </c>
      <c r="F12" s="60"/>
      <c r="G12" s="60">
        <v>-365.7</v>
      </c>
      <c r="H12" s="60">
        <f t="shared" si="0"/>
        <v>-70.89999999999992</v>
      </c>
    </row>
    <row r="13" spans="1:8">
      <c r="B13" s="102"/>
      <c r="C13" s="102"/>
      <c r="D13" s="102"/>
      <c r="E13" s="60"/>
      <c r="F13" s="60"/>
      <c r="G13" s="60"/>
      <c r="H13" s="60">
        <f t="shared" si="0"/>
        <v>-70.89999999999992</v>
      </c>
    </row>
    <row r="14" spans="1:8">
      <c r="B14" s="102" t="s">
        <v>1424</v>
      </c>
      <c r="C14" s="102"/>
      <c r="D14" s="102"/>
      <c r="E14" s="60">
        <v>-54.54</v>
      </c>
      <c r="F14" s="60"/>
      <c r="G14" s="60">
        <v>-54.54</v>
      </c>
      <c r="H14" s="60">
        <f t="shared" si="0"/>
        <v>-125.43999999999991</v>
      </c>
    </row>
    <row r="15" spans="1:8">
      <c r="B15" s="102" t="s">
        <v>1437</v>
      </c>
      <c r="C15" s="102"/>
      <c r="D15" s="102"/>
      <c r="E15" s="60">
        <v>-327.25</v>
      </c>
      <c r="F15" s="60"/>
      <c r="G15" s="60">
        <v>-327.25</v>
      </c>
      <c r="H15" s="60">
        <f t="shared" si="0"/>
        <v>-452.68999999999994</v>
      </c>
    </row>
    <row r="16" spans="1:8">
      <c r="B16" s="102"/>
      <c r="C16" s="102"/>
      <c r="D16" s="102"/>
      <c r="E16" s="60"/>
      <c r="F16" s="60"/>
      <c r="G16" s="60"/>
      <c r="H16" s="60">
        <f t="shared" si="0"/>
        <v>-452.68999999999994</v>
      </c>
    </row>
    <row r="17" spans="1:8">
      <c r="B17" s="362" t="s">
        <v>124</v>
      </c>
      <c r="C17" s="362"/>
      <c r="D17" s="362"/>
      <c r="E17" s="363">
        <v>-100</v>
      </c>
      <c r="F17" s="363"/>
      <c r="G17" s="363"/>
      <c r="H17" s="60">
        <f t="shared" si="0"/>
        <v>-452.68999999999994</v>
      </c>
    </row>
    <row r="18" spans="1:8">
      <c r="B18" s="102" t="s">
        <v>1527</v>
      </c>
      <c r="C18" s="102"/>
      <c r="D18" s="102"/>
      <c r="E18" s="60">
        <v>-115.31</v>
      </c>
      <c r="F18" s="60"/>
      <c r="G18" s="60"/>
      <c r="H18" s="60">
        <f t="shared" si="0"/>
        <v>-452.68999999999994</v>
      </c>
    </row>
    <row r="19" spans="1:8">
      <c r="B19" s="102" t="s">
        <v>1527</v>
      </c>
      <c r="C19" s="102"/>
      <c r="D19" s="102"/>
      <c r="E19" s="60">
        <v>-39.18</v>
      </c>
      <c r="F19" s="60"/>
      <c r="G19" s="60"/>
      <c r="H19" s="60">
        <f t="shared" si="0"/>
        <v>-452.68999999999994</v>
      </c>
    </row>
    <row r="20" spans="1:8">
      <c r="B20" s="102" t="s">
        <v>124</v>
      </c>
      <c r="C20" s="102"/>
      <c r="D20" s="102"/>
      <c r="E20" s="60">
        <v>-200</v>
      </c>
      <c r="F20" s="60"/>
      <c r="G20" s="60"/>
      <c r="H20" s="60">
        <f t="shared" si="0"/>
        <v>-452.68999999999994</v>
      </c>
    </row>
    <row r="21" spans="1:8">
      <c r="B21" s="102" t="s">
        <v>1339</v>
      </c>
      <c r="C21" s="102"/>
      <c r="D21" s="102"/>
      <c r="E21" s="60">
        <v>-70</v>
      </c>
      <c r="F21" s="60"/>
      <c r="G21" s="60"/>
      <c r="H21" s="60">
        <f t="shared" si="0"/>
        <v>-452.68999999999994</v>
      </c>
    </row>
    <row r="22" spans="1:8">
      <c r="B22" s="102" t="s">
        <v>1528</v>
      </c>
      <c r="C22" s="102"/>
      <c r="D22" s="102"/>
      <c r="E22" s="60">
        <v>-205.83</v>
      </c>
      <c r="F22" s="60"/>
      <c r="G22" s="60"/>
      <c r="H22" s="60">
        <f t="shared" si="0"/>
        <v>-452.68999999999994</v>
      </c>
    </row>
    <row r="23" spans="1:8">
      <c r="B23" s="102" t="s">
        <v>1529</v>
      </c>
      <c r="C23" s="102"/>
      <c r="D23" s="102"/>
      <c r="E23" s="60">
        <v>-177.65</v>
      </c>
      <c r="F23" s="60"/>
      <c r="G23" s="60"/>
      <c r="H23" s="60">
        <f t="shared" si="0"/>
        <v>-452.68999999999994</v>
      </c>
    </row>
    <row r="24" spans="1:8">
      <c r="A24" s="96">
        <v>44686</v>
      </c>
      <c r="B24" s="360" t="s">
        <v>1444</v>
      </c>
      <c r="C24" s="360"/>
      <c r="D24" s="360"/>
      <c r="E24" s="364"/>
      <c r="F24" s="361"/>
      <c r="G24" s="361">
        <v>-907.97</v>
      </c>
      <c r="H24" s="60">
        <f t="shared" si="0"/>
        <v>-1360.6599999999999</v>
      </c>
    </row>
    <row r="25" spans="1:8">
      <c r="B25" s="102"/>
      <c r="C25" s="102"/>
      <c r="D25" s="102"/>
      <c r="E25" s="60"/>
      <c r="F25" s="60"/>
      <c r="G25" s="60"/>
      <c r="H25" s="60">
        <f t="shared" si="0"/>
        <v>-1360.6599999999999</v>
      </c>
    </row>
    <row r="26" spans="1:8">
      <c r="A26" s="96">
        <v>44708</v>
      </c>
      <c r="B26" s="8" t="s">
        <v>69</v>
      </c>
      <c r="E26" s="60">
        <v>-1500</v>
      </c>
      <c r="F26" s="60"/>
      <c r="G26" s="60">
        <v>-1505</v>
      </c>
      <c r="H26" s="60">
        <f t="shared" si="0"/>
        <v>-2865.66</v>
      </c>
    </row>
    <row r="27" spans="1:8">
      <c r="A27" s="96">
        <v>44708</v>
      </c>
      <c r="B27" s="8" t="s">
        <v>70</v>
      </c>
      <c r="E27" s="60">
        <v>-1500</v>
      </c>
      <c r="F27" s="60"/>
      <c r="G27" s="60">
        <v>-1505</v>
      </c>
      <c r="H27" s="60">
        <f t="shared" si="0"/>
        <v>-4370.66</v>
      </c>
    </row>
    <row r="28" spans="1:8">
      <c r="A28" s="96">
        <v>44708</v>
      </c>
      <c r="B28" s="8" t="s">
        <v>71</v>
      </c>
      <c r="E28" s="60">
        <v>-1500</v>
      </c>
      <c r="F28" s="60"/>
      <c r="G28" s="60">
        <v>-1500</v>
      </c>
      <c r="H28" s="60">
        <f t="shared" si="0"/>
        <v>-5870.66</v>
      </c>
    </row>
    <row r="29" spans="1:8">
      <c r="E29" s="60"/>
      <c r="F29" s="60"/>
      <c r="G29" s="60"/>
      <c r="H29" s="60">
        <f t="shared" si="0"/>
        <v>-5870.66</v>
      </c>
    </row>
    <row r="30" spans="1:8">
      <c r="A30" s="96">
        <v>44708</v>
      </c>
      <c r="B30" s="8" t="s">
        <v>68</v>
      </c>
      <c r="D30" s="60">
        <v>3020.37</v>
      </c>
      <c r="E30" s="60"/>
      <c r="F30" s="60">
        <v>3020.37</v>
      </c>
      <c r="G30" s="60"/>
      <c r="H30" s="60">
        <f t="shared" si="0"/>
        <v>-2850.29</v>
      </c>
    </row>
    <row r="31" spans="1:8">
      <c r="A31" s="96">
        <v>44711</v>
      </c>
      <c r="B31" s="8" t="s">
        <v>663</v>
      </c>
      <c r="D31" s="60">
        <v>1650</v>
      </c>
      <c r="F31" s="60">
        <v>1650</v>
      </c>
      <c r="G31" s="60"/>
      <c r="H31" s="60">
        <f t="shared" si="0"/>
        <v>-1200.29</v>
      </c>
    </row>
    <row r="32" spans="1:8">
      <c r="A32" s="96">
        <v>44711</v>
      </c>
      <c r="B32" s="8" t="s">
        <v>1530</v>
      </c>
      <c r="C32" s="366"/>
      <c r="D32" s="60">
        <v>5000</v>
      </c>
      <c r="E32" s="60"/>
      <c r="F32" s="60">
        <v>3000</v>
      </c>
      <c r="G32" s="60"/>
      <c r="H32" s="60">
        <f t="shared" si="0"/>
        <v>1799.71</v>
      </c>
    </row>
    <row r="33" spans="1:8">
      <c r="F33" s="60"/>
      <c r="G33" s="60"/>
      <c r="H33" s="60">
        <f t="shared" si="0"/>
        <v>1799.71</v>
      </c>
    </row>
    <row r="34" spans="1:8">
      <c r="A34" s="367"/>
      <c r="B34" s="355" t="s">
        <v>1523</v>
      </c>
      <c r="C34" s="355"/>
      <c r="D34" s="368">
        <v>4000</v>
      </c>
      <c r="E34" s="355"/>
      <c r="F34" s="357"/>
      <c r="G34" s="357"/>
      <c r="H34" s="60">
        <f t="shared" si="0"/>
        <v>1799.71</v>
      </c>
    </row>
    <row r="35" spans="1:8">
      <c r="F35" s="60"/>
      <c r="G35" s="60"/>
      <c r="H35" s="60"/>
    </row>
    <row r="36" spans="1:8">
      <c r="F36" s="60"/>
      <c r="G36" s="60"/>
      <c r="H36" s="60"/>
    </row>
    <row r="37" spans="1:8">
      <c r="E37" s="60"/>
      <c r="F37" s="60"/>
      <c r="G37" s="60"/>
      <c r="H37" s="60"/>
    </row>
    <row r="38" spans="1:8">
      <c r="E38" s="60"/>
      <c r="F38" s="60"/>
      <c r="G38" s="60"/>
      <c r="H38" s="60"/>
    </row>
    <row r="39" spans="1:8">
      <c r="H39" s="60"/>
    </row>
    <row r="40" spans="1:8">
      <c r="H40" s="6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E6A39"/>
  </sheetPr>
  <dimension ref="A1:H38"/>
  <sheetViews>
    <sheetView topLeftCell="A9" zoomScale="170" zoomScaleNormal="170" workbookViewId="0">
      <selection activeCell="A10" sqref="A10"/>
    </sheetView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38">
        <v>7.25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1531</v>
      </c>
      <c r="C2" s="76" t="s">
        <v>59</v>
      </c>
      <c r="D2" s="295">
        <f>SUM(D5:D66)</f>
        <v>15937.59</v>
      </c>
      <c r="E2" s="295">
        <f>SUM(E5:E66)</f>
        <v>-11790.68</v>
      </c>
      <c r="F2" s="295">
        <f>SUM(F5:F66)</f>
        <v>17940.28</v>
      </c>
      <c r="G2" s="295">
        <f>SUM(G5:G66)</f>
        <v>-11140.68</v>
      </c>
      <c r="H2" s="295">
        <f>F2+G2</f>
        <v>6799.5999999999985</v>
      </c>
    </row>
    <row r="3" spans="1:8">
      <c r="A3" s="96"/>
      <c r="B3" s="15"/>
      <c r="E3" s="60"/>
      <c r="F3" s="60"/>
      <c r="G3" s="60"/>
      <c r="H3" s="60"/>
    </row>
    <row r="4" spans="1:8">
      <c r="A4" s="96"/>
      <c r="E4" s="60"/>
      <c r="F4" s="60"/>
      <c r="G4" s="60"/>
      <c r="H4" s="60">
        <f t="shared" ref="H4:H36" si="0">H3+F4+G4</f>
        <v>0</v>
      </c>
    </row>
    <row r="5" spans="1:8">
      <c r="A5" s="96">
        <v>44658</v>
      </c>
      <c r="B5" s="8" t="s">
        <v>1503</v>
      </c>
      <c r="D5">
        <v>257.31</v>
      </c>
      <c r="E5" s="60"/>
      <c r="F5" s="60">
        <v>260</v>
      </c>
      <c r="G5" s="60"/>
      <c r="H5" s="60">
        <f t="shared" si="0"/>
        <v>260</v>
      </c>
    </row>
    <row r="6" spans="1:8">
      <c r="A6" s="96"/>
      <c r="B6" s="8" t="s">
        <v>321</v>
      </c>
      <c r="D6">
        <v>1089.6300000000001</v>
      </c>
      <c r="E6" s="60"/>
      <c r="F6" s="60">
        <v>1089.6300000000001</v>
      </c>
      <c r="G6" s="60"/>
      <c r="H6" s="60">
        <f t="shared" si="0"/>
        <v>1349.63</v>
      </c>
    </row>
    <row r="7" spans="1:8">
      <c r="A7" s="96">
        <v>44654</v>
      </c>
      <c r="B7" s="8" t="s">
        <v>1453</v>
      </c>
      <c r="D7">
        <v>384.4</v>
      </c>
      <c r="E7" s="60"/>
      <c r="F7" s="60">
        <v>384.4</v>
      </c>
      <c r="G7" s="60"/>
      <c r="H7" s="60">
        <f t="shared" si="0"/>
        <v>1734.0300000000002</v>
      </c>
    </row>
    <row r="8" spans="1:8">
      <c r="A8" s="96">
        <v>44654</v>
      </c>
      <c r="B8" s="8" t="s">
        <v>325</v>
      </c>
      <c r="D8">
        <v>85.88</v>
      </c>
      <c r="E8" s="60"/>
      <c r="F8" s="60">
        <v>85.88</v>
      </c>
      <c r="G8" s="60"/>
      <c r="H8" s="60">
        <f t="shared" si="0"/>
        <v>1819.9100000000003</v>
      </c>
    </row>
    <row r="9" spans="1:8">
      <c r="A9" s="96"/>
      <c r="B9" s="102" t="s">
        <v>1324</v>
      </c>
      <c r="C9" s="102"/>
      <c r="D9" s="102"/>
      <c r="E9" s="60">
        <v>-1578.43</v>
      </c>
      <c r="F9" s="60"/>
      <c r="G9" s="60">
        <v>-1578.43</v>
      </c>
      <c r="H9" s="60">
        <f t="shared" si="0"/>
        <v>241.48000000000025</v>
      </c>
    </row>
    <row r="10" spans="1:8">
      <c r="A10" s="96">
        <v>44655</v>
      </c>
      <c r="B10" s="97" t="s">
        <v>1317</v>
      </c>
      <c r="C10" s="97"/>
      <c r="D10" s="97"/>
      <c r="E10" s="60">
        <v>-383.8</v>
      </c>
      <c r="F10" s="152"/>
      <c r="G10" s="60">
        <v>-383.8</v>
      </c>
      <c r="H10" s="60">
        <f t="shared" si="0"/>
        <v>-142.31999999999977</v>
      </c>
    </row>
    <row r="11" spans="1:8">
      <c r="A11" s="96">
        <v>44655</v>
      </c>
      <c r="B11" s="97" t="s">
        <v>1318</v>
      </c>
      <c r="C11" s="97"/>
      <c r="D11" s="97"/>
      <c r="E11" s="60">
        <v>-171.6</v>
      </c>
      <c r="F11" s="152"/>
      <c r="G11" s="60">
        <v>-171.6</v>
      </c>
      <c r="H11" s="60">
        <f t="shared" si="0"/>
        <v>-313.91999999999973</v>
      </c>
    </row>
    <row r="12" spans="1:8">
      <c r="A12" s="96"/>
      <c r="B12" s="97"/>
      <c r="C12" s="97"/>
      <c r="D12" s="97"/>
      <c r="F12" s="152"/>
      <c r="G12" s="60"/>
      <c r="H12" s="60">
        <f t="shared" si="0"/>
        <v>-313.91999999999973</v>
      </c>
    </row>
    <row r="13" spans="1:8">
      <c r="A13" s="96"/>
      <c r="B13" s="102" t="s">
        <v>1424</v>
      </c>
      <c r="C13" s="102"/>
      <c r="D13" s="102"/>
      <c r="E13" s="60">
        <v>-600</v>
      </c>
      <c r="F13" s="60"/>
      <c r="G13" s="60"/>
      <c r="H13" s="60">
        <f t="shared" si="0"/>
        <v>-313.91999999999973</v>
      </c>
    </row>
    <row r="14" spans="1:8">
      <c r="A14" s="96"/>
      <c r="B14" s="102" t="s">
        <v>1437</v>
      </c>
      <c r="C14" s="102"/>
      <c r="D14" s="102"/>
      <c r="E14" s="60">
        <v>-50</v>
      </c>
      <c r="F14" s="60"/>
      <c r="G14" s="60"/>
      <c r="H14" s="60">
        <f t="shared" si="0"/>
        <v>-313.91999999999973</v>
      </c>
    </row>
    <row r="15" spans="1:8">
      <c r="A15" s="96"/>
      <c r="B15" s="97"/>
      <c r="C15" s="97"/>
      <c r="D15" s="97"/>
      <c r="E15" s="60"/>
      <c r="F15" s="152"/>
      <c r="G15" s="60"/>
      <c r="H15" s="60">
        <f t="shared" si="0"/>
        <v>-313.91999999999973</v>
      </c>
    </row>
    <row r="16" spans="1:8">
      <c r="A16" s="96"/>
      <c r="B16" s="362" t="s">
        <v>1532</v>
      </c>
      <c r="C16" s="362"/>
      <c r="D16" s="362"/>
      <c r="E16" s="363">
        <v>-169</v>
      </c>
      <c r="F16" s="369"/>
      <c r="G16" s="363"/>
      <c r="H16" s="60">
        <f t="shared" si="0"/>
        <v>-313.91999999999973</v>
      </c>
    </row>
    <row r="17" spans="1:8">
      <c r="A17" s="96"/>
      <c r="B17" s="102" t="s">
        <v>1533</v>
      </c>
      <c r="C17" s="102"/>
      <c r="D17" s="102"/>
      <c r="E17" s="60">
        <v>-3270</v>
      </c>
      <c r="F17" s="152"/>
      <c r="G17" s="60"/>
      <c r="H17" s="60">
        <f t="shared" si="0"/>
        <v>-313.91999999999973</v>
      </c>
    </row>
    <row r="18" spans="1:8">
      <c r="A18" s="96"/>
      <c r="B18" s="102" t="s">
        <v>1534</v>
      </c>
      <c r="C18" s="102"/>
      <c r="D18" s="102"/>
      <c r="E18" s="60">
        <v>-238</v>
      </c>
      <c r="F18" s="152"/>
      <c r="G18" s="60"/>
      <c r="H18" s="60">
        <f t="shared" si="0"/>
        <v>-313.91999999999973</v>
      </c>
    </row>
    <row r="19" spans="1:8">
      <c r="A19" s="96"/>
      <c r="B19" s="102" t="s">
        <v>1535</v>
      </c>
      <c r="C19" s="102"/>
      <c r="D19" s="102"/>
      <c r="E19" s="60">
        <v>-11.9</v>
      </c>
      <c r="F19" s="152"/>
      <c r="G19" s="60"/>
      <c r="H19" s="60">
        <f t="shared" si="0"/>
        <v>-313.91999999999973</v>
      </c>
    </row>
    <row r="20" spans="1:8">
      <c r="A20" s="96"/>
      <c r="B20" s="102" t="s">
        <v>1536</v>
      </c>
      <c r="C20" s="102"/>
      <c r="D20" s="102"/>
      <c r="E20" s="60">
        <v>-177.65</v>
      </c>
      <c r="F20" s="152"/>
      <c r="G20" s="60"/>
      <c r="H20" s="60">
        <f t="shared" si="0"/>
        <v>-313.91999999999973</v>
      </c>
    </row>
    <row r="21" spans="1:8">
      <c r="A21" s="96"/>
      <c r="B21" s="102" t="s">
        <v>1537</v>
      </c>
      <c r="C21" s="102"/>
      <c r="D21" s="102"/>
      <c r="E21" s="60">
        <v>-132.30000000000001</v>
      </c>
      <c r="F21" s="152"/>
      <c r="G21" s="60"/>
      <c r="H21" s="60">
        <f t="shared" si="0"/>
        <v>-313.91999999999973</v>
      </c>
    </row>
    <row r="22" spans="1:8">
      <c r="A22" s="96">
        <v>44655</v>
      </c>
      <c r="B22" s="360" t="s">
        <v>1444</v>
      </c>
      <c r="C22" s="360"/>
      <c r="D22" s="360"/>
      <c r="E22" s="364"/>
      <c r="F22" s="364"/>
      <c r="G22" s="361">
        <v>-3998.85</v>
      </c>
      <c r="H22" s="60">
        <f t="shared" si="0"/>
        <v>-4312.7699999999995</v>
      </c>
    </row>
    <row r="23" spans="1:8">
      <c r="A23" s="96"/>
      <c r="B23" s="102"/>
      <c r="C23" s="102"/>
      <c r="D23" s="102"/>
      <c r="E23" s="152"/>
      <c r="F23" s="152"/>
      <c r="G23" s="60"/>
      <c r="H23" s="60">
        <f t="shared" si="0"/>
        <v>-4312.7699999999995</v>
      </c>
    </row>
    <row r="24" spans="1:8">
      <c r="A24" s="96"/>
      <c r="B24" s="8" t="s">
        <v>69</v>
      </c>
      <c r="E24" s="60">
        <v>-1504</v>
      </c>
      <c r="G24" s="60">
        <v>-1504</v>
      </c>
      <c r="H24" s="60">
        <f t="shared" si="0"/>
        <v>-5816.7699999999995</v>
      </c>
    </row>
    <row r="25" spans="1:8">
      <c r="A25" s="96"/>
      <c r="B25" s="8" t="s">
        <v>70</v>
      </c>
      <c r="E25" s="60">
        <v>-1504</v>
      </c>
      <c r="G25" s="60">
        <v>-1504</v>
      </c>
      <c r="H25" s="60">
        <f t="shared" si="0"/>
        <v>-7320.7699999999995</v>
      </c>
    </row>
    <row r="26" spans="1:8">
      <c r="A26" s="96"/>
      <c r="B26" s="8" t="s">
        <v>1538</v>
      </c>
      <c r="E26" s="60">
        <v>-500</v>
      </c>
      <c r="G26" s="60">
        <v>-500</v>
      </c>
      <c r="H26" s="60">
        <f t="shared" si="0"/>
        <v>-7820.7699999999995</v>
      </c>
    </row>
    <row r="27" spans="1:8">
      <c r="B27" t="s">
        <v>71</v>
      </c>
      <c r="E27" s="60">
        <v>-1500</v>
      </c>
      <c r="G27" s="60">
        <v>-1500</v>
      </c>
      <c r="H27" s="60">
        <f t="shared" si="0"/>
        <v>-9320.77</v>
      </c>
    </row>
    <row r="28" spans="1:8">
      <c r="H28" s="60">
        <f t="shared" si="0"/>
        <v>-9320.77</v>
      </c>
    </row>
    <row r="29" spans="1:8">
      <c r="A29" s="96"/>
      <c r="B29" s="8" t="s">
        <v>68</v>
      </c>
      <c r="D29" s="60">
        <v>3020.37</v>
      </c>
      <c r="E29" s="60"/>
      <c r="F29" s="60">
        <v>3020.37</v>
      </c>
      <c r="G29" s="60"/>
      <c r="H29" s="60">
        <f t="shared" si="0"/>
        <v>-6300.4000000000005</v>
      </c>
    </row>
    <row r="30" spans="1:8">
      <c r="A30" s="96">
        <v>44655</v>
      </c>
      <c r="B30" s="8" t="s">
        <v>1539</v>
      </c>
      <c r="D30" s="60">
        <v>2500</v>
      </c>
      <c r="E30" s="60"/>
      <c r="F30" s="60">
        <v>2500</v>
      </c>
      <c r="G30" s="60"/>
      <c r="H30" s="60">
        <f t="shared" si="0"/>
        <v>-3800.4000000000005</v>
      </c>
    </row>
    <row r="31" spans="1:8">
      <c r="A31" s="96">
        <v>44693</v>
      </c>
      <c r="B31" s="8" t="s">
        <v>1540</v>
      </c>
      <c r="D31" s="60">
        <v>1600</v>
      </c>
      <c r="F31" s="60">
        <v>1600</v>
      </c>
      <c r="G31" s="60"/>
      <c r="H31" s="60">
        <f t="shared" si="0"/>
        <v>-2200.4000000000005</v>
      </c>
    </row>
    <row r="32" spans="1:8">
      <c r="A32" s="96">
        <v>44691</v>
      </c>
      <c r="B32" s="347" t="s">
        <v>1541</v>
      </c>
      <c r="C32" s="366"/>
      <c r="D32" s="60">
        <v>3000</v>
      </c>
      <c r="F32" s="60">
        <v>5000</v>
      </c>
      <c r="G32" s="60"/>
      <c r="H32" s="60">
        <f t="shared" si="0"/>
        <v>2799.5999999999995</v>
      </c>
    </row>
    <row r="33" spans="1:8">
      <c r="H33" s="60">
        <f t="shared" si="0"/>
        <v>2799.5999999999995</v>
      </c>
    </row>
    <row r="34" spans="1:8">
      <c r="A34" s="96">
        <v>44688</v>
      </c>
      <c r="B34" s="8" t="s">
        <v>1542</v>
      </c>
      <c r="D34" s="2">
        <v>4000</v>
      </c>
      <c r="F34" s="2">
        <v>4000</v>
      </c>
      <c r="H34" s="60">
        <f t="shared" si="0"/>
        <v>6799.5999999999995</v>
      </c>
    </row>
    <row r="35" spans="1:8">
      <c r="A35" s="96"/>
      <c r="B35" s="8" t="s">
        <v>1543</v>
      </c>
      <c r="D35" s="60"/>
      <c r="F35" s="60"/>
      <c r="G35" s="60"/>
      <c r="H35" s="60">
        <f t="shared" si="0"/>
        <v>6799.5999999999995</v>
      </c>
    </row>
    <row r="36" spans="1:8">
      <c r="H36" s="60">
        <f t="shared" si="0"/>
        <v>6799.5999999999995</v>
      </c>
    </row>
    <row r="38" spans="1:8">
      <c r="A38" s="96"/>
      <c r="F38" s="60"/>
      <c r="G38" s="60"/>
      <c r="H38" s="6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32"/>
  <sheetViews>
    <sheetView zoomScale="170" zoomScaleNormal="17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38">
        <v>5.46</v>
      </c>
      <c r="E1" s="178"/>
      <c r="F1" s="178" t="s">
        <v>20</v>
      </c>
      <c r="G1" s="178" t="s">
        <v>21</v>
      </c>
      <c r="H1" s="178" t="s">
        <v>3</v>
      </c>
    </row>
    <row r="2" spans="1:9">
      <c r="A2" s="3" t="s">
        <v>1544</v>
      </c>
      <c r="C2" s="76" t="s">
        <v>59</v>
      </c>
      <c r="D2" s="295">
        <f>SUM(D5:D61)</f>
        <v>36859.61</v>
      </c>
      <c r="E2" s="295">
        <f>SUM(E5:E61)</f>
        <v>-30109.3</v>
      </c>
      <c r="F2" s="295">
        <f>SUM(F5:F61)</f>
        <v>35859.61</v>
      </c>
      <c r="G2" s="295">
        <f>SUM(G5:G61)</f>
        <v>-30109.3</v>
      </c>
      <c r="H2" s="295">
        <f>F2+G2</f>
        <v>5750.3100000000013</v>
      </c>
    </row>
    <row r="3" spans="1:9">
      <c r="A3" s="96"/>
      <c r="B3" s="15"/>
      <c r="C3" s="3"/>
      <c r="D3" s="3"/>
      <c r="E3" s="152"/>
      <c r="F3" s="152"/>
      <c r="G3" s="152"/>
      <c r="H3" s="60"/>
      <c r="I3" s="3"/>
    </row>
    <row r="4" spans="1:9">
      <c r="A4" s="96"/>
      <c r="B4" s="3"/>
      <c r="C4" s="3"/>
      <c r="D4" s="3"/>
      <c r="E4" s="152"/>
      <c r="F4" s="152"/>
      <c r="G4" s="152"/>
      <c r="H4" s="60">
        <f t="shared" ref="H4:H32" si="0">H3+F4+G4</f>
        <v>0</v>
      </c>
      <c r="I4" s="3"/>
    </row>
    <row r="5" spans="1:9">
      <c r="A5" s="96">
        <v>44623</v>
      </c>
      <c r="B5" s="8" t="s">
        <v>1503</v>
      </c>
      <c r="C5" s="8" t="s">
        <v>1545</v>
      </c>
      <c r="D5" s="60">
        <v>375.6</v>
      </c>
      <c r="F5" s="60">
        <v>375.6</v>
      </c>
      <c r="G5" s="60"/>
      <c r="H5" s="60">
        <f t="shared" si="0"/>
        <v>375.6</v>
      </c>
    </row>
    <row r="6" spans="1:9">
      <c r="A6" s="96">
        <v>44623</v>
      </c>
      <c r="B6" s="8" t="s">
        <v>321</v>
      </c>
      <c r="C6" s="8" t="s">
        <v>1545</v>
      </c>
      <c r="D6" s="60">
        <v>1137.8800000000001</v>
      </c>
      <c r="F6" s="60">
        <v>1137.8800000000001</v>
      </c>
      <c r="G6" s="60"/>
      <c r="H6" s="60">
        <f t="shared" si="0"/>
        <v>1513.48</v>
      </c>
    </row>
    <row r="7" spans="1:9">
      <c r="A7" s="96">
        <v>44623</v>
      </c>
      <c r="B7" s="8" t="s">
        <v>1453</v>
      </c>
      <c r="C7" s="8" t="s">
        <v>1545</v>
      </c>
      <c r="D7" s="60">
        <v>256.45</v>
      </c>
      <c r="F7" s="60">
        <v>256.45</v>
      </c>
      <c r="G7" s="60"/>
      <c r="H7" s="60">
        <f t="shared" si="0"/>
        <v>1769.93</v>
      </c>
    </row>
    <row r="8" spans="1:9">
      <c r="A8" s="96">
        <v>44623</v>
      </c>
      <c r="B8" s="8" t="s">
        <v>325</v>
      </c>
      <c r="C8" s="8" t="s">
        <v>1545</v>
      </c>
      <c r="D8" s="60">
        <v>69.31</v>
      </c>
      <c r="F8" s="60">
        <v>69.31</v>
      </c>
      <c r="G8" s="60"/>
      <c r="H8" s="60">
        <f t="shared" si="0"/>
        <v>1839.24</v>
      </c>
    </row>
    <row r="9" spans="1:9">
      <c r="A9" s="96">
        <v>44631</v>
      </c>
      <c r="B9" s="102" t="s">
        <v>1324</v>
      </c>
      <c r="C9" s="102" t="s">
        <v>1546</v>
      </c>
      <c r="D9" s="102"/>
      <c r="E9" s="60">
        <v>-1608.4</v>
      </c>
      <c r="F9" s="60"/>
      <c r="G9" s="60">
        <v>-1608.4</v>
      </c>
      <c r="H9" s="60">
        <f t="shared" si="0"/>
        <v>230.83999999999992</v>
      </c>
    </row>
    <row r="10" spans="1:9">
      <c r="A10" s="96">
        <v>44624</v>
      </c>
      <c r="B10" s="97" t="s">
        <v>1317</v>
      </c>
      <c r="C10" s="97" t="s">
        <v>1546</v>
      </c>
      <c r="D10" s="97"/>
      <c r="E10" s="60">
        <v>-167</v>
      </c>
      <c r="F10" s="152"/>
      <c r="G10" s="152">
        <v>-167</v>
      </c>
      <c r="H10" s="60">
        <f t="shared" si="0"/>
        <v>63.839999999999918</v>
      </c>
      <c r="I10" s="3"/>
    </row>
    <row r="11" spans="1:9">
      <c r="A11" s="96"/>
      <c r="B11" s="97" t="s">
        <v>1318</v>
      </c>
      <c r="C11" s="97" t="s">
        <v>1546</v>
      </c>
      <c r="D11" s="97"/>
      <c r="E11" s="60">
        <v>-428</v>
      </c>
      <c r="F11" s="152"/>
      <c r="G11" s="152">
        <v>-428</v>
      </c>
      <c r="H11" s="60">
        <f t="shared" si="0"/>
        <v>-364.16000000000008</v>
      </c>
      <c r="I11" s="3"/>
    </row>
    <row r="12" spans="1:9">
      <c r="A12" s="96"/>
      <c r="B12" s="102"/>
      <c r="C12" s="102"/>
      <c r="D12" s="102"/>
      <c r="E12" s="60"/>
      <c r="F12" s="60"/>
      <c r="G12" s="60"/>
      <c r="H12" s="60">
        <f t="shared" si="0"/>
        <v>-364.16000000000008</v>
      </c>
    </row>
    <row r="13" spans="1:9">
      <c r="A13" s="96"/>
      <c r="B13" s="102" t="s">
        <v>1424</v>
      </c>
      <c r="C13" s="102" t="s">
        <v>1546</v>
      </c>
      <c r="E13" s="60">
        <v>-37.229999999999997</v>
      </c>
      <c r="F13" s="60"/>
      <c r="G13" s="60">
        <v>-37.229999999999997</v>
      </c>
      <c r="H13" s="60">
        <f t="shared" si="0"/>
        <v>-401.3900000000001</v>
      </c>
    </row>
    <row r="14" spans="1:9">
      <c r="A14" s="96"/>
      <c r="B14" s="102" t="s">
        <v>1437</v>
      </c>
      <c r="C14" s="102" t="s">
        <v>1546</v>
      </c>
      <c r="E14" s="60">
        <v>-632.91999999999996</v>
      </c>
      <c r="F14" s="60"/>
      <c r="G14" s="60">
        <v>-632.91999999999996</v>
      </c>
      <c r="H14" s="60">
        <f t="shared" si="0"/>
        <v>-1034.31</v>
      </c>
    </row>
    <row r="15" spans="1:9">
      <c r="A15" s="96"/>
      <c r="B15" s="97"/>
      <c r="C15" s="97"/>
      <c r="D15" s="97"/>
      <c r="E15" s="60"/>
      <c r="F15" s="152"/>
      <c r="G15" s="152"/>
      <c r="H15" s="60">
        <f t="shared" si="0"/>
        <v>-1034.31</v>
      </c>
      <c r="I15" s="3"/>
    </row>
    <row r="16" spans="1:9">
      <c r="A16" s="96"/>
      <c r="B16" s="102" t="s">
        <v>1547</v>
      </c>
      <c r="C16" s="102"/>
      <c r="D16" s="102"/>
      <c r="E16" s="60">
        <v>-50</v>
      </c>
      <c r="F16" s="152"/>
      <c r="G16" s="152"/>
      <c r="H16" s="60">
        <f t="shared" si="0"/>
        <v>-1034.31</v>
      </c>
      <c r="I16" s="3"/>
    </row>
    <row r="17" spans="1:9">
      <c r="A17" s="96"/>
      <c r="B17" s="102" t="s">
        <v>1548</v>
      </c>
      <c r="C17" s="102"/>
      <c r="D17" s="102"/>
      <c r="E17" s="60">
        <v>-21510.75</v>
      </c>
      <c r="F17" s="152"/>
      <c r="G17" s="152"/>
      <c r="H17" s="60">
        <f t="shared" si="0"/>
        <v>-1034.31</v>
      </c>
      <c r="I17" s="3"/>
    </row>
    <row r="18" spans="1:9">
      <c r="A18" s="96"/>
      <c r="B18" s="102" t="s">
        <v>1549</v>
      </c>
      <c r="C18" s="102"/>
      <c r="D18" s="102"/>
      <c r="E18" s="60">
        <v>-169</v>
      </c>
      <c r="F18" s="152"/>
      <c r="G18" s="152"/>
      <c r="H18" s="60">
        <f t="shared" si="0"/>
        <v>-1034.31</v>
      </c>
      <c r="I18" s="3"/>
    </row>
    <row r="19" spans="1:9">
      <c r="A19" s="96">
        <v>44627</v>
      </c>
      <c r="B19" s="370" t="s">
        <v>1444</v>
      </c>
      <c r="C19" s="370" t="s">
        <v>1546</v>
      </c>
      <c r="D19" s="370"/>
      <c r="E19" s="60"/>
      <c r="F19" s="152"/>
      <c r="G19" s="152">
        <v>-21729.75</v>
      </c>
      <c r="H19" s="60">
        <f t="shared" si="0"/>
        <v>-22764.06</v>
      </c>
      <c r="I19" s="3"/>
    </row>
    <row r="20" spans="1:9">
      <c r="A20" s="96"/>
      <c r="B20" s="102"/>
      <c r="C20" s="102"/>
      <c r="D20" s="102"/>
      <c r="E20" s="152"/>
      <c r="F20" s="152"/>
      <c r="G20" s="152"/>
      <c r="H20" s="60">
        <f t="shared" si="0"/>
        <v>-22764.06</v>
      </c>
      <c r="I20" s="3"/>
    </row>
    <row r="21" spans="1:9">
      <c r="A21" s="96">
        <v>44647</v>
      </c>
      <c r="B21" s="8" t="s">
        <v>69</v>
      </c>
      <c r="C21" s="8" t="s">
        <v>1546</v>
      </c>
      <c r="D21" s="60"/>
      <c r="E21" s="60">
        <v>-1503</v>
      </c>
      <c r="G21" s="60">
        <v>-1503</v>
      </c>
      <c r="H21" s="60">
        <f t="shared" si="0"/>
        <v>-24267.06</v>
      </c>
    </row>
    <row r="22" spans="1:9">
      <c r="A22" s="96">
        <v>44647</v>
      </c>
      <c r="B22" s="8" t="s">
        <v>70</v>
      </c>
      <c r="C22" s="8" t="s">
        <v>1546</v>
      </c>
      <c r="D22" s="60"/>
      <c r="E22" s="60">
        <v>-1503</v>
      </c>
      <c r="G22" s="60">
        <v>-1503</v>
      </c>
      <c r="H22" s="60">
        <f t="shared" si="0"/>
        <v>-25770.06</v>
      </c>
    </row>
    <row r="23" spans="1:9">
      <c r="A23" s="96">
        <v>44651</v>
      </c>
      <c r="B23" s="8" t="s">
        <v>1550</v>
      </c>
      <c r="C23" s="8" t="s">
        <v>1546</v>
      </c>
      <c r="D23" s="60"/>
      <c r="E23" s="60">
        <v>-1000</v>
      </c>
      <c r="G23" s="60">
        <v>-1000</v>
      </c>
      <c r="H23" s="60">
        <f t="shared" si="0"/>
        <v>-26770.06</v>
      </c>
    </row>
    <row r="24" spans="1:9">
      <c r="B24" t="s">
        <v>71</v>
      </c>
      <c r="E24" s="60">
        <v>-1500</v>
      </c>
      <c r="F24" s="60"/>
      <c r="G24" s="60">
        <v>-1500</v>
      </c>
      <c r="H24" s="60">
        <f t="shared" si="0"/>
        <v>-28270.06</v>
      </c>
    </row>
    <row r="25" spans="1:9">
      <c r="H25" s="60">
        <f t="shared" si="0"/>
        <v>-28270.06</v>
      </c>
    </row>
    <row r="26" spans="1:9">
      <c r="A26" s="96">
        <v>44647</v>
      </c>
      <c r="B26" s="8" t="s">
        <v>68</v>
      </c>
      <c r="C26" s="8" t="s">
        <v>1546</v>
      </c>
      <c r="D26" s="60">
        <v>3020.37</v>
      </c>
      <c r="E26" s="60"/>
      <c r="F26" s="60">
        <v>3020.37</v>
      </c>
      <c r="G26" s="60"/>
      <c r="H26" s="60">
        <f t="shared" si="0"/>
        <v>-25249.690000000002</v>
      </c>
    </row>
    <row r="27" spans="1:9">
      <c r="A27" s="96">
        <v>44642</v>
      </c>
      <c r="B27" s="8" t="s">
        <v>663</v>
      </c>
      <c r="D27" s="60">
        <v>1000</v>
      </c>
      <c r="F27" s="60">
        <v>0</v>
      </c>
      <c r="G27" s="60"/>
      <c r="H27" s="60">
        <f t="shared" si="0"/>
        <v>-25249.690000000002</v>
      </c>
    </row>
    <row r="28" spans="1:9">
      <c r="A28" s="96">
        <v>44648</v>
      </c>
      <c r="B28" s="8" t="s">
        <v>1551</v>
      </c>
      <c r="C28" s="60" t="s">
        <v>1545</v>
      </c>
      <c r="D28" s="60">
        <v>3000</v>
      </c>
      <c r="E28" s="60"/>
      <c r="F28" s="60">
        <v>3000</v>
      </c>
      <c r="G28" s="60"/>
      <c r="H28" s="60">
        <f t="shared" si="0"/>
        <v>-22249.690000000002</v>
      </c>
    </row>
    <row r="29" spans="1:9">
      <c r="H29" s="60">
        <f t="shared" si="0"/>
        <v>-22249.690000000002</v>
      </c>
    </row>
    <row r="30" spans="1:9">
      <c r="A30" s="96">
        <v>44650</v>
      </c>
      <c r="B30" s="8" t="s">
        <v>1552</v>
      </c>
      <c r="C30" s="60" t="s">
        <v>1545</v>
      </c>
      <c r="D30" s="60">
        <v>28000</v>
      </c>
      <c r="E30" s="60"/>
      <c r="F30" s="60">
        <v>28000</v>
      </c>
      <c r="H30" s="60">
        <f t="shared" si="0"/>
        <v>5750.3099999999977</v>
      </c>
    </row>
    <row r="31" spans="1:9">
      <c r="A31" s="96"/>
      <c r="B31" s="8" t="s">
        <v>1553</v>
      </c>
      <c r="C31" s="60"/>
      <c r="D31" s="60"/>
      <c r="E31" s="60"/>
      <c r="F31" s="60"/>
      <c r="H31" s="60">
        <f t="shared" si="0"/>
        <v>5750.3099999999977</v>
      </c>
    </row>
    <row r="32" spans="1:9">
      <c r="A32" s="96"/>
      <c r="B32" s="8" t="s">
        <v>1554</v>
      </c>
      <c r="C32" s="60"/>
      <c r="D32" s="60"/>
      <c r="E32" s="60"/>
      <c r="F32" s="60"/>
      <c r="H32" s="60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E6A39"/>
  </sheetPr>
  <dimension ref="A1:H38"/>
  <sheetViews>
    <sheetView topLeftCell="A10" zoomScale="170" zoomScaleNormal="170" workbookViewId="0">
      <selection activeCell="D12" sqref="D12"/>
    </sheetView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4" width="12.28515625" customWidth="1"/>
    <col min="5" max="5" width="12.85546875" customWidth="1"/>
    <col min="6" max="6" width="12.28515625" customWidth="1"/>
    <col min="7" max="7" width="12.85546875" customWidth="1"/>
    <col min="8" max="8" width="10.28515625" customWidth="1"/>
    <col min="9" max="9" width="9.140625" customWidth="1"/>
  </cols>
  <sheetData>
    <row r="1" spans="1:8">
      <c r="B1" s="38">
        <v>4.8099999999999996</v>
      </c>
      <c r="E1" s="178"/>
      <c r="F1" s="178" t="s">
        <v>20</v>
      </c>
      <c r="G1" s="178" t="s">
        <v>21</v>
      </c>
      <c r="H1" s="178" t="s">
        <v>3</v>
      </c>
    </row>
    <row r="2" spans="1:8">
      <c r="A2" s="3" t="s">
        <v>1555</v>
      </c>
      <c r="C2" s="76" t="s">
        <v>59</v>
      </c>
      <c r="D2" s="295">
        <f>SUM(D5:D63)</f>
        <v>10567.09</v>
      </c>
      <c r="E2" s="295">
        <f>SUM(E5:E63)</f>
        <v>-21938.15</v>
      </c>
      <c r="F2" s="295">
        <f>SUM(F5:F63)</f>
        <v>11567.09</v>
      </c>
      <c r="G2" s="295">
        <f>SUM(G5:G63)</f>
        <v>-21938.15</v>
      </c>
      <c r="H2" s="295">
        <f>F2+G2</f>
        <v>-10371.060000000001</v>
      </c>
    </row>
    <row r="3" spans="1:8">
      <c r="A3" s="96"/>
      <c r="B3" s="15"/>
      <c r="E3" s="60"/>
      <c r="F3" s="152"/>
      <c r="G3" s="152"/>
      <c r="H3" s="178"/>
    </row>
    <row r="4" spans="1:8">
      <c r="A4" s="96"/>
      <c r="B4" s="15"/>
      <c r="E4" s="60"/>
      <c r="F4" s="152"/>
      <c r="G4" s="152"/>
      <c r="H4" s="60">
        <f t="shared" ref="H4:H30" si="0">H3+F4+G4</f>
        <v>0</v>
      </c>
    </row>
    <row r="5" spans="1:8">
      <c r="A5" s="96">
        <v>44595</v>
      </c>
      <c r="B5" s="8" t="s">
        <v>1503</v>
      </c>
      <c r="D5" s="60">
        <v>508.99</v>
      </c>
      <c r="F5" s="60">
        <v>508.99</v>
      </c>
      <c r="G5" s="60"/>
      <c r="H5" s="60">
        <f t="shared" si="0"/>
        <v>508.99</v>
      </c>
    </row>
    <row r="6" spans="1:8">
      <c r="A6" s="96">
        <v>44595</v>
      </c>
      <c r="B6" s="8" t="s">
        <v>321</v>
      </c>
      <c r="D6" s="60">
        <v>1487.83</v>
      </c>
      <c r="F6" s="60">
        <v>1487.83</v>
      </c>
      <c r="G6" s="60"/>
      <c r="H6" s="60">
        <f t="shared" si="0"/>
        <v>1996.82</v>
      </c>
    </row>
    <row r="7" spans="1:8">
      <c r="A7" s="96">
        <v>44595</v>
      </c>
      <c r="B7" s="8" t="s">
        <v>1453</v>
      </c>
      <c r="D7" s="60">
        <v>489.66</v>
      </c>
      <c r="F7" s="60">
        <v>489.66</v>
      </c>
      <c r="G7" s="60"/>
      <c r="H7" s="60">
        <f t="shared" si="0"/>
        <v>2486.48</v>
      </c>
    </row>
    <row r="8" spans="1:8">
      <c r="A8" s="96">
        <v>44595</v>
      </c>
      <c r="B8" s="8" t="s">
        <v>325</v>
      </c>
      <c r="D8" s="60">
        <v>60.24</v>
      </c>
      <c r="F8" s="60">
        <v>60.24</v>
      </c>
      <c r="G8" s="60"/>
      <c r="H8" s="60">
        <f t="shared" si="0"/>
        <v>2546.7199999999998</v>
      </c>
    </row>
    <row r="9" spans="1:8">
      <c r="A9" s="96">
        <v>44606</v>
      </c>
      <c r="B9" s="102" t="s">
        <v>1324</v>
      </c>
      <c r="C9" s="102" t="s">
        <v>1546</v>
      </c>
      <c r="D9" s="102"/>
      <c r="E9" s="60">
        <v>-2319.48</v>
      </c>
      <c r="F9" s="60"/>
      <c r="G9" s="60">
        <v>-2319.48</v>
      </c>
      <c r="H9" s="60">
        <f t="shared" si="0"/>
        <v>227.23999999999978</v>
      </c>
    </row>
    <row r="10" spans="1:8">
      <c r="A10" s="96">
        <v>44595</v>
      </c>
      <c r="B10" s="97" t="s">
        <v>1317</v>
      </c>
      <c r="C10" s="97" t="s">
        <v>1546</v>
      </c>
      <c r="D10" s="97"/>
      <c r="E10" s="60">
        <v>-182.2</v>
      </c>
      <c r="F10" s="60"/>
      <c r="G10" s="60">
        <v>-182.2</v>
      </c>
      <c r="H10" s="60">
        <f t="shared" si="0"/>
        <v>45.039999999999793</v>
      </c>
    </row>
    <row r="11" spans="1:8">
      <c r="A11" s="96">
        <v>44595</v>
      </c>
      <c r="B11" s="97" t="s">
        <v>1318</v>
      </c>
      <c r="C11" s="97" t="s">
        <v>1546</v>
      </c>
      <c r="D11" s="97"/>
      <c r="E11" s="60">
        <v>-436.3</v>
      </c>
      <c r="F11" s="60"/>
      <c r="G11" s="60">
        <v>-436.3</v>
      </c>
      <c r="H11" s="60">
        <f t="shared" si="0"/>
        <v>-391.26000000000022</v>
      </c>
    </row>
    <row r="12" spans="1:8">
      <c r="A12" s="96"/>
      <c r="B12" s="97"/>
      <c r="C12" s="97"/>
      <c r="D12" s="97"/>
      <c r="E12" s="60"/>
      <c r="F12" s="60"/>
      <c r="G12" s="60"/>
      <c r="H12" s="60">
        <f t="shared" si="0"/>
        <v>-391.26000000000022</v>
      </c>
    </row>
    <row r="13" spans="1:8">
      <c r="A13" s="96">
        <v>44610</v>
      </c>
      <c r="B13" s="102" t="s">
        <v>1424</v>
      </c>
      <c r="C13" s="102" t="s">
        <v>1546</v>
      </c>
      <c r="D13" s="102"/>
      <c r="E13" s="60">
        <v>-44.38</v>
      </c>
      <c r="F13" s="60"/>
      <c r="G13" s="60">
        <v>-44.38</v>
      </c>
      <c r="H13" s="60">
        <f t="shared" si="0"/>
        <v>-435.64000000000021</v>
      </c>
    </row>
    <row r="14" spans="1:8">
      <c r="A14" s="96">
        <v>44610</v>
      </c>
      <c r="B14" s="102" t="s">
        <v>1437</v>
      </c>
      <c r="C14" s="102" t="s">
        <v>1546</v>
      </c>
      <c r="D14" s="102"/>
      <c r="E14" s="60">
        <v>-1078.07</v>
      </c>
      <c r="F14" s="60"/>
      <c r="G14" s="60">
        <v>-1078.07</v>
      </c>
      <c r="H14" s="60">
        <f t="shared" si="0"/>
        <v>-1513.71</v>
      </c>
    </row>
    <row r="15" spans="1:8">
      <c r="A15" s="96"/>
      <c r="B15" s="102"/>
      <c r="C15" s="102"/>
      <c r="D15" s="102"/>
      <c r="E15" s="60"/>
      <c r="F15" s="60"/>
      <c r="G15" s="60"/>
      <c r="H15" s="60">
        <f t="shared" si="0"/>
        <v>-1513.71</v>
      </c>
    </row>
    <row r="16" spans="1:8">
      <c r="A16" s="96">
        <v>44596</v>
      </c>
      <c r="B16" s="370" t="s">
        <v>1444</v>
      </c>
      <c r="C16" s="370" t="s">
        <v>1546</v>
      </c>
      <c r="D16" s="370"/>
      <c r="E16" s="60"/>
      <c r="F16" s="60"/>
      <c r="G16" s="60">
        <v>-5577.72</v>
      </c>
      <c r="H16" s="60">
        <f t="shared" si="0"/>
        <v>-7091.43</v>
      </c>
    </row>
    <row r="17" spans="1:8">
      <c r="A17" s="96"/>
      <c r="B17" s="102" t="s">
        <v>1547</v>
      </c>
      <c r="C17" s="102"/>
      <c r="D17" s="102"/>
      <c r="E17" s="60">
        <v>-15</v>
      </c>
      <c r="F17" s="60"/>
      <c r="G17" s="60"/>
      <c r="H17" s="60">
        <f t="shared" si="0"/>
        <v>-7091.43</v>
      </c>
    </row>
    <row r="18" spans="1:8">
      <c r="A18" s="96"/>
      <c r="B18" s="102" t="s">
        <v>1556</v>
      </c>
      <c r="C18" s="102"/>
      <c r="D18" s="102"/>
      <c r="E18" s="60">
        <v>-5254.4</v>
      </c>
      <c r="F18" s="60"/>
      <c r="G18" s="60"/>
      <c r="H18" s="60">
        <f t="shared" si="0"/>
        <v>-7091.43</v>
      </c>
    </row>
    <row r="19" spans="1:8">
      <c r="A19" s="96"/>
      <c r="B19" s="102" t="s">
        <v>1557</v>
      </c>
      <c r="C19" s="102"/>
      <c r="D19" s="102"/>
      <c r="E19" s="60">
        <v>-308.32</v>
      </c>
      <c r="F19" s="60"/>
      <c r="G19" s="60"/>
      <c r="H19" s="60">
        <f t="shared" si="0"/>
        <v>-7091.43</v>
      </c>
    </row>
    <row r="20" spans="1:8">
      <c r="A20" s="96"/>
      <c r="B20" s="102"/>
      <c r="C20" s="102"/>
      <c r="D20" s="102"/>
      <c r="E20" s="60"/>
      <c r="F20" s="60"/>
      <c r="G20" s="60"/>
      <c r="H20" s="60">
        <f t="shared" si="0"/>
        <v>-7091.43</v>
      </c>
    </row>
    <row r="21" spans="1:8">
      <c r="A21" s="96">
        <v>44619</v>
      </c>
      <c r="B21" s="8" t="s">
        <v>69</v>
      </c>
      <c r="C21" s="8" t="s">
        <v>1479</v>
      </c>
      <c r="E21" s="60">
        <v>-1500</v>
      </c>
      <c r="F21" s="60"/>
      <c r="G21" s="60">
        <v>-1500</v>
      </c>
      <c r="H21" s="60">
        <f t="shared" si="0"/>
        <v>-8591.43</v>
      </c>
    </row>
    <row r="22" spans="1:8">
      <c r="A22" s="96">
        <v>44619</v>
      </c>
      <c r="B22" s="8" t="s">
        <v>1558</v>
      </c>
      <c r="C22" s="8" t="s">
        <v>1559</v>
      </c>
      <c r="E22" s="60"/>
      <c r="F22" s="60"/>
      <c r="G22" s="60"/>
      <c r="H22" s="60">
        <f t="shared" si="0"/>
        <v>-8591.43</v>
      </c>
    </row>
    <row r="23" spans="1:8">
      <c r="A23" s="96">
        <v>44619</v>
      </c>
      <c r="B23" s="8" t="s">
        <v>70</v>
      </c>
      <c r="C23" s="8" t="s">
        <v>1479</v>
      </c>
      <c r="E23" s="60">
        <v>-1400</v>
      </c>
      <c r="F23" s="60"/>
      <c r="G23" s="60">
        <v>-1400</v>
      </c>
      <c r="H23" s="60">
        <f t="shared" si="0"/>
        <v>-9991.43</v>
      </c>
    </row>
    <row r="24" spans="1:8">
      <c r="A24" s="96"/>
      <c r="B24" s="8" t="s">
        <v>1560</v>
      </c>
      <c r="C24" s="8" t="s">
        <v>1479</v>
      </c>
      <c r="E24" s="60">
        <v>-7900</v>
      </c>
      <c r="F24" s="60"/>
      <c r="G24" s="60">
        <v>-7900</v>
      </c>
      <c r="H24" s="60">
        <f t="shared" si="0"/>
        <v>-17891.43</v>
      </c>
    </row>
    <row r="25" spans="1:8">
      <c r="A25" s="96"/>
      <c r="B25" s="8" t="s">
        <v>71</v>
      </c>
      <c r="E25" s="60">
        <v>-1500</v>
      </c>
      <c r="F25" s="60"/>
      <c r="G25" s="60">
        <v>-1500</v>
      </c>
      <c r="H25" s="60">
        <f t="shared" si="0"/>
        <v>-19391.43</v>
      </c>
    </row>
    <row r="26" spans="1:8">
      <c r="H26" s="60">
        <f t="shared" si="0"/>
        <v>-19391.43</v>
      </c>
    </row>
    <row r="27" spans="1:8">
      <c r="A27" s="96">
        <v>44619</v>
      </c>
      <c r="B27" s="8" t="s">
        <v>68</v>
      </c>
      <c r="D27" s="60">
        <v>3020.37</v>
      </c>
      <c r="F27" s="60">
        <v>3020.37</v>
      </c>
      <c r="G27" s="60"/>
      <c r="H27" s="60">
        <f t="shared" si="0"/>
        <v>-16371.060000000001</v>
      </c>
    </row>
    <row r="28" spans="1:8">
      <c r="A28" s="96">
        <v>44614</v>
      </c>
      <c r="B28" s="8" t="s">
        <v>1561</v>
      </c>
      <c r="C28" s="8" t="s">
        <v>1546</v>
      </c>
      <c r="D28" s="60">
        <v>2000</v>
      </c>
      <c r="F28" s="60">
        <v>2500</v>
      </c>
      <c r="G28" s="60"/>
      <c r="H28" s="60">
        <f t="shared" si="0"/>
        <v>-13871.060000000001</v>
      </c>
    </row>
    <row r="29" spans="1:8">
      <c r="A29" s="96">
        <v>44614</v>
      </c>
      <c r="B29" s="8" t="s">
        <v>1561</v>
      </c>
      <c r="C29" s="8" t="s">
        <v>1546</v>
      </c>
      <c r="D29" s="60"/>
      <c r="F29" s="60">
        <v>500</v>
      </c>
      <c r="G29" s="60"/>
      <c r="H29" s="60">
        <f t="shared" si="0"/>
        <v>-13371.060000000001</v>
      </c>
    </row>
    <row r="30" spans="1:8">
      <c r="A30" s="96">
        <v>44620</v>
      </c>
      <c r="B30" s="8" t="s">
        <v>1562</v>
      </c>
      <c r="D30" s="60">
        <v>3000</v>
      </c>
      <c r="F30" s="60">
        <v>3000</v>
      </c>
      <c r="G30" s="60"/>
      <c r="H30" s="60">
        <f t="shared" si="0"/>
        <v>-10371.060000000001</v>
      </c>
    </row>
    <row r="37" spans="1:8">
      <c r="A37" s="96"/>
      <c r="E37" s="60"/>
      <c r="F37" s="60"/>
      <c r="G37" s="60"/>
      <c r="H37" s="60"/>
    </row>
    <row r="38" spans="1:8">
      <c r="A38" s="96"/>
      <c r="E38" s="60"/>
      <c r="F38" s="152"/>
      <c r="G38" s="152"/>
      <c r="H38" s="6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90"/>
  <sheetViews>
    <sheetView zoomScale="170" zoomScaleNormal="17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60" customWidth="1"/>
    <col min="6" max="8" width="11.140625" style="60" customWidth="1"/>
    <col min="9" max="9" width="12.28515625" customWidth="1"/>
    <col min="10" max="10" width="9.140625" customWidth="1"/>
  </cols>
  <sheetData>
    <row r="1" spans="1:8">
      <c r="B1" s="38">
        <v>11.1</v>
      </c>
      <c r="E1" s="178"/>
      <c r="F1" s="178" t="s">
        <v>20</v>
      </c>
      <c r="G1" s="178" t="s">
        <v>21</v>
      </c>
      <c r="H1" s="178" t="s">
        <v>3</v>
      </c>
    </row>
    <row r="2" spans="1:8">
      <c r="A2" s="234" t="s">
        <v>1563</v>
      </c>
      <c r="C2" s="76" t="s">
        <v>59</v>
      </c>
      <c r="D2" s="295">
        <f>SUM(D3:D57)</f>
        <v>7333.3</v>
      </c>
      <c r="E2" s="295">
        <f>SUM(E3:E57)</f>
        <v>-6834.05</v>
      </c>
      <c r="F2" s="295">
        <f>SUM(F3:F57)</f>
        <v>46462.64</v>
      </c>
      <c r="G2" s="295">
        <f>SUM(G3:G57)</f>
        <v>-6834.05</v>
      </c>
      <c r="H2" s="295">
        <f>F2+G2</f>
        <v>39628.589999999997</v>
      </c>
    </row>
    <row r="3" spans="1:8">
      <c r="A3" s="96"/>
      <c r="B3" s="15" t="s">
        <v>1564</v>
      </c>
      <c r="F3" s="60">
        <v>40129.339999999997</v>
      </c>
      <c r="H3" s="60">
        <f>F3+G3</f>
        <v>40129.339999999997</v>
      </c>
    </row>
    <row r="4" spans="1:8">
      <c r="A4" s="96"/>
      <c r="H4" s="60">
        <f t="shared" ref="H4:H25" si="0">H3+F4+G4</f>
        <v>40129.339999999997</v>
      </c>
    </row>
    <row r="5" spans="1:8">
      <c r="A5" s="96">
        <v>44564</v>
      </c>
      <c r="B5" s="8" t="s">
        <v>1503</v>
      </c>
      <c r="C5" s="8" t="s">
        <v>1545</v>
      </c>
      <c r="D5" s="60">
        <v>298.99</v>
      </c>
      <c r="F5" s="60">
        <v>298.99</v>
      </c>
      <c r="H5" s="60">
        <f t="shared" si="0"/>
        <v>40428.329999999994</v>
      </c>
    </row>
    <row r="6" spans="1:8">
      <c r="A6" s="96">
        <v>44564</v>
      </c>
      <c r="B6" s="8" t="s">
        <v>321</v>
      </c>
      <c r="C6" s="8" t="s">
        <v>1545</v>
      </c>
      <c r="D6" s="60">
        <v>630.74</v>
      </c>
      <c r="F6" s="60">
        <v>630.74</v>
      </c>
      <c r="H6" s="60">
        <f t="shared" si="0"/>
        <v>41059.069999999992</v>
      </c>
    </row>
    <row r="7" spans="1:8">
      <c r="A7" s="96">
        <v>44564</v>
      </c>
      <c r="B7" s="8" t="s">
        <v>1453</v>
      </c>
      <c r="C7" s="8" t="s">
        <v>1545</v>
      </c>
      <c r="D7" s="60">
        <v>230.29</v>
      </c>
      <c r="F7" s="60">
        <v>230.29</v>
      </c>
      <c r="H7" s="60">
        <f t="shared" si="0"/>
        <v>41289.359999999993</v>
      </c>
    </row>
    <row r="8" spans="1:8">
      <c r="A8" s="96">
        <v>44564</v>
      </c>
      <c r="B8" s="8" t="s">
        <v>325</v>
      </c>
      <c r="C8" s="8" t="s">
        <v>1545</v>
      </c>
      <c r="D8" s="60">
        <v>152.91</v>
      </c>
      <c r="F8" s="60">
        <v>152.91</v>
      </c>
      <c r="H8" s="60">
        <f t="shared" si="0"/>
        <v>41442.269999999997</v>
      </c>
    </row>
    <row r="9" spans="1:8">
      <c r="A9" s="96">
        <v>44574</v>
      </c>
      <c r="B9" s="102" t="s">
        <v>1324</v>
      </c>
      <c r="C9" s="102" t="s">
        <v>1546</v>
      </c>
      <c r="D9" s="102"/>
      <c r="E9" s="60">
        <v>-1250.4000000000001</v>
      </c>
      <c r="G9" s="60">
        <v>-1250.4000000000001</v>
      </c>
      <c r="H9" s="60">
        <f t="shared" si="0"/>
        <v>40191.869999999995</v>
      </c>
    </row>
    <row r="10" spans="1:8">
      <c r="A10" s="96">
        <v>44564</v>
      </c>
      <c r="B10" s="97" t="s">
        <v>1317</v>
      </c>
      <c r="C10" s="97" t="s">
        <v>1546</v>
      </c>
      <c r="D10" s="97"/>
      <c r="E10" s="178">
        <v>-130.30000000000001</v>
      </c>
      <c r="F10" s="178"/>
      <c r="G10" s="178">
        <v>-130.30000000000001</v>
      </c>
      <c r="H10" s="60">
        <f t="shared" si="0"/>
        <v>40061.569999999992</v>
      </c>
    </row>
    <row r="11" spans="1:8">
      <c r="A11" s="96">
        <v>44564</v>
      </c>
      <c r="B11" s="97" t="s">
        <v>1318</v>
      </c>
      <c r="C11" s="97" t="s">
        <v>1546</v>
      </c>
      <c r="D11" s="97"/>
      <c r="E11" s="178">
        <v>-255.4</v>
      </c>
      <c r="F11" s="178"/>
      <c r="G11" s="178">
        <v>-255.4</v>
      </c>
      <c r="H11" s="60">
        <f t="shared" si="0"/>
        <v>39806.169999999991</v>
      </c>
    </row>
    <row r="12" spans="1:8">
      <c r="A12" s="96"/>
      <c r="B12" s="102"/>
      <c r="C12" s="102"/>
      <c r="D12" s="102"/>
      <c r="H12" s="60">
        <f t="shared" si="0"/>
        <v>39806.169999999991</v>
      </c>
    </row>
    <row r="13" spans="1:8">
      <c r="A13" s="96">
        <v>44578</v>
      </c>
      <c r="B13" s="102" t="s">
        <v>1424</v>
      </c>
      <c r="C13" s="102" t="s">
        <v>1546</v>
      </c>
      <c r="D13" s="102"/>
      <c r="E13" s="60">
        <v>-37.869999999999997</v>
      </c>
      <c r="G13" s="60">
        <v>-37.869999999999997</v>
      </c>
      <c r="H13" s="60">
        <f t="shared" si="0"/>
        <v>39768.299999999988</v>
      </c>
    </row>
    <row r="14" spans="1:8">
      <c r="A14" s="96">
        <v>44578</v>
      </c>
      <c r="B14" s="102" t="s">
        <v>1437</v>
      </c>
      <c r="C14" s="102" t="s">
        <v>1546</v>
      </c>
      <c r="D14" s="102"/>
      <c r="E14" s="60">
        <v>-608.08000000000004</v>
      </c>
      <c r="G14" s="60">
        <v>-608.08000000000004</v>
      </c>
      <c r="H14" s="60">
        <f t="shared" si="0"/>
        <v>39160.219999999987</v>
      </c>
    </row>
    <row r="15" spans="1:8">
      <c r="A15" s="96"/>
      <c r="B15" s="102"/>
      <c r="C15" s="102"/>
      <c r="D15" s="102"/>
      <c r="H15" s="60">
        <f t="shared" si="0"/>
        <v>39160.219999999987</v>
      </c>
    </row>
    <row r="16" spans="1:8">
      <c r="A16" s="96"/>
      <c r="B16" s="102" t="s">
        <v>1547</v>
      </c>
      <c r="C16" s="102"/>
      <c r="D16" s="102"/>
      <c r="E16" s="178">
        <v>-50</v>
      </c>
      <c r="F16" s="178"/>
      <c r="G16" s="178"/>
      <c r="H16" s="60">
        <f t="shared" si="0"/>
        <v>39160.219999999987</v>
      </c>
    </row>
    <row r="17" spans="1:8">
      <c r="A17" s="96">
        <v>44565</v>
      </c>
      <c r="B17" s="370" t="s">
        <v>1444</v>
      </c>
      <c r="C17" s="370" t="s">
        <v>1546</v>
      </c>
      <c r="D17" s="370"/>
      <c r="E17" s="178"/>
      <c r="F17" s="178"/>
      <c r="G17" s="178">
        <v>-50</v>
      </c>
      <c r="H17" s="60">
        <f t="shared" si="0"/>
        <v>39110.219999999987</v>
      </c>
    </row>
    <row r="18" spans="1:8">
      <c r="A18" s="96"/>
      <c r="B18" s="102"/>
      <c r="C18" s="102"/>
      <c r="D18" s="102"/>
      <c r="E18" s="178"/>
      <c r="F18" s="178"/>
      <c r="G18" s="178"/>
      <c r="H18" s="60">
        <f t="shared" si="0"/>
        <v>39110.219999999987</v>
      </c>
    </row>
    <row r="19" spans="1:8">
      <c r="A19" s="96">
        <v>44588</v>
      </c>
      <c r="B19" s="8" t="s">
        <v>69</v>
      </c>
      <c r="C19" s="8" t="s">
        <v>1479</v>
      </c>
      <c r="E19" s="60">
        <v>-1501</v>
      </c>
      <c r="G19" s="60">
        <v>-1501</v>
      </c>
      <c r="H19" s="60">
        <f t="shared" si="0"/>
        <v>37609.219999999987</v>
      </c>
    </row>
    <row r="20" spans="1:8">
      <c r="A20" s="96">
        <v>44588</v>
      </c>
      <c r="B20" s="8" t="s">
        <v>70</v>
      </c>
      <c r="C20" s="8" t="s">
        <v>1479</v>
      </c>
      <c r="E20" s="60">
        <v>-1501</v>
      </c>
      <c r="G20" s="60">
        <v>-1501</v>
      </c>
      <c r="H20" s="60">
        <f t="shared" si="0"/>
        <v>36108.219999999987</v>
      </c>
    </row>
    <row r="21" spans="1:8">
      <c r="A21" s="96">
        <v>44591</v>
      </c>
      <c r="B21" s="8" t="s">
        <v>71</v>
      </c>
      <c r="E21" s="60">
        <v>-1500</v>
      </c>
      <c r="G21" s="60">
        <v>-1500</v>
      </c>
      <c r="H21" s="60">
        <f t="shared" si="0"/>
        <v>34608.219999999987</v>
      </c>
    </row>
    <row r="22" spans="1:8">
      <c r="A22" s="96"/>
      <c r="B22" s="102"/>
      <c r="C22" s="102"/>
      <c r="D22" s="102"/>
      <c r="E22" s="178"/>
      <c r="F22" s="178"/>
      <c r="G22" s="178"/>
      <c r="H22" s="60">
        <f t="shared" si="0"/>
        <v>34608.219999999987</v>
      </c>
    </row>
    <row r="23" spans="1:8">
      <c r="A23" s="96">
        <v>44588</v>
      </c>
      <c r="B23" s="8" t="s">
        <v>68</v>
      </c>
      <c r="C23" s="8" t="s">
        <v>1546</v>
      </c>
      <c r="D23" s="60">
        <v>3020.37</v>
      </c>
      <c r="F23" s="60">
        <v>3020.37</v>
      </c>
      <c r="H23" s="60">
        <f t="shared" si="0"/>
        <v>37628.589999999989</v>
      </c>
    </row>
    <row r="24" spans="1:8">
      <c r="A24" s="96">
        <v>44583</v>
      </c>
      <c r="B24" s="8" t="s">
        <v>663</v>
      </c>
      <c r="D24" s="60">
        <v>1000</v>
      </c>
      <c r="F24" s="60">
        <v>0</v>
      </c>
      <c r="H24" s="60">
        <f t="shared" si="0"/>
        <v>37628.589999999989</v>
      </c>
    </row>
    <row r="25" spans="1:8">
      <c r="A25" s="96">
        <v>44591</v>
      </c>
      <c r="B25" s="8" t="s">
        <v>1565</v>
      </c>
      <c r="C25" s="8" t="s">
        <v>1545</v>
      </c>
      <c r="D25" s="60">
        <v>2000</v>
      </c>
      <c r="F25" s="60">
        <v>2000</v>
      </c>
      <c r="H25" s="60">
        <f t="shared" si="0"/>
        <v>39628.589999999989</v>
      </c>
    </row>
    <row r="29" spans="1:8">
      <c r="A29" s="96"/>
    </row>
    <row r="30" spans="1:8">
      <c r="A30" s="96"/>
    </row>
    <row r="31" spans="1:8">
      <c r="A31" s="96"/>
    </row>
    <row r="32" spans="1:8">
      <c r="A32" s="96"/>
      <c r="E32" s="178"/>
      <c r="F32" s="178"/>
      <c r="G32" s="178"/>
      <c r="H32" s="178"/>
    </row>
    <row r="54" spans="1:9">
      <c r="I54" s="3"/>
    </row>
    <row r="55" spans="1:9">
      <c r="A55" s="96"/>
      <c r="E55" s="152"/>
      <c r="F55" s="152"/>
      <c r="G55" s="152"/>
      <c r="I55" s="3"/>
    </row>
    <row r="75" spans="1:7">
      <c r="A75" s="96"/>
    </row>
    <row r="76" spans="1:7">
      <c r="A76" s="96"/>
    </row>
    <row r="77" spans="1:7">
      <c r="A77" s="96"/>
      <c r="E77" s="152"/>
      <c r="F77" s="152"/>
      <c r="G77" s="152"/>
    </row>
    <row r="78" spans="1:7">
      <c r="A78" s="96"/>
    </row>
    <row r="100" spans="1:7">
      <c r="A100" s="96"/>
      <c r="E100" s="152"/>
      <c r="F100" s="152"/>
      <c r="G100" s="152"/>
    </row>
    <row r="101" spans="1:7">
      <c r="A101" s="96"/>
      <c r="B101" s="3"/>
      <c r="C101" s="3"/>
      <c r="D101" s="3"/>
    </row>
    <row r="102" spans="1:7">
      <c r="A102" s="96"/>
      <c r="B102" s="97"/>
      <c r="C102" s="97"/>
      <c r="D102" s="97"/>
      <c r="E102" s="152"/>
      <c r="F102" s="152"/>
    </row>
    <row r="103" spans="1:7">
      <c r="A103" s="96"/>
      <c r="B103" s="97"/>
      <c r="C103" s="97"/>
      <c r="D103" s="97"/>
      <c r="E103" s="152"/>
      <c r="F103" s="152"/>
    </row>
    <row r="104" spans="1:7">
      <c r="A104" s="96"/>
      <c r="B104" s="102"/>
      <c r="C104" s="102"/>
      <c r="D104" s="102"/>
      <c r="E104" s="152"/>
      <c r="F104" s="152"/>
    </row>
    <row r="105" spans="1:7">
      <c r="A105" s="96"/>
    </row>
    <row r="106" spans="1:7">
      <c r="A106" s="96"/>
    </row>
    <row r="107" spans="1:7">
      <c r="A107" s="96"/>
    </row>
    <row r="108" spans="1:7">
      <c r="A108" s="96"/>
    </row>
    <row r="109" spans="1:7">
      <c r="A109" s="96"/>
    </row>
    <row r="110" spans="1:7">
      <c r="A110" s="96"/>
      <c r="B110" s="102"/>
      <c r="C110" s="102"/>
      <c r="D110" s="102"/>
    </row>
    <row r="111" spans="1:7">
      <c r="A111" s="96"/>
      <c r="B111" s="102"/>
      <c r="C111" s="102"/>
      <c r="D111" s="102"/>
    </row>
    <row r="112" spans="1:7">
      <c r="A112" s="96"/>
      <c r="B112" s="102"/>
      <c r="C112" s="102"/>
      <c r="D112" s="102"/>
    </row>
    <row r="113" spans="1:7">
      <c r="A113" s="96"/>
    </row>
    <row r="114" spans="1:7">
      <c r="A114" s="96"/>
    </row>
    <row r="115" spans="1:7">
      <c r="A115" s="96"/>
    </row>
    <row r="116" spans="1:7">
      <c r="A116" s="96"/>
    </row>
    <row r="117" spans="1:7">
      <c r="A117" s="96"/>
    </row>
    <row r="118" spans="1:7">
      <c r="A118" s="96"/>
    </row>
    <row r="119" spans="1:7">
      <c r="A119" s="96"/>
    </row>
    <row r="120" spans="1:7">
      <c r="A120" s="96"/>
    </row>
    <row r="121" spans="1:7">
      <c r="A121" s="96"/>
    </row>
    <row r="122" spans="1:7">
      <c r="A122" s="96"/>
      <c r="E122" s="152"/>
      <c r="F122" s="152"/>
      <c r="G122" s="152"/>
    </row>
    <row r="123" spans="1:7">
      <c r="A123" s="96"/>
    </row>
    <row r="124" spans="1:7">
      <c r="A124" s="96"/>
    </row>
    <row r="125" spans="1:7">
      <c r="A125" s="96"/>
    </row>
    <row r="126" spans="1:7">
      <c r="A126" s="96"/>
    </row>
    <row r="127" spans="1:7">
      <c r="A127" s="96"/>
    </row>
    <row r="128" spans="1:7">
      <c r="A128" s="96"/>
    </row>
    <row r="129" spans="1:1">
      <c r="A129" s="96"/>
    </row>
    <row r="130" spans="1:1">
      <c r="A130" s="96"/>
    </row>
    <row r="131" spans="1:1">
      <c r="A131" s="96"/>
    </row>
    <row r="132" spans="1:1">
      <c r="A132" s="96"/>
    </row>
    <row r="133" spans="1:1">
      <c r="A133" s="96"/>
    </row>
    <row r="134" spans="1:1">
      <c r="A134" s="96"/>
    </row>
    <row r="135" spans="1:1">
      <c r="A135" s="96"/>
    </row>
    <row r="136" spans="1:1">
      <c r="A136" s="96"/>
    </row>
    <row r="137" spans="1:1">
      <c r="A137" s="96"/>
    </row>
    <row r="138" spans="1:1">
      <c r="A138" s="96"/>
    </row>
    <row r="139" spans="1:1">
      <c r="A139" s="96"/>
    </row>
    <row r="140" spans="1:1">
      <c r="A140" s="96"/>
    </row>
    <row r="141" spans="1:1">
      <c r="A141" s="96"/>
    </row>
    <row r="142" spans="1:1">
      <c r="A142" s="96"/>
    </row>
    <row r="143" spans="1:1">
      <c r="A143" s="96"/>
    </row>
    <row r="144" spans="1:1">
      <c r="A144" s="96"/>
    </row>
    <row r="145" spans="1:7">
      <c r="A145" s="96"/>
      <c r="E145" s="152"/>
      <c r="F145" s="152"/>
      <c r="G145" s="152"/>
    </row>
    <row r="146" spans="1:7">
      <c r="A146" s="96"/>
      <c r="B146" s="3"/>
      <c r="C146" s="3"/>
      <c r="D146" s="3"/>
    </row>
    <row r="147" spans="1:7">
      <c r="A147" s="96"/>
      <c r="B147" s="3"/>
      <c r="C147" s="3"/>
      <c r="D147" s="3"/>
    </row>
    <row r="148" spans="1:7">
      <c r="A148" s="96"/>
      <c r="B148" s="97"/>
      <c r="C148" s="97"/>
      <c r="D148" s="97"/>
      <c r="E148" s="152"/>
      <c r="F148" s="152"/>
    </row>
    <row r="149" spans="1:7">
      <c r="A149" s="96"/>
      <c r="B149" s="97"/>
      <c r="C149" s="97"/>
      <c r="D149" s="97"/>
      <c r="E149" s="152"/>
      <c r="F149" s="152"/>
    </row>
    <row r="150" spans="1:7">
      <c r="A150" s="96"/>
      <c r="B150" s="102"/>
      <c r="C150" s="102"/>
      <c r="D150" s="102"/>
      <c r="E150" s="152"/>
      <c r="F150" s="152"/>
    </row>
    <row r="151" spans="1:7">
      <c r="A151" s="96"/>
    </row>
    <row r="152" spans="1:7">
      <c r="A152" s="96"/>
    </row>
    <row r="153" spans="1:7">
      <c r="A153" s="96"/>
    </row>
    <row r="154" spans="1:7">
      <c r="A154" s="96"/>
    </row>
    <row r="155" spans="1:7">
      <c r="A155" s="96"/>
    </row>
    <row r="156" spans="1:7">
      <c r="A156" s="96"/>
      <c r="B156" s="102"/>
      <c r="C156" s="102"/>
      <c r="D156" s="102"/>
    </row>
    <row r="157" spans="1:7">
      <c r="A157" s="96"/>
      <c r="B157" s="102"/>
      <c r="C157" s="102"/>
      <c r="D157" s="102"/>
    </row>
    <row r="158" spans="1:7">
      <c r="A158" s="96"/>
      <c r="B158" s="102"/>
      <c r="C158" s="102"/>
      <c r="D158" s="102"/>
    </row>
    <row r="159" spans="1:7">
      <c r="A159" s="96"/>
    </row>
    <row r="160" spans="1:7">
      <c r="A160" s="96"/>
    </row>
    <row r="161" spans="1:7">
      <c r="A161" s="96"/>
    </row>
    <row r="162" spans="1:7">
      <c r="A162" s="96"/>
    </row>
    <row r="163" spans="1:7">
      <c r="A163" s="96"/>
    </row>
    <row r="164" spans="1:7">
      <c r="A164" s="96"/>
    </row>
    <row r="165" spans="1:7">
      <c r="A165" s="96"/>
    </row>
    <row r="166" spans="1:7">
      <c r="A166" s="96"/>
    </row>
    <row r="167" spans="1:7">
      <c r="A167" s="96"/>
    </row>
    <row r="168" spans="1:7">
      <c r="A168" s="96"/>
      <c r="E168" s="152"/>
      <c r="F168" s="152"/>
      <c r="G168" s="152"/>
    </row>
    <row r="169" spans="1:7">
      <c r="A169" s="96"/>
      <c r="B169" s="3"/>
      <c r="C169" s="3"/>
      <c r="D169" s="3"/>
    </row>
    <row r="170" spans="1:7">
      <c r="B170" s="3"/>
      <c r="C170" s="3"/>
      <c r="D170" s="3"/>
    </row>
    <row r="171" spans="1:7">
      <c r="A171" s="96"/>
      <c r="B171" s="97"/>
      <c r="C171" s="97"/>
      <c r="D171" s="97"/>
      <c r="E171" s="152"/>
      <c r="F171" s="152"/>
    </row>
    <row r="172" spans="1:7">
      <c r="A172" s="96"/>
      <c r="B172" s="97"/>
      <c r="C172" s="97"/>
      <c r="D172" s="97"/>
      <c r="E172" s="152"/>
      <c r="F172" s="152"/>
    </row>
    <row r="173" spans="1:7">
      <c r="A173" s="96"/>
      <c r="B173" s="102"/>
      <c r="C173" s="102"/>
      <c r="D173" s="102"/>
      <c r="E173" s="152"/>
      <c r="F173" s="152"/>
    </row>
    <row r="174" spans="1:7">
      <c r="A174" s="96"/>
    </row>
    <row r="175" spans="1:7">
      <c r="A175" s="96"/>
    </row>
    <row r="176" spans="1:7">
      <c r="A176" s="96"/>
    </row>
    <row r="177" spans="1:7">
      <c r="A177" s="96"/>
    </row>
    <row r="178" spans="1:7">
      <c r="A178" s="96"/>
    </row>
    <row r="179" spans="1:7">
      <c r="A179" s="96"/>
      <c r="B179" s="102"/>
      <c r="C179" s="102"/>
      <c r="D179" s="102"/>
    </row>
    <row r="180" spans="1:7">
      <c r="A180" s="96"/>
      <c r="B180" s="102"/>
      <c r="C180" s="102"/>
      <c r="D180" s="102"/>
    </row>
    <row r="181" spans="1:7">
      <c r="A181" s="96"/>
      <c r="B181" s="102"/>
      <c r="C181" s="102"/>
      <c r="D181" s="102"/>
    </row>
    <row r="182" spans="1:7">
      <c r="A182" s="96"/>
    </row>
    <row r="183" spans="1:7">
      <c r="A183" s="96"/>
    </row>
    <row r="184" spans="1:7">
      <c r="A184" s="96"/>
    </row>
    <row r="185" spans="1:7">
      <c r="A185" s="96"/>
    </row>
    <row r="186" spans="1:7">
      <c r="A186" s="96"/>
    </row>
    <row r="187" spans="1:7">
      <c r="A187" s="96"/>
    </row>
    <row r="188" spans="1:7">
      <c r="A188" s="96"/>
    </row>
    <row r="189" spans="1:7">
      <c r="A189" s="96"/>
    </row>
    <row r="190" spans="1:7">
      <c r="A190" s="96"/>
    </row>
    <row r="191" spans="1:7">
      <c r="A191" s="96"/>
      <c r="E191" s="152"/>
      <c r="F191" s="152"/>
      <c r="G191" s="152"/>
    </row>
    <row r="192" spans="1:7">
      <c r="B192" s="3"/>
      <c r="C192" s="3"/>
      <c r="D192" s="3"/>
    </row>
    <row r="193" spans="1:6">
      <c r="B193" s="3"/>
      <c r="C193" s="3"/>
      <c r="D193" s="3"/>
      <c r="E193" s="152"/>
    </row>
    <row r="194" spans="1:6">
      <c r="A194" s="96"/>
      <c r="B194" s="97"/>
      <c r="C194" s="97"/>
      <c r="D194" s="97"/>
      <c r="E194" s="152"/>
      <c r="F194" s="152"/>
    </row>
    <row r="195" spans="1:6">
      <c r="A195" s="96"/>
      <c r="B195" s="97"/>
      <c r="C195" s="97"/>
      <c r="D195" s="97"/>
      <c r="E195" s="152"/>
      <c r="F195" s="152"/>
    </row>
    <row r="196" spans="1:6">
      <c r="A196" s="96"/>
      <c r="B196" s="102"/>
      <c r="C196" s="102"/>
      <c r="D196" s="102"/>
      <c r="E196" s="152"/>
      <c r="F196" s="152"/>
    </row>
    <row r="197" spans="1:6">
      <c r="A197" s="96"/>
    </row>
    <row r="198" spans="1:6">
      <c r="A198" s="96"/>
    </row>
    <row r="199" spans="1:6">
      <c r="A199" s="96"/>
    </row>
    <row r="200" spans="1:6">
      <c r="A200" s="96"/>
    </row>
    <row r="201" spans="1:6">
      <c r="A201" s="96"/>
    </row>
    <row r="202" spans="1:6">
      <c r="A202" s="96"/>
      <c r="B202" s="102"/>
      <c r="C202" s="102"/>
      <c r="D202" s="102"/>
    </row>
    <row r="203" spans="1:6">
      <c r="A203" s="96"/>
      <c r="B203" s="102"/>
      <c r="C203" s="102"/>
      <c r="D203" s="102"/>
    </row>
    <row r="204" spans="1:6">
      <c r="A204" s="96"/>
      <c r="B204" s="102"/>
      <c r="C204" s="102"/>
      <c r="D204" s="102"/>
    </row>
    <row r="205" spans="1:6">
      <c r="A205" s="96"/>
    </row>
    <row r="206" spans="1:6">
      <c r="A206" s="96"/>
    </row>
    <row r="207" spans="1:6">
      <c r="A207" s="96"/>
    </row>
    <row r="208" spans="1:6">
      <c r="A208" s="96"/>
    </row>
    <row r="209" spans="1:7">
      <c r="A209" s="96"/>
    </row>
    <row r="210" spans="1:7">
      <c r="A210" s="96"/>
    </row>
    <row r="211" spans="1:7">
      <c r="A211" s="96"/>
    </row>
    <row r="212" spans="1:7">
      <c r="A212" s="96"/>
    </row>
    <row r="213" spans="1:7">
      <c r="A213" s="96"/>
    </row>
    <row r="214" spans="1:7">
      <c r="A214" s="96"/>
      <c r="E214" s="152"/>
      <c r="F214" s="152"/>
      <c r="G214" s="152"/>
    </row>
    <row r="215" spans="1:7">
      <c r="B215" s="3"/>
      <c r="C215" s="3"/>
      <c r="D215" s="3"/>
      <c r="E215" s="152"/>
    </row>
    <row r="216" spans="1:7">
      <c r="B216" s="3"/>
      <c r="C216" s="3"/>
      <c r="D216" s="3"/>
    </row>
    <row r="217" spans="1:7">
      <c r="A217" s="96"/>
      <c r="B217" s="97"/>
      <c r="C217" s="97"/>
      <c r="D217" s="97"/>
      <c r="E217" s="152"/>
      <c r="F217" s="152"/>
    </row>
    <row r="218" spans="1:7">
      <c r="A218" s="96"/>
      <c r="B218" s="97"/>
      <c r="C218" s="97"/>
      <c r="D218" s="97"/>
      <c r="E218" s="152"/>
      <c r="F218" s="152"/>
    </row>
    <row r="219" spans="1:7">
      <c r="A219" s="96"/>
      <c r="B219" s="102"/>
      <c r="C219" s="102"/>
      <c r="D219" s="102"/>
      <c r="E219" s="152"/>
      <c r="F219" s="152"/>
    </row>
    <row r="220" spans="1:7">
      <c r="A220" s="96"/>
    </row>
    <row r="221" spans="1:7">
      <c r="A221" s="96"/>
    </row>
    <row r="222" spans="1:7">
      <c r="A222" s="96"/>
    </row>
    <row r="223" spans="1:7">
      <c r="A223" s="96"/>
    </row>
    <row r="224" spans="1:7">
      <c r="A224" s="96"/>
    </row>
    <row r="225" spans="1:7">
      <c r="A225" s="96"/>
      <c r="B225" s="102"/>
      <c r="C225" s="102"/>
      <c r="D225" s="102"/>
    </row>
    <row r="226" spans="1:7">
      <c r="A226" s="96"/>
      <c r="B226" s="102"/>
      <c r="C226" s="102"/>
      <c r="D226" s="102"/>
    </row>
    <row r="227" spans="1:7">
      <c r="A227" s="96"/>
      <c r="B227" s="102"/>
      <c r="C227" s="102"/>
      <c r="D227" s="102"/>
    </row>
    <row r="228" spans="1:7">
      <c r="A228" s="96"/>
    </row>
    <row r="229" spans="1:7">
      <c r="A229" s="96"/>
    </row>
    <row r="230" spans="1:7">
      <c r="A230" s="96"/>
    </row>
    <row r="231" spans="1:7">
      <c r="A231" s="96"/>
    </row>
    <row r="232" spans="1:7">
      <c r="A232" s="96"/>
    </row>
    <row r="233" spans="1:7">
      <c r="A233" s="96"/>
    </row>
    <row r="234" spans="1:7">
      <c r="A234" s="96"/>
    </row>
    <row r="235" spans="1:7">
      <c r="A235" s="96"/>
    </row>
    <row r="236" spans="1:7">
      <c r="A236" s="96"/>
    </row>
    <row r="237" spans="1:7">
      <c r="A237" s="96"/>
      <c r="E237" s="152"/>
      <c r="F237" s="152"/>
      <c r="G237" s="152"/>
    </row>
    <row r="238" spans="1:7">
      <c r="B238" s="3"/>
      <c r="C238" s="3"/>
      <c r="D238" s="3"/>
    </row>
    <row r="239" spans="1:7">
      <c r="B239" s="3"/>
      <c r="C239" s="3"/>
      <c r="D239" s="3"/>
    </row>
    <row r="240" spans="1:7">
      <c r="A240" s="96"/>
      <c r="B240" s="97"/>
      <c r="C240" s="97"/>
      <c r="D240" s="97"/>
      <c r="E240" s="152"/>
      <c r="F240" s="152"/>
    </row>
    <row r="241" spans="1:6">
      <c r="A241" s="96"/>
      <c r="B241" s="97"/>
      <c r="C241" s="97"/>
      <c r="D241" s="97"/>
      <c r="E241" s="152"/>
      <c r="F241" s="152"/>
    </row>
    <row r="242" spans="1:6">
      <c r="A242" s="96"/>
      <c r="B242" s="102"/>
      <c r="C242" s="102"/>
      <c r="D242" s="102"/>
      <c r="E242" s="152"/>
      <c r="F242" s="152"/>
    </row>
    <row r="243" spans="1:6">
      <c r="A243" s="96"/>
    </row>
    <row r="244" spans="1:6">
      <c r="A244" s="96"/>
    </row>
    <row r="245" spans="1:6">
      <c r="A245" s="96"/>
    </row>
    <row r="246" spans="1:6">
      <c r="A246" s="96"/>
    </row>
    <row r="247" spans="1:6">
      <c r="A247" s="96"/>
    </row>
    <row r="248" spans="1:6">
      <c r="A248" s="96"/>
      <c r="B248" s="102"/>
      <c r="C248" s="102"/>
      <c r="D248" s="102"/>
    </row>
    <row r="249" spans="1:6">
      <c r="A249" s="96"/>
      <c r="B249" s="102"/>
      <c r="C249" s="102"/>
      <c r="D249" s="102"/>
    </row>
    <row r="250" spans="1:6">
      <c r="A250" s="96"/>
      <c r="B250" s="102"/>
      <c r="C250" s="102"/>
      <c r="D250" s="102"/>
    </row>
    <row r="251" spans="1:6">
      <c r="A251" s="96"/>
    </row>
    <row r="252" spans="1:6">
      <c r="A252" s="96"/>
    </row>
    <row r="253" spans="1:6">
      <c r="A253" s="96"/>
    </row>
    <row r="254" spans="1:6">
      <c r="A254" s="96"/>
    </row>
    <row r="255" spans="1:6">
      <c r="A255" s="96"/>
    </row>
    <row r="256" spans="1:6">
      <c r="A256" s="96"/>
    </row>
    <row r="257" spans="1:7">
      <c r="A257" s="96"/>
    </row>
    <row r="258" spans="1:7">
      <c r="A258" s="96"/>
    </row>
    <row r="259" spans="1:7">
      <c r="A259" s="96"/>
    </row>
    <row r="260" spans="1:7">
      <c r="A260" s="96"/>
      <c r="E260" s="152"/>
      <c r="F260" s="152"/>
      <c r="G260" s="152"/>
    </row>
    <row r="261" spans="1:7">
      <c r="B261" s="3"/>
      <c r="C261" s="3"/>
      <c r="D261" s="3"/>
    </row>
    <row r="262" spans="1:7">
      <c r="B262" s="3"/>
      <c r="C262" s="3"/>
      <c r="D262" s="3"/>
    </row>
    <row r="263" spans="1:7">
      <c r="A263" s="96"/>
      <c r="B263" s="97"/>
      <c r="C263" s="97"/>
      <c r="D263" s="97"/>
      <c r="E263" s="152"/>
      <c r="F263" s="152"/>
    </row>
    <row r="264" spans="1:7">
      <c r="A264" s="96"/>
      <c r="B264" s="97"/>
      <c r="C264" s="97"/>
      <c r="D264" s="97"/>
      <c r="E264" s="152"/>
      <c r="F264" s="152"/>
    </row>
    <row r="265" spans="1:7">
      <c r="A265" s="96"/>
      <c r="B265" s="102"/>
      <c r="C265" s="102"/>
      <c r="D265" s="102"/>
      <c r="E265" s="152"/>
      <c r="F265" s="152"/>
    </row>
    <row r="266" spans="1:7">
      <c r="A266" s="96"/>
    </row>
    <row r="267" spans="1:7">
      <c r="A267" s="96"/>
    </row>
    <row r="268" spans="1:7">
      <c r="A268" s="96"/>
    </row>
    <row r="269" spans="1:7">
      <c r="A269" s="96"/>
    </row>
    <row r="270" spans="1:7">
      <c r="A270" s="96"/>
    </row>
    <row r="271" spans="1:7">
      <c r="A271" s="96"/>
      <c r="B271" s="102"/>
      <c r="C271" s="102"/>
      <c r="D271" s="102"/>
    </row>
    <row r="272" spans="1:7">
      <c r="A272" s="96"/>
      <c r="B272" s="102"/>
      <c r="C272" s="102"/>
      <c r="D272" s="102"/>
    </row>
    <row r="273" spans="1:7">
      <c r="A273" s="96"/>
      <c r="B273" s="102"/>
      <c r="C273" s="102"/>
      <c r="D273" s="102"/>
    </row>
    <row r="274" spans="1:7">
      <c r="A274" s="96"/>
    </row>
    <row r="275" spans="1:7">
      <c r="A275" s="96"/>
    </row>
    <row r="276" spans="1:7">
      <c r="A276" s="96"/>
    </row>
    <row r="277" spans="1:7">
      <c r="A277" s="96"/>
    </row>
    <row r="278" spans="1:7">
      <c r="A278" s="96"/>
    </row>
    <row r="279" spans="1:7">
      <c r="A279" s="96"/>
    </row>
    <row r="280" spans="1:7">
      <c r="A280" s="96"/>
    </row>
    <row r="281" spans="1:7">
      <c r="A281" s="96"/>
    </row>
    <row r="282" spans="1:7">
      <c r="A282" s="96"/>
    </row>
    <row r="283" spans="1:7">
      <c r="A283" s="96"/>
      <c r="E283" s="152"/>
      <c r="F283" s="152"/>
      <c r="G283" s="152"/>
    </row>
    <row r="284" spans="1:7">
      <c r="B284" s="3"/>
      <c r="C284" s="3"/>
      <c r="D284" s="3"/>
    </row>
    <row r="285" spans="1:7">
      <c r="B285" s="3"/>
      <c r="C285" s="3"/>
      <c r="D285" s="3"/>
    </row>
    <row r="286" spans="1:7">
      <c r="B286" s="3"/>
      <c r="C286" s="3"/>
      <c r="D286" s="3"/>
    </row>
    <row r="287" spans="1:7">
      <c r="B287" s="3"/>
      <c r="C287" s="3"/>
      <c r="D287" s="3"/>
    </row>
    <row r="288" spans="1:7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N25"/>
  <sheetViews>
    <sheetView topLeftCell="A9" zoomScale="170" zoomScaleNormal="170" workbookViewId="0">
      <selection activeCell="A9" sqref="A9"/>
    </sheetView>
  </sheetViews>
  <sheetFormatPr defaultColWidth="8.5703125" defaultRowHeight="12.75"/>
  <cols>
    <col min="1" max="1" width="12.28515625" customWidth="1"/>
    <col min="2" max="2" width="13.5703125" customWidth="1"/>
    <col min="3" max="3" width="14.28515625" customWidth="1"/>
    <col min="4" max="4" width="14.5703125" customWidth="1"/>
    <col min="5" max="5" width="14.140625" customWidth="1"/>
    <col min="6" max="6" width="15.5703125" customWidth="1"/>
    <col min="7" max="7" width="14.8554687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1566</v>
      </c>
    </row>
    <row r="3" spans="1:14">
      <c r="A3" t="s">
        <v>1567</v>
      </c>
      <c r="C3" t="s">
        <v>1568</v>
      </c>
      <c r="D3" t="s">
        <v>1569</v>
      </c>
    </row>
    <row r="4" spans="1:14">
      <c r="A4" t="s">
        <v>1570</v>
      </c>
      <c r="C4" t="s">
        <v>1571</v>
      </c>
      <c r="D4" t="s">
        <v>1572</v>
      </c>
    </row>
    <row r="5" spans="1:14">
      <c r="A5" t="s">
        <v>1573</v>
      </c>
      <c r="C5" t="s">
        <v>1571</v>
      </c>
      <c r="D5" t="s">
        <v>1574</v>
      </c>
    </row>
    <row r="10" spans="1:14" ht="15.75">
      <c r="A10" s="16"/>
      <c r="B10" s="17"/>
      <c r="C10" s="18" t="s">
        <v>15</v>
      </c>
      <c r="D10" s="19"/>
      <c r="E10" s="20"/>
      <c r="F10" s="18" t="s">
        <v>16</v>
      </c>
      <c r="G10" s="19"/>
      <c r="H10" s="21"/>
      <c r="I10" s="22"/>
      <c r="J10" s="23"/>
      <c r="K10" s="323">
        <v>0.23471</v>
      </c>
      <c r="L10" s="323">
        <v>0.76529000000000003</v>
      </c>
      <c r="M10" s="324"/>
      <c r="N10" s="23" t="s">
        <v>18</v>
      </c>
    </row>
    <row r="11" spans="1:14" ht="15.75">
      <c r="A11" s="16">
        <v>-2022</v>
      </c>
      <c r="B11" s="20" t="s">
        <v>20</v>
      </c>
      <c r="C11" s="25" t="s">
        <v>21</v>
      </c>
      <c r="D11" s="19" t="s">
        <v>22</v>
      </c>
      <c r="E11" s="20" t="s">
        <v>20</v>
      </c>
      <c r="F11" s="25" t="s">
        <v>21</v>
      </c>
      <c r="G11" s="19" t="s">
        <v>3</v>
      </c>
      <c r="H11" s="21"/>
      <c r="I11" s="22"/>
      <c r="J11" s="23" t="s">
        <v>23</v>
      </c>
      <c r="K11" s="324" t="s">
        <v>789</v>
      </c>
      <c r="L11" s="324" t="s">
        <v>790</v>
      </c>
      <c r="M11" s="324" t="s">
        <v>24</v>
      </c>
      <c r="N11" s="23" t="s">
        <v>1311</v>
      </c>
    </row>
    <row r="12" spans="1:14">
      <c r="A12" t="s">
        <v>25</v>
      </c>
      <c r="B12" s="202">
        <v>7333.3</v>
      </c>
      <c r="C12" s="203">
        <v>-6834.05</v>
      </c>
      <c r="D12" s="204">
        <v>499.25</v>
      </c>
      <c r="E12" s="202">
        <v>46462.64</v>
      </c>
      <c r="F12" s="203">
        <v>-6834.05</v>
      </c>
      <c r="G12" s="205">
        <v>39628.589999999997</v>
      </c>
      <c r="H12" s="31"/>
      <c r="I12" s="32" t="s">
        <v>26</v>
      </c>
      <c r="J12">
        <v>36</v>
      </c>
      <c r="K12" s="2"/>
      <c r="M12" s="2">
        <v>36</v>
      </c>
    </row>
    <row r="13" spans="1:14">
      <c r="A13" t="s">
        <v>27</v>
      </c>
      <c r="B13" s="202">
        <v>10567.09</v>
      </c>
      <c r="C13" s="203">
        <v>-21938.15</v>
      </c>
      <c r="D13" s="204">
        <v>-10871.81</v>
      </c>
      <c r="E13" s="202">
        <v>11567.09</v>
      </c>
      <c r="F13" s="203">
        <v>-21938.15</v>
      </c>
      <c r="G13" s="205">
        <v>29257.53</v>
      </c>
      <c r="H13" s="31"/>
      <c r="I13" s="32" t="s">
        <v>30</v>
      </c>
      <c r="J13">
        <v>19.8</v>
      </c>
      <c r="K13" s="2"/>
      <c r="M13" s="2">
        <v>19.8</v>
      </c>
    </row>
    <row r="14" spans="1:14">
      <c r="A14" t="s">
        <v>29</v>
      </c>
      <c r="B14" s="202">
        <v>36859.61</v>
      </c>
      <c r="C14" s="203">
        <v>-30109.3</v>
      </c>
      <c r="D14" s="204">
        <v>-4121.5</v>
      </c>
      <c r="E14" s="202">
        <v>35859.61</v>
      </c>
      <c r="F14" s="203">
        <v>-30109.3</v>
      </c>
      <c r="G14" s="205">
        <v>35007.839999999997</v>
      </c>
      <c r="H14" s="31"/>
      <c r="I14" s="32" t="s">
        <v>68</v>
      </c>
      <c r="N14" s="2">
        <v>46.1</v>
      </c>
    </row>
    <row r="15" spans="1:14">
      <c r="A15" t="s">
        <v>31</v>
      </c>
      <c r="B15" s="202">
        <v>15937.59</v>
      </c>
      <c r="C15" s="203">
        <v>-11790.68</v>
      </c>
      <c r="D15" s="204">
        <v>25.4100000000035</v>
      </c>
      <c r="E15" s="202">
        <v>17940.28</v>
      </c>
      <c r="F15" s="203">
        <v>-11140.68</v>
      </c>
      <c r="G15" s="205">
        <v>41807.440000000002</v>
      </c>
      <c r="H15" s="31"/>
      <c r="I15" s="32" t="s">
        <v>40</v>
      </c>
      <c r="J15">
        <v>60</v>
      </c>
      <c r="K15" s="2"/>
      <c r="M15" s="2">
        <v>6.5</v>
      </c>
    </row>
    <row r="16" spans="1:14">
      <c r="A16" t="s">
        <v>33</v>
      </c>
      <c r="B16" s="202">
        <v>11328.34</v>
      </c>
      <c r="C16" s="203">
        <v>-7712.66</v>
      </c>
      <c r="D16" s="204">
        <v>3641.09</v>
      </c>
      <c r="E16" s="202">
        <v>9522.3700000000008</v>
      </c>
      <c r="F16" s="203">
        <v>-7722.66</v>
      </c>
      <c r="G16" s="205">
        <v>43607.15</v>
      </c>
      <c r="H16" s="31"/>
      <c r="I16" s="32" t="s">
        <v>1312</v>
      </c>
      <c r="J16">
        <v>95</v>
      </c>
      <c r="K16" s="2"/>
      <c r="M16" s="2">
        <v>23.75</v>
      </c>
    </row>
    <row r="17" spans="1:14">
      <c r="A17" t="s">
        <v>1313</v>
      </c>
      <c r="B17" s="202">
        <v>17837.05</v>
      </c>
      <c r="C17" s="203">
        <v>-28058.1</v>
      </c>
      <c r="D17" s="204">
        <v>-6579.96</v>
      </c>
      <c r="E17" s="202">
        <v>16654.189999999999</v>
      </c>
      <c r="F17" s="203">
        <v>-28058.1</v>
      </c>
      <c r="G17" s="205">
        <v>32203.24</v>
      </c>
      <c r="H17" s="31"/>
    </row>
    <row r="18" spans="1:14">
      <c r="A18" t="s">
        <v>1314</v>
      </c>
      <c r="B18" s="202">
        <v>27131.07</v>
      </c>
      <c r="C18" s="203">
        <v>-17400.82</v>
      </c>
      <c r="D18" s="204">
        <v>3150.29</v>
      </c>
      <c r="E18" s="202">
        <v>16133.3</v>
      </c>
      <c r="F18" s="203">
        <v>-20600.82</v>
      </c>
      <c r="G18" s="205">
        <v>27735.72</v>
      </c>
      <c r="H18" s="31"/>
      <c r="I18" s="32" t="s">
        <v>44</v>
      </c>
      <c r="J18">
        <v>42</v>
      </c>
      <c r="K18" s="2">
        <v>9.8578200000000002</v>
      </c>
      <c r="L18" s="2">
        <v>32.142180000000003</v>
      </c>
    </row>
    <row r="19" spans="1:14">
      <c r="A19" t="s">
        <v>1315</v>
      </c>
      <c r="B19" s="202">
        <v>34617.910000000003</v>
      </c>
      <c r="C19" s="203">
        <v>-11695.35</v>
      </c>
      <c r="D19" s="204">
        <v>26072.85</v>
      </c>
      <c r="E19" s="202">
        <v>102061.66</v>
      </c>
      <c r="F19" s="203">
        <v>-33894.33</v>
      </c>
      <c r="G19" s="205">
        <v>95903.05</v>
      </c>
      <c r="H19" s="31"/>
      <c r="I19" s="32" t="s">
        <v>48</v>
      </c>
      <c r="J19">
        <v>84</v>
      </c>
      <c r="K19" s="2">
        <v>19.71564</v>
      </c>
      <c r="L19" s="2">
        <v>64.284360000000007</v>
      </c>
    </row>
    <row r="20" spans="1:14">
      <c r="A20" t="s">
        <v>41</v>
      </c>
      <c r="B20" s="202">
        <v>66162.31</v>
      </c>
      <c r="C20" s="203">
        <v>-61978.720000000001</v>
      </c>
      <c r="D20" s="204">
        <v>30256.44</v>
      </c>
      <c r="E20" s="202">
        <v>9260.5</v>
      </c>
      <c r="F20" s="203">
        <v>-25729.24</v>
      </c>
      <c r="G20" s="205">
        <v>79434.31</v>
      </c>
      <c r="H20" s="31"/>
      <c r="I20" s="32" t="s">
        <v>46</v>
      </c>
      <c r="J20">
        <v>84</v>
      </c>
      <c r="K20" s="2">
        <v>19.71564</v>
      </c>
      <c r="L20" s="2">
        <v>64.284360000000007</v>
      </c>
    </row>
    <row r="21" spans="1:14">
      <c r="A21" t="s">
        <v>43</v>
      </c>
      <c r="B21" s="202">
        <v>23872.2</v>
      </c>
      <c r="C21" s="203">
        <v>-34541.120000000003</v>
      </c>
      <c r="D21" s="204">
        <v>19587.52</v>
      </c>
      <c r="E21" s="202">
        <v>79418.41</v>
      </c>
      <c r="F21" s="203">
        <v>-90424.320000000007</v>
      </c>
      <c r="G21" s="205">
        <v>68428.399999999994</v>
      </c>
      <c r="H21" s="31"/>
      <c r="I21" s="32" t="s">
        <v>38</v>
      </c>
      <c r="J21">
        <v>45</v>
      </c>
      <c r="K21" s="2">
        <v>10.56195</v>
      </c>
      <c r="L21" s="2">
        <v>34.438049999999997</v>
      </c>
      <c r="N21" s="325">
        <v>400.76679000000001</v>
      </c>
    </row>
    <row r="22" spans="1:14">
      <c r="A22" t="s">
        <v>45</v>
      </c>
      <c r="B22" s="202">
        <v>179191.62</v>
      </c>
      <c r="C22" s="203">
        <v>-14175.82</v>
      </c>
      <c r="D22" s="204">
        <v>184603.32</v>
      </c>
      <c r="E22" s="202">
        <v>178439.6</v>
      </c>
      <c r="F22" s="203">
        <v>-18452.8</v>
      </c>
      <c r="G22" s="205">
        <v>228415.2</v>
      </c>
      <c r="H22" s="31"/>
      <c r="I22" s="32" t="s">
        <v>28</v>
      </c>
      <c r="J22">
        <v>48</v>
      </c>
      <c r="K22" s="2">
        <v>11.266080000000001</v>
      </c>
      <c r="L22" s="2">
        <v>36.733919999999998</v>
      </c>
      <c r="N22" s="326">
        <v>33.397232500000001</v>
      </c>
    </row>
    <row r="23" spans="1:14">
      <c r="A23" t="s">
        <v>47</v>
      </c>
      <c r="B23" s="202">
        <v>15475.96</v>
      </c>
      <c r="C23" s="203">
        <v>-16961.34</v>
      </c>
      <c r="D23" s="204">
        <v>183117.94</v>
      </c>
      <c r="E23" s="202">
        <v>22052.39</v>
      </c>
      <c r="F23" s="203">
        <v>-21692.25</v>
      </c>
      <c r="G23" s="205">
        <v>228775.34</v>
      </c>
      <c r="H23" s="31"/>
      <c r="I23" s="32" t="s">
        <v>42</v>
      </c>
      <c r="J23">
        <v>48</v>
      </c>
      <c r="K23" s="2">
        <v>11.266080000000001</v>
      </c>
      <c r="L23" s="2">
        <v>36.733919999999998</v>
      </c>
    </row>
    <row r="24" spans="1:14">
      <c r="A24" s="43" t="s">
        <v>59</v>
      </c>
      <c r="B24" s="208">
        <v>446314.05</v>
      </c>
      <c r="C24" s="209">
        <v>-263196.11</v>
      </c>
      <c r="D24" s="327">
        <v>183117.94</v>
      </c>
      <c r="E24" s="208">
        <v>545372.04</v>
      </c>
      <c r="F24" s="209">
        <v>-316596.7</v>
      </c>
      <c r="G24" s="327">
        <v>228775.34</v>
      </c>
      <c r="H24" s="31"/>
      <c r="I24" s="211"/>
      <c r="J24" s="211">
        <v>351</v>
      </c>
      <c r="K24" s="328">
        <v>82.383210000000005</v>
      </c>
      <c r="L24" s="328">
        <v>268.61678999999998</v>
      </c>
      <c r="M24" s="328">
        <v>86.05</v>
      </c>
      <c r="N24" s="328">
        <v>46.1</v>
      </c>
    </row>
    <row r="25" spans="1:14">
      <c r="A25" s="329">
        <v>12</v>
      </c>
      <c r="B25" s="330">
        <v>37192.837500000001</v>
      </c>
      <c r="C25" s="331">
        <v>-21933.009166666699</v>
      </c>
      <c r="D25" s="331"/>
      <c r="E25" s="331">
        <v>45447.67</v>
      </c>
      <c r="F25" s="331">
        <v>-26383.058333333302</v>
      </c>
      <c r="G25" s="331">
        <v>19064.6116666667</v>
      </c>
      <c r="H25" s="53"/>
      <c r="I25" s="213"/>
      <c r="J25" s="331">
        <v>29.25</v>
      </c>
      <c r="K25" s="331">
        <v>6.8652674999999999</v>
      </c>
      <c r="L25" s="331">
        <v>22.384732499999998</v>
      </c>
      <c r="M25" s="331">
        <v>7.1708333333333298</v>
      </c>
      <c r="N25" s="331">
        <v>3.8416666666666699</v>
      </c>
    </row>
  </sheetData>
  <hyperlinks>
    <hyperlink ref="D3" r:id="rId1" xr:uid="{00000000-0004-0000-3A00-000000000000}"/>
    <hyperlink ref="D4" r:id="rId2" xr:uid="{00000000-0004-0000-3A00-000001000000}"/>
    <hyperlink ref="D5" r:id="rId3" xr:uid="{00000000-0004-0000-3A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61</vt:i4>
      </vt:variant>
    </vt:vector>
  </HeadingPairs>
  <TitlesOfParts>
    <vt:vector size="61" baseType="lpstr">
      <vt:lpstr>02_26</vt:lpstr>
      <vt:lpstr>01_26</vt:lpstr>
      <vt:lpstr>GNLK-_2025</vt:lpstr>
      <vt:lpstr>PERI_25</vt:lpstr>
      <vt:lpstr>12_25</vt:lpstr>
      <vt:lpstr>11_25</vt:lpstr>
      <vt:lpstr>10_25</vt:lpstr>
      <vt:lpstr>09_25</vt:lpstr>
      <vt:lpstr>08_25</vt:lpstr>
      <vt:lpstr>07_25</vt:lpstr>
      <vt:lpstr>06_25</vt:lpstr>
      <vt:lpstr>05_25</vt:lpstr>
      <vt:lpstr>04_25</vt:lpstr>
      <vt:lpstr>03_25</vt:lpstr>
      <vt:lpstr>02_25</vt:lpstr>
      <vt:lpstr>01_25</vt:lpstr>
      <vt:lpstr>PERI_24</vt:lpstr>
      <vt:lpstr>cross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271</cp:revision>
  <cp:lastPrinted>2025-08-05T02:32:12Z</cp:lastPrinted>
  <dcterms:created xsi:type="dcterms:W3CDTF">2022-03-04T11:30:59Z</dcterms:created>
  <dcterms:modified xsi:type="dcterms:W3CDTF">2026-01-01T20:31:08Z</dcterms:modified>
  <dc:language>tr-TR</dc:language>
</cp:coreProperties>
</file>