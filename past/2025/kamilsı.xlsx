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82B29DF6-E83E-49CA-A57F-71F25930FF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2" i="1"/>
  <c r="E3" i="1"/>
  <c r="E4" i="1"/>
  <c r="E5" i="1"/>
  <c r="E6" i="1"/>
  <c r="E8" i="1"/>
  <c r="E9" i="1"/>
  <c r="E10" i="1"/>
  <c r="E15" i="1" l="1"/>
  <c r="E16" i="1" l="1"/>
</calcChain>
</file>

<file path=xl/sharedStrings.xml><?xml version="1.0" encoding="utf-8"?>
<sst xmlns="http://schemas.openxmlformats.org/spreadsheetml/2006/main" count="14" uniqueCount="14">
  <si>
    <t>EURO</t>
  </si>
  <si>
    <t>DOLAR</t>
  </si>
  <si>
    <t>ATA LİRA CUMHURİYET</t>
  </si>
  <si>
    <t>ADET</t>
  </si>
  <si>
    <t>ÜRÜN</t>
  </si>
  <si>
    <t>KIRMİS</t>
  </si>
  <si>
    <t>CEYREK ALTIN</t>
  </si>
  <si>
    <t>YARIM ALTIN</t>
  </si>
  <si>
    <t>BİLEZİK GRAM</t>
  </si>
  <si>
    <t>Sütun1</t>
  </si>
  <si>
    <t>BİRİM FİYAT2</t>
  </si>
  <si>
    <t>BİRİM FİYAT3</t>
  </si>
  <si>
    <t>GRAM ALTIN 24 ayar</t>
  </si>
  <si>
    <t>GRAM ALTIN 22 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</si>
</sst>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3" fontId="0" fillId="0" borderId="0" xfId="1" applyFont="1"/>
    <xf numFmtId="43" fontId="0" fillId="0" borderId="0" xfId="1" applyFont="1" applyBorder="1"/>
  </cellXfs>
  <cellStyles count="2">
    <cellStyle name="Normal" xfId="0" builtinId="0"/>
    <cellStyle name="Virgül" xfId="1" builtinId="3"/>
  </cellStyles>
  <dxfs count="12">
    <dxf>
      <numFmt numFmtId="0" formatCode="General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E774C-762E-4238-B33A-975242FA8D8A}" name="Tablo1" displayName="Tablo1" ref="A1:E16" totalsRowCount="1" headerRowDxfId="11" headerRowBorderDxfId="10" tableBorderDxfId="9" totalsRowBorderDxfId="8">
  <autoFilter ref="A1:E15" xr:uid="{DF0E774C-762E-4238-B33A-975242FA8D8A}"/>
  <tableColumns count="5">
    <tableColumn id="1" xr3:uid="{86E9399F-8963-4F6E-841E-6F9E70889153}" name="ÜRÜN" dataDxfId="7" totalsRowDxfId="4"/>
    <tableColumn id="2" xr3:uid="{0ABF4634-942B-4970-A068-DD694BA7B53A}" name="ADET" dataDxfId="6" totalsRowDxfId="3"/>
    <tableColumn id="3" xr3:uid="{FBA5D8BC-0C65-40F4-90F7-F1888586A79E}" name="Sütun1" dataDxfId="5" totalsRowDxfId="2"/>
    <tableColumn id="4" xr3:uid="{2E348B5B-C765-4626-BDE0-9439FDBF0EDB}" name="BİRİM FİYAT2" totalsRowDxfId="1" dataCellStyle="Virgül"/>
    <tableColumn id="5" xr3:uid="{68D54ECB-E2A4-45CC-81CA-A5B9223CE32D}" name="BİRİM FİYAT3" totalsRowFunction="custom" totalsRowDxfId="0" dataCellStyle="Virgül">
      <calculatedColumnFormula>Tablo1[[#This Row],[ADET]]*Tablo1[[#This Row],[BİRİM FİYAT2]]</calculatedColumnFormula>
      <totalsRowFormula>E17-E15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75" zoomScaleNormal="175" workbookViewId="0">
      <selection activeCell="F7" sqref="F7"/>
    </sheetView>
  </sheetViews>
  <sheetFormatPr defaultRowHeight="15" x14ac:dyDescent="0.25"/>
  <cols>
    <col min="1" max="1" width="20.28515625" bestFit="1" customWidth="1"/>
    <col min="2" max="2" width="11.7109375" customWidth="1"/>
    <col min="3" max="3" width="1.7109375" customWidth="1"/>
    <col min="4" max="4" width="15" bestFit="1" customWidth="1"/>
    <col min="5" max="5" width="14.140625" customWidth="1"/>
    <col min="6" max="6" width="28.28515625" customWidth="1"/>
  </cols>
  <sheetData>
    <row r="1" spans="1:5" x14ac:dyDescent="0.25">
      <c r="A1" s="1" t="s">
        <v>4</v>
      </c>
      <c r="B1" s="2" t="s">
        <v>3</v>
      </c>
      <c r="C1" t="s">
        <v>9</v>
      </c>
      <c r="D1" s="3" t="s">
        <v>10</v>
      </c>
      <c r="E1" s="2" t="s">
        <v>11</v>
      </c>
    </row>
    <row r="2" spans="1:5" x14ac:dyDescent="0.25">
      <c r="A2" s="4" t="s">
        <v>0</v>
      </c>
      <c r="B2" s="5">
        <v>2000</v>
      </c>
      <c r="D2" s="10">
        <v>50.2</v>
      </c>
      <c r="E2" s="10">
        <f>Tablo1[[#This Row],[ADET]]*Tablo1[[#This Row],[BİRİM FİYAT2]]</f>
        <v>100400</v>
      </c>
    </row>
    <row r="3" spans="1:5" x14ac:dyDescent="0.25">
      <c r="A3" s="4" t="s">
        <v>1</v>
      </c>
      <c r="B3" s="5">
        <v>1000</v>
      </c>
      <c r="D3" s="10">
        <v>42.8</v>
      </c>
      <c r="E3" s="10">
        <f>Tablo1[[#This Row],[ADET]]*Tablo1[[#This Row],[BİRİM FİYAT2]]</f>
        <v>42800</v>
      </c>
    </row>
    <row r="4" spans="1:5" x14ac:dyDescent="0.25">
      <c r="A4" s="4" t="s">
        <v>2</v>
      </c>
      <c r="B4" s="5">
        <v>43</v>
      </c>
      <c r="D4" s="10">
        <v>41800</v>
      </c>
      <c r="E4" s="10">
        <f>Tablo1[[#This Row],[ADET]]*Tablo1[[#This Row],[BİRİM FİYAT2]]</f>
        <v>1797400</v>
      </c>
    </row>
    <row r="5" spans="1:5" x14ac:dyDescent="0.25">
      <c r="A5" s="4" t="s">
        <v>5</v>
      </c>
      <c r="B5" s="5">
        <v>3</v>
      </c>
      <c r="D5" s="10">
        <v>100200</v>
      </c>
      <c r="E5" s="10">
        <f>Tablo1[[#This Row],[ADET]]*Tablo1[[#This Row],[BİRİM FİYAT2]]</f>
        <v>300600</v>
      </c>
    </row>
    <row r="6" spans="1:5" x14ac:dyDescent="0.25">
      <c r="A6" s="4" t="s">
        <v>12</v>
      </c>
      <c r="B6" s="5">
        <v>62</v>
      </c>
      <c r="D6" s="10">
        <v>6265</v>
      </c>
      <c r="E6" s="10">
        <f>Tablo1[[#This Row],[ADET]]*Tablo1[[#This Row],[BİRİM FİYAT2]]</f>
        <v>388430</v>
      </c>
    </row>
    <row r="7" spans="1:5" x14ac:dyDescent="0.25">
      <c r="A7" s="4" t="s">
        <v>13</v>
      </c>
      <c r="B7" s="5">
        <v>3</v>
      </c>
      <c r="C7" s="6"/>
      <c r="D7" s="10">
        <v>5760</v>
      </c>
      <c r="E7" s="10">
        <f>Tablo1[[#This Row],[ADET]]*Tablo1[[#This Row],[BİRİM FİYAT2]]</f>
        <v>17280</v>
      </c>
    </row>
    <row r="8" spans="1:5" x14ac:dyDescent="0.25">
      <c r="A8" s="4" t="s">
        <v>6</v>
      </c>
      <c r="B8" s="5">
        <v>40</v>
      </c>
      <c r="D8" s="10">
        <v>10060</v>
      </c>
      <c r="E8" s="10">
        <f>Tablo1[[#This Row],[ADET]]*Tablo1[[#This Row],[BİRİM FİYAT2]]</f>
        <v>402400</v>
      </c>
    </row>
    <row r="9" spans="1:5" x14ac:dyDescent="0.25">
      <c r="A9" s="4" t="s">
        <v>7</v>
      </c>
      <c r="B9" s="5">
        <v>10</v>
      </c>
      <c r="D9" s="10">
        <v>20100</v>
      </c>
      <c r="E9" s="10">
        <f>Tablo1[[#This Row],[ADET]]*Tablo1[[#This Row],[BİRİM FİYAT2]]</f>
        <v>201000</v>
      </c>
    </row>
    <row r="10" spans="1:5" x14ac:dyDescent="0.25">
      <c r="A10" s="7" t="s">
        <v>8</v>
      </c>
      <c r="B10" s="8">
        <v>17.79</v>
      </c>
      <c r="D10" s="10">
        <v>5730</v>
      </c>
      <c r="E10" s="10">
        <f>Tablo1[[#This Row],[ADET]]*Tablo1[[#This Row],[BİRİM FİYAT2]]</f>
        <v>101936.7</v>
      </c>
    </row>
    <row r="11" spans="1:5" x14ac:dyDescent="0.25">
      <c r="A11" s="4"/>
      <c r="B11" s="5"/>
      <c r="D11" s="10"/>
      <c r="E11" s="10"/>
    </row>
    <row r="12" spans="1:5" x14ac:dyDescent="0.25">
      <c r="A12" s="4"/>
      <c r="B12" s="5"/>
      <c r="D12" s="10"/>
      <c r="E12" s="10">
        <v>75400</v>
      </c>
    </row>
    <row r="13" spans="1:5" x14ac:dyDescent="0.25">
      <c r="A13" s="4"/>
      <c r="B13" s="5"/>
      <c r="D13" s="10"/>
      <c r="E13" s="10">
        <v>174000</v>
      </c>
    </row>
    <row r="14" spans="1:5" x14ac:dyDescent="0.25">
      <c r="A14" s="4"/>
      <c r="B14" s="5"/>
      <c r="C14" s="6"/>
      <c r="D14" s="10"/>
      <c r="E14" s="10">
        <v>1895000</v>
      </c>
    </row>
    <row r="15" spans="1:5" x14ac:dyDescent="0.25">
      <c r="A15" s="7"/>
      <c r="B15" s="8"/>
      <c r="D15" s="10"/>
      <c r="E15" s="10">
        <f>SUM(E2:E14)</f>
        <v>5496646.7000000002</v>
      </c>
    </row>
    <row r="16" spans="1:5" x14ac:dyDescent="0.25">
      <c r="A16" s="7"/>
      <c r="B16" s="8"/>
      <c r="C16" s="9"/>
      <c r="D16" s="11"/>
      <c r="E16" s="11">
        <f>E17-E15</f>
        <v>3353.2999999998137</v>
      </c>
    </row>
    <row r="17" spans="4:5" x14ac:dyDescent="0.25">
      <c r="D17" s="10"/>
      <c r="E17" s="10">
        <v>5500000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Mehmet Şahintepe</dc:creator>
  <cp:lastModifiedBy>m</cp:lastModifiedBy>
  <dcterms:created xsi:type="dcterms:W3CDTF">2015-06-05T18:19:34Z</dcterms:created>
  <dcterms:modified xsi:type="dcterms:W3CDTF">2025-12-30T05:26:03Z</dcterms:modified>
</cp:coreProperties>
</file>