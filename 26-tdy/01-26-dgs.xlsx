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2025-Dgs Adem Son (2)" sheetId="1" state="visible" r:id="rId3"/>
    <sheet name="2025-Dgs" sheetId="2" state="visible" r:id="rId4"/>
    <sheet name="01-DgsOLD" sheetId="3" state="visible" r:id="rId5"/>
    <sheet name="DGS_31-05-24" sheetId="4" state="visible" r:id="rId6"/>
    <sheet name="2024" sheetId="5" state="visible" r:id="rId7"/>
    <sheet name="02--_Tzgmrg" sheetId="6" state="visible" r:id="rId8"/>
    <sheet name="01-03-HAKAN" sheetId="7" state="visible" r:id="rId9"/>
    <sheet name="01-01-DGS" sheetId="8" state="visible" r:id="rId10"/>
    <sheet name="01-02-DGS" sheetId="9" state="visible" r:id="rId11"/>
    <sheet name="1203-YZD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<sst xmlns="http://schemas.openxmlformats.org/spreadsheetml/2006/main" count="803" uniqueCount="510">
  <si>
    <t xml:space="preserve">HESAP</t>
  </si>
  <si>
    <t xml:space="preserve">noksan ödeme 15000-6500=8500</t>
  </si>
  <si>
    <t xml:space="preserve">mart 2025 ödeme 30-8-2024</t>
  </si>
  <si>
    <t xml:space="preserve">noksan ödeme gecikme</t>
  </si>
  <si>
    <t xml:space="preserve">nisan 2025 ödemesi 30-9</t>
  </si>
  <si>
    <t xml:space="preserve">mayıs 2025  ödemesi 30-10</t>
  </si>
  <si>
    <t xml:space="preserve">haziran 2025 ödemesi 30-11</t>
  </si>
  <si>
    <t xml:space="preserve">temmuz 2025 ödemesi 30-12</t>
  </si>
  <si>
    <t xml:space="preserve">ağustos 2025 ödemesi 30-01-25</t>
  </si>
  <si>
    <t xml:space="preserve">mart ayından itibaren kira bedeli 22000 TL olacak yıllık toplamda aylık ortalama kira 18500 TL olacaktı </t>
  </si>
  <si>
    <t xml:space="preserve">mart bedeli                      </t>
  </si>
  <si>
    <t xml:space="preserve">eylül 2025 ödemesi 28-2</t>
  </si>
  <si>
    <t xml:space="preserve">elektrik</t>
  </si>
  <si>
    <t xml:space="preserve">nisan bedeli                              </t>
  </si>
  <si>
    <t xml:space="preserve">mayıs bedeli       oturulan son ay </t>
  </si>
  <si>
    <t xml:space="preserve">elektrik gecikme</t>
  </si>
  <si>
    <t xml:space="preserve">su kartı</t>
  </si>
  <si>
    <t xml:space="preserve">elektrik tuvalet anahtar</t>
  </si>
  <si>
    <t xml:space="preserve">boya mlz. İşçilik</t>
  </si>
  <si>
    <t xml:space="preserve">iade ödeme sanayi işbanktan havale</t>
  </si>
  <si>
    <t xml:space="preserve">iade ödeme sanayi işbanktan havale YAPILACAK</t>
  </si>
  <si>
    <t xml:space="preserve">ADEM DUMAN - 2021-2025</t>
  </si>
  <si>
    <t xml:space="preserve">HESAP ÖZETİ</t>
  </si>
  <si>
    <t xml:space="preserve">DÖNEM 1 Aylık Tutar</t>
  </si>
  <si>
    <t xml:space="preserve">altın</t>
  </si>
  <si>
    <t xml:space="preserve">AÜ TL-Adet</t>
  </si>
  <si>
    <t xml:space="preserve">28-02-2021 27-02-2022 DÖNEMİ</t>
  </si>
  <si>
    <t xml:space="preserve">gr altın</t>
  </si>
  <si>
    <t xml:space="preserve">BANKA</t>
  </si>
  <si>
    <t xml:space="preserve">tutar</t>
  </si>
  <si>
    <t xml:space="preserve">bakiye</t>
  </si>
  <si>
    <t xml:space="preserve">DÖNEM 1 Hesabı</t>
  </si>
  <si>
    <t xml:space="preserve">6 aylık kapanış</t>
  </si>
  <si>
    <t xml:space="preserve">Ödeme</t>
  </si>
  <si>
    <t xml:space="preserve">2021-22 Tutarı       24000 TL</t>
  </si>
  <si>
    <t xml:space="preserve">Dönem Sonu Kalan BAKİYE</t>
  </si>
  <si>
    <t xml:space="preserve">DÖNEM 2  Aylık Tutar</t>
  </si>
  <si>
    <t xml:space="preserve">AÜ</t>
  </si>
  <si>
    <t xml:space="preserve">28-02-2022 27-02-2023 DÖNEMİ</t>
  </si>
  <si>
    <t xml:space="preserve">Önceki dönem tüfeli  bedel</t>
  </si>
  <si>
    <t xml:space="preserve">ŞUBAT 2022 TÜFE</t>
  </si>
  <si>
    <t xml:space="preserve">tüfeli toplam</t>
  </si>
  <si>
    <t xml:space="preserve">DÖNEM 2 Hesabı</t>
  </si>
  <si>
    <t xml:space="preserve">Nakit  2000 TL</t>
  </si>
  <si>
    <t xml:space="preserve">Nakit  3000 TL ödendi</t>
  </si>
  <si>
    <t xml:space="preserve">Nakit  3000 TL</t>
  </si>
  <si>
    <r>
      <rPr>
        <b val="true"/>
        <sz val="11"/>
        <color rgb="FF000000"/>
        <rFont val="Calibri"/>
        <family val="2"/>
        <charset val="162"/>
      </rPr>
      <t xml:space="preserve">Nakit  3000 TL                  </t>
    </r>
    <r>
      <rPr>
        <b val="true"/>
        <sz val="11"/>
        <color rgb="FFFF0000"/>
        <rFont val="Calibri"/>
        <family val="2"/>
        <charset val="162"/>
      </rPr>
      <t xml:space="preserve">10-05-2022</t>
    </r>
  </si>
  <si>
    <t xml:space="preserve">Nakit  5000 TL                 </t>
  </si>
  <si>
    <r>
      <rPr>
        <b val="true"/>
        <sz val="11"/>
        <color rgb="FF000000"/>
        <rFont val="Calibri"/>
        <family val="2"/>
        <charset val="162"/>
      </rPr>
      <t xml:space="preserve">Nakit  5000 TL                   </t>
    </r>
    <r>
      <rPr>
        <b val="true"/>
        <sz val="11"/>
        <color rgb="FFFF0000"/>
        <rFont val="Calibri"/>
        <family val="2"/>
        <charset val="162"/>
      </rPr>
      <t xml:space="preserve">05-07-2022</t>
    </r>
  </si>
  <si>
    <r>
      <rPr>
        <b val="true"/>
        <sz val="11"/>
        <color rgb="FF000000"/>
        <rFont val="Calibri"/>
        <family val="2"/>
        <charset val="162"/>
      </rPr>
      <t xml:space="preserve">Nakit  5000 TL                   </t>
    </r>
    <r>
      <rPr>
        <b val="true"/>
        <sz val="11"/>
        <color rgb="FFFF0000"/>
        <rFont val="Calibri"/>
        <family val="2"/>
        <charset val="162"/>
      </rPr>
      <t xml:space="preserve">29-08-2022</t>
    </r>
    <r>
      <rPr>
        <b val="true"/>
        <sz val="11"/>
        <color rgb="FF000000"/>
        <rFont val="Calibri"/>
        <family val="2"/>
        <charset val="162"/>
      </rPr>
      <t xml:space="preserve"> 3000</t>
    </r>
  </si>
  <si>
    <r>
      <rPr>
        <b val="true"/>
        <sz val="11"/>
        <color rgb="FF000000"/>
        <rFont val="Calibri"/>
        <family val="2"/>
        <charset val="162"/>
      </rPr>
      <t xml:space="preserve">GECİKEN ÖDEME              </t>
    </r>
    <r>
      <rPr>
        <b val="true"/>
        <sz val="11"/>
        <color rgb="FFFF0000"/>
        <rFont val="Calibri"/>
        <family val="2"/>
        <charset val="162"/>
      </rPr>
      <t xml:space="preserve">--------------</t>
    </r>
    <r>
      <rPr>
        <b val="true"/>
        <sz val="11"/>
        <color rgb="FF000000"/>
        <rFont val="Calibri"/>
        <family val="2"/>
        <charset val="162"/>
      </rPr>
      <t xml:space="preserve"> 2000</t>
    </r>
  </si>
  <si>
    <r>
      <rPr>
        <b val="true"/>
        <sz val="11"/>
        <color rgb="FF000000"/>
        <rFont val="Calibri"/>
        <family val="2"/>
        <charset val="162"/>
      </rPr>
      <t xml:space="preserve">GECİKEN ÖDEME              -</t>
    </r>
    <r>
      <rPr>
        <b val="true"/>
        <sz val="11"/>
        <color rgb="FFFF0000"/>
        <rFont val="Calibri"/>
        <family val="2"/>
        <charset val="162"/>
      </rPr>
      <t xml:space="preserve">-------------</t>
    </r>
  </si>
  <si>
    <t xml:space="preserve">DÖNEM 3 Aylık Tutar</t>
  </si>
  <si>
    <t xml:space="preserve">28-02-2023 27-02-2024 DÖNEMİ</t>
  </si>
  <si>
    <t xml:space="preserve">ŞUBAT 2023 TÜFE</t>
  </si>
  <si>
    <t xml:space="preserve">DÖNEM 3 Hesabı 12*5=   60000</t>
  </si>
  <si>
    <r>
      <rPr>
        <sz val="10"/>
        <color rgb="FF000000"/>
        <rFont val="Liberation Sans1"/>
        <family val="0"/>
        <charset val="162"/>
      </rPr>
      <t xml:space="preserve">Nakit  3000 TL                        </t>
    </r>
    <r>
      <rPr>
        <b val="true"/>
        <sz val="11"/>
        <color rgb="FFFF0000"/>
        <rFont val="Calibri"/>
        <family val="2"/>
        <charset val="162"/>
      </rPr>
      <t xml:space="preserve">4-10-2022</t>
    </r>
  </si>
  <si>
    <r>
      <rPr>
        <sz val="10"/>
        <color rgb="FF000000"/>
        <rFont val="Liberation Sans1"/>
        <family val="0"/>
        <charset val="162"/>
      </rPr>
      <t xml:space="preserve">Nakit  3000 TL                       </t>
    </r>
    <r>
      <rPr>
        <b val="true"/>
        <sz val="11"/>
        <color rgb="FF000000"/>
        <rFont val="Calibri"/>
        <family val="2"/>
        <charset val="162"/>
      </rPr>
      <t xml:space="preserve"> </t>
    </r>
    <r>
      <rPr>
        <b val="true"/>
        <sz val="11"/>
        <color rgb="FFFF0000"/>
        <rFont val="Calibri"/>
        <family val="2"/>
        <charset val="162"/>
      </rPr>
      <t xml:space="preserve">8-12-2022</t>
    </r>
  </si>
  <si>
    <r>
      <rPr>
        <sz val="10"/>
        <color rgb="FF000000"/>
        <rFont val="Liberation Sans1"/>
        <family val="0"/>
        <charset val="162"/>
      </rPr>
      <t xml:space="preserve">bankadan                               </t>
    </r>
    <r>
      <rPr>
        <b val="true"/>
        <sz val="11"/>
        <color rgb="FFFF0000"/>
        <rFont val="Calibri"/>
        <family val="2"/>
        <charset val="162"/>
      </rPr>
      <t xml:space="preserve"> 06-02-2023</t>
    </r>
  </si>
  <si>
    <r>
      <rPr>
        <sz val="10"/>
        <color rgb="FF000000"/>
        <rFont val="Liberation Sans1"/>
        <family val="0"/>
        <charset val="162"/>
      </rPr>
      <t xml:space="preserve">Nakit  6500 TL                        </t>
    </r>
    <r>
      <rPr>
        <b val="true"/>
        <sz val="11"/>
        <color rgb="FFFF0000"/>
        <rFont val="Calibri"/>
        <family val="2"/>
        <charset val="162"/>
      </rPr>
      <t xml:space="preserve">02-03-2023</t>
    </r>
  </si>
  <si>
    <t xml:space="preserve">Nakit  6500 TL</t>
  </si>
  <si>
    <r>
      <rPr>
        <sz val="10"/>
        <color rgb="FF000000"/>
        <rFont val="Liberation Sans1"/>
        <family val="0"/>
        <charset val="162"/>
      </rPr>
      <t xml:space="preserve">Nakit  6500 TL                       </t>
    </r>
    <r>
      <rPr>
        <b val="true"/>
        <sz val="11"/>
        <color rgb="FFFF0000"/>
        <rFont val="Calibri"/>
        <family val="2"/>
        <charset val="162"/>
      </rPr>
      <t xml:space="preserve"> 03-06-2023</t>
    </r>
  </si>
  <si>
    <t xml:space="preserve">DÖNEM 4 Aylık Tutar</t>
  </si>
  <si>
    <t xml:space="preserve">28-02-2024 27-02-2025 DÖNEMİ</t>
  </si>
  <si>
    <t xml:space="preserve">ŞUBAT 2024 TÜFE</t>
  </si>
  <si>
    <t xml:space="preserve">DÖNEM 4 Hesabı           151216</t>
  </si>
  <si>
    <t xml:space="preserve">DÖNEM 3 Hesabı</t>
  </si>
  <si>
    <r>
      <rPr>
        <sz val="10"/>
        <color rgb="FF000000"/>
        <rFont val="Liberation Sans1"/>
        <family val="0"/>
        <charset val="162"/>
      </rPr>
      <t xml:space="preserve">Nakit  6500 TL                        </t>
    </r>
    <r>
      <rPr>
        <b val="true"/>
        <sz val="11"/>
        <color rgb="FFFF0000"/>
        <rFont val="Calibri"/>
        <family val="2"/>
        <charset val="162"/>
      </rPr>
      <t xml:space="preserve"> 05-10-2023</t>
    </r>
  </si>
  <si>
    <r>
      <rPr>
        <sz val="10"/>
        <color rgb="FF000000"/>
        <rFont val="Liberation Sans1"/>
        <family val="0"/>
        <charset val="162"/>
      </rPr>
      <t xml:space="preserve">Nakit  6500 TL                         </t>
    </r>
    <r>
      <rPr>
        <b val="true"/>
        <sz val="11"/>
        <color rgb="FFFF0000"/>
        <rFont val="Calibri"/>
        <family val="2"/>
        <charset val="162"/>
      </rPr>
      <t xml:space="preserve">06-02-2024</t>
    </r>
  </si>
  <si>
    <r>
      <rPr>
        <sz val="10"/>
        <color rgb="FF000000"/>
        <rFont val="Liberation Sans1"/>
        <family val="0"/>
        <charset val="162"/>
      </rPr>
      <t xml:space="preserve">Nakit  15000 TL                       </t>
    </r>
    <r>
      <rPr>
        <b val="true"/>
        <sz val="11"/>
        <color rgb="FFFF0000"/>
        <rFont val="Calibri"/>
        <family val="2"/>
        <charset val="162"/>
      </rPr>
      <t xml:space="preserve">07-03-2024</t>
    </r>
  </si>
  <si>
    <r>
      <rPr>
        <sz val="10"/>
        <color rgb="FF000000"/>
        <rFont val="Liberation Sans1"/>
        <family val="0"/>
        <charset val="162"/>
      </rPr>
      <t xml:space="preserve">Nakit  15000 TL                       </t>
    </r>
    <r>
      <rPr>
        <b val="true"/>
        <sz val="11"/>
        <color rgb="FFFF0000"/>
        <rFont val="Calibri"/>
        <family val="2"/>
        <charset val="162"/>
      </rPr>
      <t xml:space="preserve">04-04-2024</t>
    </r>
  </si>
  <si>
    <t xml:space="preserve">Nakit  15000 TL</t>
  </si>
  <si>
    <r>
      <rPr>
        <sz val="10"/>
        <color rgb="FF000000"/>
        <rFont val="Liberation Sans1"/>
        <family val="0"/>
        <charset val="162"/>
      </rPr>
      <t xml:space="preserve">bankadan  15000 TL              </t>
    </r>
    <r>
      <rPr>
        <b val="true"/>
        <sz val="11"/>
        <color rgb="FFFF0000"/>
        <rFont val="Calibri"/>
        <family val="2"/>
        <charset val="162"/>
      </rPr>
      <t xml:space="preserve">08-07-2024</t>
    </r>
  </si>
  <si>
    <t xml:space="preserve">banka</t>
  </si>
  <si>
    <t xml:space="preserve">DÖNEM 5 Aylık Tutar</t>
  </si>
  <si>
    <t xml:space="preserve">28-02-2025 28-02-2026 DÖNEMİ </t>
  </si>
  <si>
    <t xml:space="preserve">ŞUBAT 2025 TÜFE</t>
  </si>
  <si>
    <r>
      <rPr>
        <b val="true"/>
        <sz val="11"/>
        <color rgb="FF000000"/>
        <rFont val="Calibri"/>
        <family val="2"/>
        <charset val="162"/>
      </rPr>
      <t xml:space="preserve">DÖNEM 5 Hesabı         </t>
    </r>
    <r>
      <rPr>
        <b val="true"/>
        <u val="single"/>
        <sz val="11"/>
        <color rgb="FFFF0000"/>
        <rFont val="Calibri"/>
        <family val="2"/>
        <charset val="162"/>
      </rPr>
      <t xml:space="preserve">12 AYLIK</t>
    </r>
  </si>
  <si>
    <t xml:space="preserve">bankaya yatış trh</t>
  </si>
  <si>
    <r>
      <rPr>
        <sz val="10"/>
        <color rgb="FF000000"/>
        <rFont val="Liberation Sans1"/>
        <family val="0"/>
        <charset val="162"/>
      </rPr>
      <t xml:space="preserve">Nakit  22104 TL                        </t>
    </r>
    <r>
      <rPr>
        <b val="true"/>
        <sz val="10"/>
        <color rgb="FFFF0000"/>
        <rFont val="Liberation Sans1"/>
        <family val="0"/>
        <charset val="162"/>
      </rPr>
      <t xml:space="preserve"> 09-09-2024</t>
    </r>
  </si>
  <si>
    <r>
      <rPr>
        <sz val="10"/>
        <color rgb="FF000000"/>
        <rFont val="Liberation Sans1"/>
        <family val="0"/>
        <charset val="162"/>
      </rPr>
      <t xml:space="preserve">Nakit  22104 TL                        </t>
    </r>
    <r>
      <rPr>
        <b val="true"/>
        <sz val="10"/>
        <color rgb="FFFF0000"/>
        <rFont val="Liberation Sans1"/>
        <family val="0"/>
        <charset val="162"/>
      </rPr>
      <t xml:space="preserve"> 09-10-2024</t>
    </r>
  </si>
  <si>
    <r>
      <rPr>
        <sz val="10"/>
        <color rgb="FF000000"/>
        <rFont val="Liberation Sans1"/>
        <family val="0"/>
        <charset val="162"/>
      </rPr>
      <t xml:space="preserve">Nakit  22104 TL                         09</t>
    </r>
    <r>
      <rPr>
        <b val="true"/>
        <sz val="10"/>
        <color rgb="FFFF0000"/>
        <rFont val="Liberation Sans1"/>
        <family val="0"/>
        <charset val="162"/>
      </rPr>
      <t xml:space="preserve">-11-2024</t>
    </r>
  </si>
  <si>
    <r>
      <rPr>
        <sz val="10"/>
        <color rgb="FF000000"/>
        <rFont val="Liberation Sans1"/>
        <family val="0"/>
        <charset val="162"/>
      </rPr>
      <t xml:space="preserve">Nakit  22104 TL kira bedeli      </t>
    </r>
    <r>
      <rPr>
        <b val="true"/>
        <sz val="10"/>
        <color rgb="FF000000"/>
        <rFont val="Liberation Sans1"/>
        <family val="0"/>
        <charset val="162"/>
      </rPr>
      <t xml:space="preserve"> </t>
    </r>
    <r>
      <rPr>
        <b val="true"/>
        <sz val="10"/>
        <color rgb="FFFF0000"/>
        <rFont val="Liberation Sans1"/>
        <family val="0"/>
        <charset val="162"/>
      </rPr>
      <t xml:space="preserve">11-12-2024</t>
    </r>
  </si>
  <si>
    <r>
      <rPr>
        <sz val="10"/>
        <color rgb="FF000000"/>
        <rFont val="Liberation Sans1"/>
        <family val="0"/>
        <charset val="162"/>
      </rPr>
      <t xml:space="preserve">Nakit  22104 TL  elden alınan    </t>
    </r>
    <r>
      <rPr>
        <b val="true"/>
        <sz val="10"/>
        <color rgb="FFFF0000"/>
        <rFont val="Liberation Sans1"/>
        <family val="0"/>
        <charset val="162"/>
      </rPr>
      <t xml:space="preserve">14-01-2025</t>
    </r>
  </si>
  <si>
    <r>
      <rPr>
        <sz val="10"/>
        <color rgb="FF000000"/>
        <rFont val="Liberation Sans1"/>
        <family val="0"/>
        <charset val="162"/>
      </rPr>
      <t xml:space="preserve">Nakit  22104 TL  elden alınan    </t>
    </r>
    <r>
      <rPr>
        <b val="true"/>
        <sz val="10"/>
        <color rgb="FFFF0000"/>
        <rFont val="Liberation Sans1"/>
        <family val="0"/>
        <charset val="162"/>
      </rPr>
      <t xml:space="preserve">17-02-2025</t>
    </r>
  </si>
  <si>
    <r>
      <rPr>
        <sz val="10"/>
        <color rgb="FF000000"/>
        <rFont val="Liberation Sans1"/>
        <family val="0"/>
        <charset val="162"/>
      </rPr>
      <t xml:space="preserve">Nakit  22104 TL  elden alınan    </t>
    </r>
    <r>
      <rPr>
        <b val="true"/>
        <sz val="10"/>
        <color rgb="FFFF0000"/>
        <rFont val="Liberation Sans1"/>
        <family val="0"/>
        <charset val="162"/>
      </rPr>
      <t xml:space="preserve">05-03-2025</t>
    </r>
  </si>
  <si>
    <t xml:space="preserve">Nakit  22104 TL                    </t>
  </si>
  <si>
    <t xml:space="preserve">30.04.20245</t>
  </si>
  <si>
    <t xml:space="preserve">Nakit  22104 TL son oturduğu ay</t>
  </si>
  <si>
    <t xml:space="preserve">Nakit  22104 TL bu ay başında boşalttı</t>
  </si>
  <si>
    <t xml:space="preserve">Nakit  22104 TL</t>
  </si>
  <si>
    <t xml:space="preserve">toplam banka ödemesi</t>
  </si>
  <si>
    <t xml:space="preserve">Banka Ödemesi</t>
  </si>
  <si>
    <t xml:space="preserve">Tüfeli GENEL TOPLAM</t>
  </si>
  <si>
    <t xml:space="preserve">Ödenmesi Gereken</t>
  </si>
  <si>
    <t xml:space="preserve">HESAP SIFIRLAMA</t>
  </si>
  <si>
    <t xml:space="preserve">aylık ta noksan ödeme 15000-6500=8500</t>
  </si>
  <si>
    <t xml:space="preserve">yıllık tüfe</t>
  </si>
  <si>
    <t xml:space="preserve">5. dönem için toplam ödeme</t>
  </si>
  <si>
    <t xml:space="preserve">mart nisan mayıs bedeli  3*15000</t>
  </si>
  <si>
    <t xml:space="preserve">Yıllık peşin ödemeye geçildi</t>
  </si>
  <si>
    <t xml:space="preserve">2025-2026 dönemi için ödenecek bakiye için senet yapıldı</t>
  </si>
  <si>
    <t xml:space="preserve">senet</t>
  </si>
  <si>
    <t xml:space="preserve">Sennedin ödenmesiyle hesap sıfırlanacak</t>
  </si>
  <si>
    <t xml:space="preserve">senet sözleşme taahhüt  imzalanmadı </t>
  </si>
  <si>
    <t xml:space="preserve">boşaltacağını söyledi</t>
  </si>
  <si>
    <t xml:space="preserve">anahtarı teslim etti 2 adet</t>
  </si>
  <si>
    <t xml:space="preserve">1 anahtarı vermedi</t>
  </si>
  <si>
    <t xml:space="preserve">toplam alınan</t>
  </si>
  <si>
    <t xml:space="preserve">aylık kira  ortalama gram altın</t>
  </si>
  <si>
    <t xml:space="preserve">doğuş temmuz kira bedeli</t>
  </si>
  <si>
    <t xml:space="preserve"> en düşük</t>
  </si>
  <si>
    <t xml:space="preserve">ilk kiraya göre</t>
  </si>
  <si>
    <t xml:space="preserve">sonraki 6 ay tahmini (+ enflasyon</t>
  </si>
  <si>
    <t xml:space="preserve">tahmini enflasyon / 2</t>
  </si>
  <si>
    <t xml:space="preserve">en yüksek</t>
  </si>
  <si>
    <t xml:space="preserve">ilk kiraya göre olması gereken</t>
  </si>
  <si>
    <t xml:space="preserve">en yüksek kiraya göre olması gereken</t>
  </si>
  <si>
    <t xml:space="preserve">Doğuş</t>
  </si>
  <si>
    <t xml:space="preserve">2021 ve sonrası</t>
  </si>
  <si>
    <t xml:space="preserve">ödeme yapılan son</t>
  </si>
  <si>
    <t xml:space="preserve">temmuz</t>
  </si>
  <si>
    <t xml:space="preserve">olması gereken</t>
  </si>
  <si>
    <t xml:space="preserve">Tarih</t>
  </si>
  <si>
    <t xml:space="preserve">Açıklama</t>
  </si>
  <si>
    <t xml:space="preserve">Bedeli</t>
  </si>
  <si>
    <t xml:space="preserve">Bakiye</t>
  </si>
  <si>
    <t xml:space="preserve">aylık</t>
  </si>
  <si>
    <t xml:space="preserve">tüfe</t>
  </si>
  <si>
    <t xml:space="preserve">+</t>
  </si>
  <si>
    <t xml:space="preserve">Asg.Ü.</t>
  </si>
  <si>
    <t xml:space="preserve">adet</t>
  </si>
  <si>
    <t xml:space="preserve">Kira dönemi</t>
  </si>
  <si>
    <t xml:space="preserve">ADEM DUMAN</t>
  </si>
  <si>
    <t xml:space="preserve">28-02-21*27-02-22</t>
  </si>
  <si>
    <t xml:space="preserve">28-02-22*27-02-23</t>
  </si>
  <si>
    <t xml:space="preserve">28-02-23*27-02-24</t>
  </si>
  <si>
    <t xml:space="preserve">28-02-24*27-02-25</t>
  </si>
  <si>
    <t xml:space="preserve">28/02/25-31/12/25</t>
  </si>
  <si>
    <t xml:space="preserve">Kirada Oturma Dönem 28 Şubat ile sonraki yıl 27 Şubat tarihleri arasıdır.</t>
  </si>
  <si>
    <t xml:space="preserve">Ödeme kira dönem başalangıcından 6 ay önce başlar. Döneme ait Kira ödemesi bittiğinde</t>
  </si>
  <si>
    <t xml:space="preserve">sonraki yılın ödemesi 6 ay önceden başlar</t>
  </si>
  <si>
    <t xml:space="preserve"> tarihine kadar şubat ayı enflasyonu ile artış yapılıp</t>
  </si>
  <si>
    <t xml:space="preserve">önceki 6 ay farkı son altı ayda tahsil ediliyordu</t>
  </si>
  <si>
    <t xml:space="preserve">2023 ilk ödemeler 3000 son ödemeler 6500 TL toplamda 60000 TL uygulandı</t>
  </si>
  <si>
    <t xml:space="preserve">2023 bedeli toplamda 60000 aylık 5000 TL oldu</t>
  </si>
  <si>
    <t xml:space="preserve">2023 8. ayda 2023-24 için 60000 TL olan bedel %30 artışla 6500x12=78000 olarak belirlendi</t>
  </si>
  <si>
    <t xml:space="preserve">78000 TL 28-02-2024 ile 27-02-2025 bedelidir ve ödemeler 2023 yılının 8. ayında başlamıştır.</t>
  </si>
  <si>
    <t xml:space="preserve">şubat ayında nakit ödeme yapmak yerine 6 ay öncesinden başlayarak 12 aylık ortalama</t>
  </si>
  <si>
    <t xml:space="preserve">vadeye göre ödeme yapılmaktadır. Yıllık artışlarda şubat ayına göre değil ağustos ayına</t>
  </si>
  <si>
    <t xml:space="preserve">göre uygulanacak</t>
  </si>
  <si>
    <t xml:space="preserve">Kiranın 12 asgari ücret bedeli olan 17,002*12=204024 TL olacağı ve artık</t>
  </si>
  <si>
    <t xml:space="preserve">yıllık artışın asgari ücrete bağlı olarak yapılacağı bildirildi.</t>
  </si>
  <si>
    <t xml:space="preserve">2024 yılı için 10 aylık sözleşme yapılacağı, kira döneminin 2025 yılından sonra </t>
  </si>
  <si>
    <t xml:space="preserve"> ocak-aralık olarak uygulanacağı anlatıldı.</t>
  </si>
  <si>
    <t xml:space="preserve">ödemeler düzenli yapılıyor ise ödediği ayın kira bedeli </t>
  </si>
  <si>
    <t xml:space="preserve">6 ay sonrasının kira bedelidir.</t>
  </si>
  <si>
    <t xml:space="preserve">28-02-2025 -31-12-2025 bedeli</t>
  </si>
  <si>
    <t xml:space="preserve">Ödenecek</t>
  </si>
  <si>
    <t xml:space="preserve">Ödenen</t>
  </si>
  <si>
    <t xml:space="preserve">28-02-2025 -27-02-2026 için yapılan ödemeler</t>
  </si>
  <si>
    <t xml:space="preserve">son ödeme</t>
  </si>
  <si>
    <t xml:space="preserve">Toplam</t>
  </si>
  <si>
    <t xml:space="preserve">aylık ortalama</t>
  </si>
  <si>
    <t xml:space="preserve">28-02-2024 -27-02-2025 bedeli</t>
  </si>
  <si>
    <t xml:space="preserve">28-02-2024 -27-02-2025 için yapılan ödemeler</t>
  </si>
  <si>
    <t xml:space="preserve">Nakit</t>
  </si>
  <si>
    <t xml:space="preserve">bankadan</t>
  </si>
  <si>
    <t xml:space="preserve">nakit</t>
  </si>
  <si>
    <t xml:space="preserve">Kira bedeli</t>
  </si>
  <si>
    <t xml:space="preserve">Masraf</t>
  </si>
  <si>
    <t xml:space="preserve">Kalan NET</t>
  </si>
  <si>
    <t xml:space="preserve">Adem Duman</t>
  </si>
  <si>
    <t xml:space="preserve">28-02-2021 * 27-02-22 hesabı sıfırlandı</t>
  </si>
  <si>
    <t xml:space="preserve">28-02-2022 * 27-02-23</t>
  </si>
  <si>
    <t xml:space="preserve">Senet 2000 x</t>
  </si>
  <si>
    <t xml:space="preserve">Senet 2000 X</t>
  </si>
  <si>
    <t xml:space="preserve">Senet 2000</t>
  </si>
  <si>
    <t xml:space="preserve">Nakit 3000</t>
  </si>
  <si>
    <t xml:space="preserve">Nakit 3000 10-05-2022</t>
  </si>
  <si>
    <t xml:space="preserve">Nakit 5000</t>
  </si>
  <si>
    <t xml:space="preserve">BANKADAN 5-7 4000</t>
  </si>
  <si>
    <t xml:space="preserve">BANKADAN 29-8  5000</t>
  </si>
  <si>
    <t xml:space="preserve">28-02-2022 * 27-02-23 hesabı sıfırlandı</t>
  </si>
  <si>
    <t xml:space="preserve">Toplamlar</t>
  </si>
  <si>
    <t xml:space="preserve">Doğuş Toplam Gelir</t>
  </si>
  <si>
    <t xml:space="preserve">Hacı</t>
  </si>
  <si>
    <t xml:space="preserve">28-02-2023 - 27-02-2024</t>
  </si>
  <si>
    <t xml:space="preserve">şubat tüfe</t>
  </si>
  <si>
    <t xml:space="preserve">2023 artış</t>
  </si>
  <si>
    <t xml:space="preserve">28-02-2023 * 27-02-24 bedeli</t>
  </si>
  <si>
    <t xml:space="preserve">2023 indirim</t>
  </si>
  <si>
    <t xml:space="preserve">Nakit 3000 bankadan</t>
  </si>
  <si>
    <t xml:space="preserve">Nakit 3000 bankadan 6-2</t>
  </si>
  <si>
    <t xml:space="preserve">Nakit 3000 ELDEN</t>
  </si>
  <si>
    <t xml:space="preserve">Nakit 6500</t>
  </si>
  <si>
    <t xml:space="preserve">28-02-2023 - 27-02-2024 hesabı sıfırlandı</t>
  </si>
  <si>
    <t xml:space="preserve">31-05-2024 Adem Dumana bildirildi</t>
  </si>
  <si>
    <t xml:space="preserve">MEVCUT DEVAM EDEN DURUM</t>
  </si>
  <si>
    <t xml:space="preserve">28-02-2024 --&gt; 27-02-2025</t>
  </si>
  <si>
    <t xml:space="preserve">Temmuz sonundan itibaren uygulanmayacak</t>
  </si>
  <si>
    <t xml:space="preserve">Ödeme Tarihi</t>
  </si>
  <si>
    <t xml:space="preserve"> 1 / 12</t>
  </si>
  <si>
    <t xml:space="preserve"> 2 / 12</t>
  </si>
  <si>
    <t xml:space="preserve"> 3 / 12</t>
  </si>
  <si>
    <t xml:space="preserve"> 4 / 12</t>
  </si>
  <si>
    <t xml:space="preserve"> 5 / 12</t>
  </si>
  <si>
    <t xml:space="preserve"> 6 / 12</t>
  </si>
  <si>
    <t xml:space="preserve"> 7 / 12</t>
  </si>
  <si>
    <t xml:space="preserve"> 8 / 12</t>
  </si>
  <si>
    <t xml:space="preserve"> 9 / 12</t>
  </si>
  <si>
    <t xml:space="preserve"> 10 / 12</t>
  </si>
  <si>
    <t xml:space="preserve"> 11 / 12</t>
  </si>
  <si>
    <t xml:space="preserve"> 12 / 12</t>
  </si>
  <si>
    <t xml:space="preserve">TOPLAMLAR</t>
  </si>
  <si>
    <t xml:space="preserve">Aylık ortalama</t>
  </si>
  <si>
    <t xml:space="preserve">1. SEÇENEK</t>
  </si>
  <si>
    <t xml:space="preserve">AYLIK ÖDEMEYLE DEVAM</t>
  </si>
  <si>
    <t xml:space="preserve">28-02-2025 --&gt; 27-02-2026</t>
  </si>
  <si>
    <t xml:space="preserve"> 1 / 12                                    asgari ücret tutarı</t>
  </si>
  <si>
    <t xml:space="preserve"> 2 / 12                                    asgari ücret tutarı</t>
  </si>
  <si>
    <t xml:space="preserve"> 3 / 12                                    asgari ücret tutarı</t>
  </si>
  <si>
    <t xml:space="preserve"> 4 / 12                                    asgari ücret tutarı</t>
  </si>
  <si>
    <t xml:space="preserve"> 5 / 12                                    asgari ücret tutarı</t>
  </si>
  <si>
    <t xml:space="preserve"> 6 / 12                                    asgari ücret tutarı</t>
  </si>
  <si>
    <t xml:space="preserve"> 7 / 12                                    asgari ücret tutarı</t>
  </si>
  <si>
    <t xml:space="preserve"> 8 / 12                                    asgari ücret tutarı</t>
  </si>
  <si>
    <t xml:space="preserve"> 9 / 12                                    asgari ücret tutarı</t>
  </si>
  <si>
    <t xml:space="preserve">10 / 12                                    asgari ücret tutarı</t>
  </si>
  <si>
    <t xml:space="preserve">11 / 12                                    asgari ücret tutarı</t>
  </si>
  <si>
    <t xml:space="preserve">12 / 12                                    asgari ücret tutarı</t>
  </si>
  <si>
    <t xml:space="preserve">2. SEÇENEK</t>
  </si>
  <si>
    <r>
      <rPr>
        <b val="true"/>
        <u val="single"/>
        <sz val="10"/>
        <color rgb="FF000000"/>
        <rFont val="Adobe Gothic Std B"/>
        <family val="2"/>
        <charset val="128"/>
      </rPr>
      <t xml:space="preserve">ERKEN</t>
    </r>
    <r>
      <rPr>
        <b val="true"/>
        <sz val="10"/>
        <color rgb="FF000000"/>
        <rFont val="Adobe Gothic Std B"/>
        <family val="2"/>
        <charset val="128"/>
      </rPr>
      <t xml:space="preserve"> YILLIK PEŞİN ÖDEME</t>
    </r>
  </si>
  <si>
    <t xml:space="preserve">Tek Ödeme              17002  x 12</t>
  </si>
  <si>
    <t xml:space="preserve">3. SEÇENEK</t>
  </si>
  <si>
    <r>
      <rPr>
        <b val="true"/>
        <u val="single"/>
        <sz val="10"/>
        <color rgb="FF000000"/>
        <rFont val="Adobe Gothic Std B"/>
        <family val="2"/>
        <charset val="128"/>
      </rPr>
      <t xml:space="preserve">DÖNEM BAŞI</t>
    </r>
    <r>
      <rPr>
        <b val="true"/>
        <sz val="10"/>
        <color rgb="FF000000"/>
        <rFont val="Adobe Gothic Std B"/>
        <family val="2"/>
        <charset val="128"/>
      </rPr>
      <t xml:space="preserve"> YILLIK PEŞİN ÖDEME</t>
    </r>
  </si>
  <si>
    <t xml:space="preserve">Tek Ödeme                           asgari ücret x 12</t>
  </si>
  <si>
    <t xml:space="preserve">28-02-2021 * 27-02-22</t>
  </si>
  <si>
    <t xml:space="preserve">Ödenecek Toplam 24000</t>
  </si>
  <si>
    <t xml:space="preserve">temmuz </t>
  </si>
  <si>
    <t xml:space="preserve">     ASGARİ ÜCRET</t>
  </si>
  <si>
    <t xml:space="preserve">yıllık</t>
  </si>
  <si>
    <t xml:space="preserve">tüfe %</t>
  </si>
  <si>
    <t xml:space="preserve">tüfeli fiyat</t>
  </si>
  <si>
    <t xml:space="preserve">TL</t>
  </si>
  <si>
    <t xml:space="preserve">Senet 14000 x</t>
  </si>
  <si>
    <t xml:space="preserve">Toplam Ödenen</t>
  </si>
  <si>
    <t xml:space="preserve">Ödenecek Toplam 36000</t>
  </si>
  <si>
    <t xml:space="preserve">bankadan ödeme</t>
  </si>
  <si>
    <t xml:space="preserve">28-02-2023 * 27-02-24 Bir yıl</t>
  </si>
  <si>
    <t xml:space="preserve">Ödenecek Toplam 62280</t>
  </si>
  <si>
    <t xml:space="preserve">28-02-2024 * 27-02-2025 </t>
  </si>
  <si>
    <t xml:space="preserve">Ödenecek Toplam 39000</t>
  </si>
  <si>
    <t xml:space="preserve">08-07-24 banka</t>
  </si>
  <si>
    <t xml:space="preserve">28-02-2025 * 27-02-2026</t>
  </si>
  <si>
    <t xml:space="preserve">Ödenecek Toplam </t>
  </si>
  <si>
    <t xml:space="preserve">09-09-24 bnaka</t>
  </si>
  <si>
    <t xml:space="preserve">09-10-24 banka</t>
  </si>
  <si>
    <t xml:space="preserve">11-11-24 banka</t>
  </si>
  <si>
    <t xml:space="preserve">11-12-24 banka</t>
  </si>
  <si>
    <t xml:space="preserve">29.02.2025</t>
  </si>
  <si>
    <t xml:space="preserve">Tuzgümrüğü kira</t>
  </si>
  <si>
    <t xml:space="preserve">Kalan Kira</t>
  </si>
  <si>
    <t xml:space="preserve">26-12-2022 bankadan 3300</t>
  </si>
  <si>
    <t xml:space="preserve">30-4-2023-24</t>
  </si>
  <si>
    <t xml:space="preserve">Salih Kaymak</t>
  </si>
  <si>
    <t xml:space="preserve">    *12</t>
  </si>
  <si>
    <t xml:space="preserve">bankadan 5600 1/2</t>
  </si>
  <si>
    <t xml:space="preserve">bankadan 2/2</t>
  </si>
  <si>
    <t xml:space="preserve">Tuzgümrüğü Toplam Kira Geliri</t>
  </si>
  <si>
    <t xml:space="preserve">2021 den kalan</t>
  </si>
  <si>
    <t xml:space="preserve">30-4-2022-23</t>
  </si>
  <si>
    <t xml:space="preserve">1650*12</t>
  </si>
  <si>
    <t xml:space="preserve">12-05-2022 ilk ödeme</t>
  </si>
  <si>
    <t xml:space="preserve">DOĞUŞ TİC. - HAKAN BALCI 2003-2012 HESAP CETVELİ</t>
  </si>
  <si>
    <t xml:space="preserve">2003-2004</t>
  </si>
  <si>
    <t xml:space="preserve">evrak no</t>
  </si>
  <si>
    <t xml:space="preserve">alınan</t>
  </si>
  <si>
    <t xml:space="preserve">ödeme</t>
  </si>
  <si>
    <t xml:space="preserve">Ny 2003</t>
  </si>
  <si>
    <t xml:space="preserve">yb</t>
  </si>
  <si>
    <t xml:space="preserve">örtü</t>
  </si>
  <si>
    <t xml:space="preserve">Araba kredi 7</t>
  </si>
  <si>
    <t xml:space="preserve">Araba kredi 8</t>
  </si>
  <si>
    <t xml:space="preserve">Araba kredi 9</t>
  </si>
  <si>
    <t xml:space="preserve">vergi</t>
  </si>
  <si>
    <t xml:space="preserve">Araba kredi 10</t>
  </si>
  <si>
    <t xml:space="preserve">pls</t>
  </si>
  <si>
    <t xml:space="preserve">tunç perde</t>
  </si>
  <si>
    <t xml:space="preserve">Araba kredi 11</t>
  </si>
  <si>
    <t xml:space="preserve">Araba kredi 12</t>
  </si>
  <si>
    <t xml:space="preserve">Vakıf kredi 1</t>
  </si>
  <si>
    <t xml:space="preserve">ssk</t>
  </si>
  <si>
    <t xml:space="preserve">26-2 çek HAKANDAN</t>
  </si>
  <si>
    <t xml:space="preserve">27-2 çek HAKANDAN</t>
  </si>
  <si>
    <t xml:space="preserve">5-3 çek HAKANDAN</t>
  </si>
  <si>
    <t xml:space="preserve">sanayi hesabı</t>
  </si>
  <si>
    <t xml:space="preserve">2004 yıl içi toplamı</t>
  </si>
  <si>
    <t xml:space="preserve">2004 NY</t>
  </si>
  <si>
    <t xml:space="preserve">bağkur</t>
  </si>
  <si>
    <t xml:space="preserve">tvn</t>
  </si>
  <si>
    <t xml:space="preserve">kdv</t>
  </si>
  <si>
    <t xml:space="preserve">Araba kredi 1</t>
  </si>
  <si>
    <t xml:space="preserve">Araba kredi 2</t>
  </si>
  <si>
    <t xml:space="preserve">Vakıf kredi 2</t>
  </si>
  <si>
    <t xml:space="preserve">Vakıf kredi 3</t>
  </si>
  <si>
    <t xml:space="preserve">Vakıf kredi 4</t>
  </si>
  <si>
    <t xml:space="preserve">Araba kredi 3</t>
  </si>
  <si>
    <t xml:space="preserve">stn</t>
  </si>
  <si>
    <t xml:space="preserve">Araba kredi 4</t>
  </si>
  <si>
    <t xml:space="preserve">maliye</t>
  </si>
  <si>
    <t xml:space="preserve">fırça</t>
  </si>
  <si>
    <t xml:space="preserve">Araba kredi 5</t>
  </si>
  <si>
    <t xml:space="preserve">Vakıf kredi 5</t>
  </si>
  <si>
    <t xml:space="preserve">Vakıf kredi 6</t>
  </si>
  <si>
    <t xml:space="preserve">gırgıroğlu</t>
  </si>
  <si>
    <t xml:space="preserve">kk</t>
  </si>
  <si>
    <t xml:space="preserve">iş döviz alım</t>
  </si>
  <si>
    <t xml:space="preserve">iş yatan</t>
  </si>
  <si>
    <t xml:space="preserve">vakıf kredi 7</t>
  </si>
  <si>
    <t xml:space="preserve">vakıf kredi 8</t>
  </si>
  <si>
    <t xml:space="preserve">vakıf kredi 9</t>
  </si>
  <si>
    <t xml:space="preserve">elden verilen</t>
  </si>
  <si>
    <t xml:space="preserve">elden standox</t>
  </si>
  <si>
    <t xml:space="preserve">ziraatten alınan</t>
  </si>
  <si>
    <t xml:space="preserve">vakıf kredi 10</t>
  </si>
  <si>
    <t xml:space="preserve">vakıf kredi 11</t>
  </si>
  <si>
    <t xml:space="preserve">san iş kredili mevduat</t>
  </si>
  <si>
    <t xml:space="preserve">taşıt pulu</t>
  </si>
  <si>
    <t xml:space="preserve">soba by</t>
  </si>
  <si>
    <t xml:space="preserve">ali ülkü</t>
  </si>
  <si>
    <t xml:space="preserve">2005 yıl içi toplamı</t>
  </si>
  <si>
    <t xml:space="preserve">Ny 2005</t>
  </si>
  <si>
    <t xml:space="preserve">2006 hesap</t>
  </si>
  <si>
    <t xml:space="preserve">hasözgen</t>
  </si>
  <si>
    <t xml:space="preserve">hilal koop</t>
  </si>
  <si>
    <t xml:space="preserve">opel fatih</t>
  </si>
  <si>
    <t xml:space="preserve">vakıf kredi 12</t>
  </si>
  <si>
    <t xml:space="preserve">vakıf kredi 13</t>
  </si>
  <si>
    <t xml:space="preserve">vakıf kredi 14</t>
  </si>
  <si>
    <t xml:space="preserve">vakıf kredi 15</t>
  </si>
  <si>
    <t xml:space="preserve">vakıf kredi 16</t>
  </si>
  <si>
    <t xml:space="preserve">vakıf kredi 17</t>
  </si>
  <si>
    <t xml:space="preserve">opel lastik</t>
  </si>
  <si>
    <t xml:space="preserve">antipas</t>
  </si>
  <si>
    <t xml:space="preserve">eski hesap</t>
  </si>
  <si>
    <t xml:space="preserve">ev</t>
  </si>
  <si>
    <t xml:space="preserve">tiner</t>
  </si>
  <si>
    <t xml:space="preserve">ziraat masraf</t>
  </si>
  <si>
    <t xml:space="preserve">alanya havale</t>
  </si>
  <si>
    <t xml:space="preserve">oyakbanka yatan</t>
  </si>
  <si>
    <t xml:space="preserve">oyak must bülbül çek</t>
  </si>
  <si>
    <t xml:space="preserve">polsn hvl</t>
  </si>
  <si>
    <t xml:space="preserve">strfr</t>
  </si>
  <si>
    <t xml:space="preserve">dış cph</t>
  </si>
  <si>
    <t xml:space="preserve">iş faiz</t>
  </si>
  <si>
    <t xml:space="preserve">populer</t>
  </si>
  <si>
    <t xml:space="preserve">elden alınan</t>
  </si>
  <si>
    <t xml:space="preserve">antp</t>
  </si>
  <si>
    <t xml:space="preserve">puan</t>
  </si>
  <si>
    <t xml:space="preserve">jnd ziraat</t>
  </si>
  <si>
    <t xml:space="preserve">dftr tsdk</t>
  </si>
  <si>
    <t xml:space="preserve">Muh 2004</t>
  </si>
  <si>
    <t xml:space="preserve">Muh 2005</t>
  </si>
  <si>
    <t xml:space="preserve">Muh 2006</t>
  </si>
  <si>
    <t xml:space="preserve">Vergi 2005</t>
  </si>
  <si>
    <t xml:space="preserve">Vergi 2006</t>
  </si>
  <si>
    <t xml:space="preserve">tn</t>
  </si>
  <si>
    <t xml:space="preserve">2006 yıl içi toplamı</t>
  </si>
  <si>
    <t xml:space="preserve">mcn</t>
  </si>
  <si>
    <t xml:space="preserve">plızl</t>
  </si>
  <si>
    <t xml:space="preserve">muslk</t>
  </si>
  <si>
    <t xml:space="preserve">elden ödem</t>
  </si>
  <si>
    <t xml:space="preserve">kal mlzm ev</t>
  </si>
  <si>
    <t xml:space="preserve">2007 yıl içi toplamı</t>
  </si>
  <si>
    <t xml:space="preserve">2008-12</t>
  </si>
  <si>
    <t xml:space="preserve">NY 2007</t>
  </si>
  <si>
    <t xml:space="preserve">fıratpen</t>
  </si>
  <si>
    <t xml:space="preserve">iş çek için</t>
  </si>
  <si>
    <t xml:space="preserve">180 zmp</t>
  </si>
  <si>
    <t xml:space="preserve">hacıya uçak bileti için</t>
  </si>
  <si>
    <t xml:space="preserve">Zmp 50 ad</t>
  </si>
  <si>
    <t xml:space="preserve">opel balata</t>
  </si>
  <si>
    <t xml:space="preserve">tnr</t>
  </si>
  <si>
    <t xml:space="preserve">sr yldz</t>
  </si>
  <si>
    <t xml:space="preserve">dinç</t>
  </si>
  <si>
    <t xml:space="preserve">2008 yıl içi toplamı</t>
  </si>
  <si>
    <t xml:space="preserve">furkan (motorcu yalıtım taksidi)</t>
  </si>
  <si>
    <t xml:space="preserve">resmi ödemelerin toplamı</t>
  </si>
  <si>
    <t xml:space="preserve">alışveriş hesabı</t>
  </si>
  <si>
    <t xml:space="preserve">TL bazında hakanın doğuştan aldığı para</t>
  </si>
  <si>
    <t xml:space="preserve">2003-2012 DOĞUŞ- HAKAN HESAP TOPLAMI</t>
  </si>
  <si>
    <t xml:space="preserve">hakanın</t>
  </si>
  <si>
    <t xml:space="preserve">aldığı</t>
  </si>
  <si>
    <t xml:space="preserve">ödediği</t>
  </si>
  <si>
    <t xml:space="preserve">$-tl</t>
  </si>
  <si>
    <t xml:space="preserve">$</t>
  </si>
  <si>
    <t xml:space="preserve">dolar bazında hakanın doğuştan aldığı para</t>
  </si>
  <si>
    <t xml:space="preserve">USD</t>
  </si>
  <si>
    <t xml:space="preserve">DOĞUŞ TİCARET – NAZAN BALCI  İŞ SONLANDIRMA HESAP CETVELİ</t>
  </si>
  <si>
    <t xml:space="preserve">1994 yılında Doğuş Ticaret Ayten Balcı’ya ait arsaya 5 daire 1 dükkan</t>
  </si>
  <si>
    <t xml:space="preserve">olacak şekilde bir bina yaptı.</t>
  </si>
  <si>
    <t xml:space="preserve">Değeri</t>
  </si>
  <si>
    <t xml:space="preserve">Kat Karşılığı</t>
  </si>
  <si>
    <t xml:space="preserve">Kime Ait</t>
  </si>
  <si>
    <t xml:space="preserve">Son Durum</t>
  </si>
  <si>
    <t xml:space="preserve">Daire 5</t>
  </si>
  <si>
    <t xml:space="preserve">Arsa Sahibine</t>
  </si>
  <si>
    <t xml:space="preserve">Ayten Balcı</t>
  </si>
  <si>
    <t xml:space="preserve">Daire 4</t>
  </si>
  <si>
    <t xml:space="preserve">Doğuş Ticaret</t>
  </si>
  <si>
    <t xml:space="preserve">Nazan Balcı</t>
  </si>
  <si>
    <t xml:space="preserve">Daire 3</t>
  </si>
  <si>
    <t xml:space="preserve">Daire 2 satıldı</t>
  </si>
  <si>
    <t xml:space="preserve">Satıldı</t>
  </si>
  <si>
    <t xml:space="preserve">Daire 1   Satıldı</t>
  </si>
  <si>
    <t xml:space="preserve">Dükkan   Satıldı</t>
  </si>
  <si>
    <t xml:space="preserve">Hacı + Nazan</t>
  </si>
  <si>
    <t xml:space="preserve">*</t>
  </si>
  <si>
    <t xml:space="preserve">daire 2 satıldı, Ali Paşa Hamam daki arsanın, Mustafa Işıklıyurt’a ait hisse satın alındı</t>
  </si>
  <si>
    <t xml:space="preserve">2 nolu daire hacı ya ait olmasına rağmen ali paşa ortak alındığından dolayı daire den alınan</t>
  </si>
  <si>
    <t xml:space="preserve">paranın yarısı İsmail Balcıya geçmiş oldu.</t>
  </si>
  <si>
    <t xml:space="preserve">Dükkan satıldı parayı hacı aldı ortaklardan nazanın alacağı oluştu</t>
  </si>
  <si>
    <t xml:space="preserve">hakanın Doğuştan aldığı nakit</t>
  </si>
  <si>
    <t xml:space="preserve">2007 de hacı doğuşa geçtiğinde borç ödemesi için mustafa balcı 50000 TL verdi.</t>
  </si>
  <si>
    <t xml:space="preserve">2015-ocak ayı Doğuşun; Denizbanka 365.000 TL, İşbank a 36.000 TL kredi borcu var</t>
  </si>
  <si>
    <r>
      <rPr>
        <sz val="11"/>
        <color rgb="FF000000"/>
        <rFont val="Calibri"/>
        <family val="2"/>
        <charset val="162"/>
      </rPr>
      <t xml:space="preserve">Aylık borç ödemesi 6765+3409=10.174 TL.  1  USD=2.40 TL </t>
    </r>
    <r>
      <rPr>
        <b val="true"/>
        <sz val="11"/>
        <color rgb="FF000000"/>
        <rFont val="Calibri"/>
        <family val="2"/>
        <charset val="162"/>
      </rPr>
      <t xml:space="preserve">Aylık ödeme # 4239 USD #</t>
    </r>
  </si>
  <si>
    <t xml:space="preserve">Dolar cinsinden borç yaklaşık 167000 USD</t>
  </si>
  <si>
    <t xml:space="preserve">Envanter yaklaşık 110 000 TL   Satılabilir mal toplamı yaklaşık 60 000 TL = 25000 usd</t>
  </si>
  <si>
    <t xml:space="preserve">* Bu bilgiler şirkette aylık dönen paranın anlaşılabilmesi için verilmiştir.</t>
  </si>
  <si>
    <t xml:space="preserve">HACI ALACAK</t>
  </si>
  <si>
    <t xml:space="preserve">TL – usd</t>
  </si>
  <si>
    <t xml:space="preserve">karşılığı</t>
  </si>
  <si>
    <t xml:space="preserve">İnşaat Daire 2 den kalan ½</t>
  </si>
  <si>
    <t xml:space="preserve">04-07</t>
  </si>
  <si>
    <t xml:space="preserve">Hakan BALCI Doğuştan verilen ½</t>
  </si>
  <si>
    <t xml:space="preserve">mustafa balcıdan doğuşa verilen ½</t>
  </si>
  <si>
    <t xml:space="preserve">Nazan Doğuş kapanış borcu ½</t>
  </si>
  <si>
    <t xml:space="preserve">2017 yılı sonu</t>
  </si>
  <si>
    <t xml:space="preserve">hacının alacağı USD</t>
  </si>
  <si>
    <t xml:space="preserve">NAZAN ALACAK</t>
  </si>
  <si>
    <t xml:space="preserve">İnşaat Dükkandan nazana ½</t>
  </si>
  <si>
    <t xml:space="preserve">Nazanın alacağı USD</t>
  </si>
  <si>
    <t xml:space="preserve">Toplam TL</t>
  </si>
  <si>
    <t xml:space="preserve">hacının KALAN alacağı USD</t>
  </si>
  <si>
    <t xml:space="preserve">DOĞUŞ TİCARET KAPANIŞ HESABI 2017</t>
  </si>
  <si>
    <t xml:space="preserve">sanayi boya dükkan masrafı mermer-alçıpan Ali Balcı</t>
  </si>
  <si>
    <t xml:space="preserve">hacı bağkur borcu</t>
  </si>
  <si>
    <t xml:space="preserve">Envanter satış kdv</t>
  </si>
  <si>
    <t xml:space="preserve">maliye kapanışta vergi</t>
  </si>
  <si>
    <t xml:space="preserve">Firmalara ölan borçlar (yanar)</t>
  </si>
  <si>
    <t xml:space="preserve">Firmalara olan borçlar (diğer)</t>
  </si>
  <si>
    <t xml:space="preserve">Doğuş 2017 haziranda borçla kapandı 1 USD = 3,55 TL</t>
  </si>
  <si>
    <t xml:space="preserve">NAZAN BALCI – DOĞUŞ 2017 HESABI</t>
  </si>
  <si>
    <t xml:space="preserve">doğuş hesabı  1/2</t>
  </si>
  <si>
    <t xml:space="preserve">2011 emlak vergi</t>
  </si>
  <si>
    <t xml:space="preserve">nazana ait esnaf koop aidat ödemesi     15-2-2016</t>
  </si>
  <si>
    <t xml:space="preserve">2013 2014 gelir vergisi farkı ankaradaki ev kira vergisi</t>
  </si>
  <si>
    <t xml:space="preserve">kümbet ev yalıtım hesabı * 100m2*60 TL</t>
  </si>
  <si>
    <t xml:space="preserve">DOĞUŞ KAPANIŞTA NAZAN BALCININ BORCU</t>
  </si>
  <si>
    <t xml:space="preserve">hacının kapanışta doğuşa borcu ½</t>
  </si>
  <si>
    <t xml:space="preserve">Doğuş Kapanışta Toplam Borç</t>
  </si>
  <si>
    <t xml:space="preserve">Doğuşa Olan Borçlar</t>
  </si>
  <si>
    <t xml:space="preserve">BAKİYE</t>
  </si>
  <si>
    <t xml:space="preserve">Nazan – Hakanın doğuştan ödenen borçlar</t>
  </si>
  <si>
    <t xml:space="preserve">Nazan – Doğuş kapanış borcu ½</t>
  </si>
  <si>
    <t xml:space="preserve">Hacı – Doğuş kapanış borcu ½</t>
  </si>
  <si>
    <t xml:space="preserve">DOĞUŞ KAPANIŞ ALACAK TOPLAMI</t>
  </si>
  <si>
    <t xml:space="preserve">Doğuşun Borçları</t>
  </si>
  <si>
    <t xml:space="preserve">Hacı – MUSTAFA BALCIdan doğuşa verilen-2007</t>
  </si>
  <si>
    <t xml:space="preserve">Hacı – Doğuş kapanırken hacının ödediği-2017</t>
  </si>
  <si>
    <t xml:space="preserve">DOĞUŞ KAPANIŞ BORÇ TOPLAMI</t>
  </si>
  <si>
    <t xml:space="preserve">Borç – alacak tahsilatı yapılabilseydi doğuş kapanışta kalan sermaye</t>
  </si>
  <si>
    <t xml:space="preserve">doğuş hesabından hacıya düşen hisse</t>
  </si>
  <si>
    <t xml:space="preserve">doğuş hesabından nazana düşen hisse</t>
  </si>
  <si>
    <t xml:space="preserve">İnşaat HESABI</t>
  </si>
  <si>
    <t xml:space="preserve">Nazanın fazladan aldığı ,nşaat hissesi – Daire ½</t>
  </si>
  <si>
    <t xml:space="preserve">Hacının fazladan aldığı dükkan hissesi – Dükkan ½</t>
  </si>
  <si>
    <t xml:space="preserve">İnşaat hesabından hacının alacağı</t>
  </si>
  <si>
    <t xml:space="preserve">nazanın toplam borcu</t>
  </si>
  <si>
    <t xml:space="preserve">hakandan</t>
  </si>
  <si>
    <t xml:space="preserve">doğuştan</t>
  </si>
  <si>
    <t xml:space="preserve">inşaattan</t>
  </si>
  <si>
    <t xml:space="preserve">nazanın doğuş kapanışta doğuşun varlığının yarısı</t>
  </si>
  <si>
    <t xml:space="preserve">nazanın toplam borcu = hakan + doğuş kapanış + inşaat hesabı</t>
  </si>
  <si>
    <t xml:space="preserve">hakanın doğuşa olan toplam borç içindeki payı</t>
  </si>
  <si>
    <t xml:space="preserve">1203 m2 SANAYİ Arsa Değeri </t>
  </si>
  <si>
    <t xml:space="preserve">Nazan</t>
  </si>
  <si>
    <t xml:space="preserve">2007 hisse oranları</t>
  </si>
  <si>
    <t xml:space="preserve">2007 hisse değerleri</t>
  </si>
  <si>
    <t xml:space="preserve">2017 DOĞUŞ hesap kapama sonucu</t>
  </si>
  <si>
    <t xml:space="preserve">nazanın borcu arsa hissesinden düşüldü                                            I                                                    V</t>
  </si>
  <si>
    <t xml:space="preserve">hacının alacağı arsa hissesine eklendi                                           I                                                    V</t>
  </si>
  <si>
    <t xml:space="preserve">2017 hesap sonrası hisse değerleri</t>
  </si>
  <si>
    <t xml:space="preserve">2017 hesap sonrası hisse oranları</t>
  </si>
  <si>
    <t xml:space="preserve">'[02-23-sny.ods]02-13-BAKIYE'!$AC$28</t>
  </si>
  <si>
    <t xml:space="preserve">2019-22 kira gelirlerini hacı tahsil etti                                            I                                                    V</t>
  </si>
  <si>
    <t xml:space="preserve">2019-22 kira gelirleri</t>
  </si>
  <si>
    <t xml:space="preserve">2019-22 kira gelirleri % si</t>
  </si>
  <si>
    <t xml:space="preserve">hacının tahsil ettiği 2019-22 kira gelirleri nazanın hissesine eklendi                                            I                                                    V</t>
  </si>
  <si>
    <t xml:space="preserve">2019-22 kira gelirleri hacının hissesinden düşüldü                                            I                                                    V</t>
  </si>
  <si>
    <t xml:space="preserve">2022 kira gelirleri eklenmiş hisse değerleri</t>
  </si>
  <si>
    <t xml:space="preserve">2022 kira gelirleri eklenmiş  hisse oranları</t>
  </si>
  <si>
    <t xml:space="preserve">2023 ve sonrası hesaplar için uygulanacak </t>
  </si>
  <si>
    <t xml:space="preserve">SON HİSSE ORANLARI</t>
  </si>
  <si>
    <t xml:space="preserve">2023 kira gelirleri SON HİSSE ORANLARINA GÖRE HESAPLANARAK </t>
  </si>
  <si>
    <t xml:space="preserve">OCAK 2024 tarihinden itibaren NAZANın hesabına havale edilmeye başlandı</t>
  </si>
  <si>
    <t xml:space="preserve">Arsa değeri yan arsanın satış rakamı baz alınatak belirlenmiştir.</t>
  </si>
  <si>
    <t xml:space="preserve">Niğdeli, 2007 de Altıngövde den 700.000 TL ye satın aldı.</t>
  </si>
  <si>
    <t xml:space="preserve">Dolar olarak değeri 450,000 USD.</t>
  </si>
</sst>
</file>

<file path=xl/styles.xml><?xml version="1.0" encoding="utf-8"?>
<styleSheet xmlns="http://schemas.openxmlformats.org/spreadsheetml/2006/main">
  <numFmts count="33">
    <numFmt numFmtId="164" formatCode="General"/>
    <numFmt numFmtId="165" formatCode="dd/mm/yy;@"/>
    <numFmt numFmtId="166" formatCode="#,##0&quot; Tl/gr&quot;"/>
    <numFmt numFmtId="167" formatCode="#,##0.00"/>
    <numFmt numFmtId="168" formatCode="\ #,##0.00\ ;\-#,##0.00\ ;&quot; -&quot;#\ ;\ @\ "/>
    <numFmt numFmtId="169" formatCode="%0"/>
    <numFmt numFmtId="170" formatCode="%0.00"/>
    <numFmt numFmtId="171" formatCode="[$-F800]dddd&quot;, &quot;mmmm\ dd&quot;, &quot;yyyy"/>
    <numFmt numFmtId="172" formatCode="dd/mmm"/>
    <numFmt numFmtId="173" formatCode="dd\.mm\.yyyy"/>
    <numFmt numFmtId="174" formatCode="#,##0.000&quot; Gr/ay&quot;"/>
    <numFmt numFmtId="175" formatCode="@"/>
    <numFmt numFmtId="176" formatCode="dd/mm/yyyy"/>
    <numFmt numFmtId="177" formatCode="mmm/yy"/>
    <numFmt numFmtId="178" formatCode="#,##0.00&quot; Tl/gr&quot;"/>
    <numFmt numFmtId="179" formatCode="#,##0&quot; Dönem&quot;"/>
    <numFmt numFmtId="180" formatCode="#,##0&quot; TL/ay&quot;"/>
    <numFmt numFmtId="181" formatCode="d\.mm\.yyyy"/>
    <numFmt numFmtId="182" formatCode="0.00"/>
    <numFmt numFmtId="183" formatCode="dd\.mm\.yy;@"/>
    <numFmt numFmtId="184" formatCode="d\.mmm"/>
    <numFmt numFmtId="185" formatCode="[$-41F]dddd&quot;, &quot;mmmm\ dd&quot;, &quot;yyyy"/>
    <numFmt numFmtId="186" formatCode="\-#,##0.00;[RED]\-#,##0.00"/>
    <numFmt numFmtId="187" formatCode="[$$-409]#,##0.00;[RED]\-[$$-409]#,##0.00"/>
    <numFmt numFmtId="188" formatCode="[$-41F]General"/>
    <numFmt numFmtId="189" formatCode="[$-41F]#,##0.00"/>
    <numFmt numFmtId="190" formatCode="[$-41F]@"/>
    <numFmt numFmtId="191" formatCode="[$-41F]%0.00"/>
    <numFmt numFmtId="192" formatCode="#,##0.00000"/>
    <numFmt numFmtId="193" formatCode="[$₺-41F]#,##0.00;[RED]\-[$₺-41F]#,##0.00"/>
    <numFmt numFmtId="194" formatCode="[$$-409]#,##0.00;[RED][$$-409]#,##0.00"/>
    <numFmt numFmtId="195" formatCode="mmm\.yy"/>
    <numFmt numFmtId="196" formatCode="0.0000%"/>
  </numFmts>
  <fonts count="70">
    <font>
      <sz val="10"/>
      <color rgb="FF000000"/>
      <name val="Liberation Sans1"/>
      <family val="0"/>
      <charset val="16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Liberation Sans1"/>
      <family val="0"/>
      <charset val="162"/>
    </font>
    <font>
      <b val="true"/>
      <sz val="10"/>
      <color rgb="FF000000"/>
      <name val="Liberation Sans1"/>
      <family val="0"/>
      <charset val="162"/>
    </font>
    <font>
      <sz val="10"/>
      <color rgb="FFCC0000"/>
      <name val="Liberation Sans1"/>
      <family val="0"/>
      <charset val="162"/>
    </font>
    <font>
      <b val="true"/>
      <sz val="10"/>
      <color rgb="FFFFFFFF"/>
      <name val="Liberation Sans1"/>
      <family val="0"/>
      <charset val="162"/>
    </font>
    <font>
      <i val="true"/>
      <sz val="10"/>
      <color rgb="FF808080"/>
      <name val="Liberation Sans1"/>
      <family val="0"/>
      <charset val="162"/>
    </font>
    <font>
      <sz val="10"/>
      <color rgb="FF006600"/>
      <name val="Liberation Sans1"/>
      <family val="0"/>
      <charset val="162"/>
    </font>
    <font>
      <sz val="18"/>
      <color rgb="FF000000"/>
      <name val="Liberation Sans1"/>
      <family val="0"/>
      <charset val="162"/>
    </font>
    <font>
      <b val="true"/>
      <sz val="24"/>
      <color rgb="FF000000"/>
      <name val="Liberation Sans1"/>
      <family val="0"/>
      <charset val="162"/>
    </font>
    <font>
      <sz val="12"/>
      <color rgb="FF000000"/>
      <name val="Liberation Sans1"/>
      <family val="0"/>
      <charset val="162"/>
    </font>
    <font>
      <u val="single"/>
      <sz val="10"/>
      <color rgb="FF0000EE"/>
      <name val="Liberation Sans1"/>
      <family val="0"/>
      <charset val="162"/>
    </font>
    <font>
      <sz val="10"/>
      <color rgb="FF996600"/>
      <name val="Liberation Sans1"/>
      <family val="0"/>
      <charset val="162"/>
    </font>
    <font>
      <sz val="10"/>
      <name val="Arial"/>
      <family val="2"/>
      <charset val="162"/>
    </font>
    <font>
      <sz val="11"/>
      <color theme="1"/>
      <name val="Calibri"/>
      <family val="2"/>
      <charset val="162"/>
    </font>
    <font>
      <sz val="10"/>
      <color rgb="FF333333"/>
      <name val="Liberation Sans1"/>
      <family val="0"/>
      <charset val="162"/>
    </font>
    <font>
      <b val="true"/>
      <i val="true"/>
      <u val="single"/>
      <sz val="10"/>
      <color rgb="FF000000"/>
      <name val="Liberation Sans1"/>
      <family val="0"/>
      <charset val="162"/>
    </font>
    <font>
      <b val="true"/>
      <u val="single"/>
      <sz val="12"/>
      <color rgb="FF000000"/>
      <name val="Liberation Sans1"/>
      <family val="0"/>
      <charset val="162"/>
    </font>
    <font>
      <b val="true"/>
      <u val="single"/>
      <sz val="10"/>
      <color rgb="FF000000"/>
      <name val="Liberation Sans1"/>
      <family val="0"/>
      <charset val="162"/>
    </font>
    <font>
      <b val="true"/>
      <u val="single"/>
      <sz val="14"/>
      <color rgb="FF000000"/>
      <name val="Liberation Sans1"/>
      <family val="0"/>
      <charset val="162"/>
    </font>
    <font>
      <b val="true"/>
      <sz val="10"/>
      <name val="Liberation Sans1"/>
      <family val="0"/>
      <charset val="162"/>
    </font>
    <font>
      <b val="true"/>
      <sz val="10"/>
      <color rgb="FFFF0000"/>
      <name val="Liberation Sans1"/>
      <family val="0"/>
      <charset val="162"/>
    </font>
    <font>
      <b val="true"/>
      <sz val="11"/>
      <color rgb="FF000000"/>
      <name val="Calibri"/>
      <family val="2"/>
      <charset val="162"/>
    </font>
    <font>
      <b val="true"/>
      <i val="true"/>
      <u val="single"/>
      <sz val="16"/>
      <color rgb="FF000000"/>
      <name val="Calibri"/>
      <family val="2"/>
      <charset val="162"/>
    </font>
    <font>
      <b val="true"/>
      <sz val="16"/>
      <color rgb="FF000000"/>
      <name val="Calibri"/>
      <family val="2"/>
      <charset val="162"/>
    </font>
    <font>
      <u val="single"/>
      <sz val="11"/>
      <color rgb="FF000000"/>
      <name val="Calibri"/>
      <family val="2"/>
      <charset val="162"/>
    </font>
    <font>
      <b val="true"/>
      <u val="single"/>
      <sz val="11"/>
      <color rgb="FF000000"/>
      <name val="Calibri"/>
      <family val="2"/>
      <charset val="162"/>
    </font>
    <font>
      <b val="true"/>
      <u val="single"/>
      <sz val="9"/>
      <color rgb="FF000000"/>
      <name val="Calibri"/>
      <family val="2"/>
      <charset val="162"/>
    </font>
    <font>
      <b val="true"/>
      <sz val="11"/>
      <color rgb="FFFF0000"/>
      <name val="Calibri"/>
      <family val="2"/>
      <charset val="162"/>
    </font>
    <font>
      <sz val="11"/>
      <color rgb="FFFF0000"/>
      <name val="Calibri"/>
      <family val="2"/>
      <charset val="162"/>
    </font>
    <font>
      <b val="true"/>
      <sz val="10"/>
      <color rgb="FF000000"/>
      <name val="Calibri"/>
      <family val="2"/>
      <charset val="162"/>
    </font>
    <font>
      <b val="true"/>
      <u val="single"/>
      <sz val="10"/>
      <color rgb="FFFF0000"/>
      <name val="Liberation Sans1"/>
      <family val="0"/>
      <charset val="162"/>
    </font>
    <font>
      <b val="true"/>
      <u val="single"/>
      <sz val="11"/>
      <color rgb="FFFF0000"/>
      <name val="Calibri"/>
      <family val="2"/>
      <charset val="162"/>
    </font>
    <font>
      <b val="true"/>
      <i val="true"/>
      <u val="single"/>
      <sz val="11"/>
      <color rgb="FFFF0000"/>
      <name val="Calibri"/>
      <family val="2"/>
      <charset val="162"/>
    </font>
    <font>
      <sz val="10"/>
      <color rgb="FF111111"/>
      <name val="Liberation Sans1"/>
      <family val="0"/>
      <charset val="162"/>
    </font>
    <font>
      <sz val="10"/>
      <color rgb="FFC9211E"/>
      <name val="Liberation Sans1"/>
      <family val="0"/>
      <charset val="162"/>
    </font>
    <font>
      <sz val="8"/>
      <color rgb="FF000000"/>
      <name val="Liberation Sans1"/>
      <family val="0"/>
      <charset val="162"/>
    </font>
    <font>
      <b val="true"/>
      <u val="single"/>
      <sz val="10"/>
      <color rgb="FF000000"/>
      <name val="Adobe Gothic Std B"/>
      <family val="2"/>
      <charset val="128"/>
    </font>
    <font>
      <b val="true"/>
      <sz val="10"/>
      <color rgb="FF000000"/>
      <name val="Adobe Gothic Std B"/>
      <family val="2"/>
      <charset val="128"/>
    </font>
    <font>
      <sz val="9"/>
      <name val="Arial"/>
      <family val="2"/>
      <charset val="162"/>
    </font>
    <font>
      <sz val="10"/>
      <color rgb="FF000000"/>
      <name val="Bitstream Vera Sans"/>
      <family val="0"/>
      <charset val="162"/>
    </font>
    <font>
      <b val="true"/>
      <sz val="10"/>
      <color rgb="FF000000"/>
      <name val="Bitstream Vera Sans"/>
      <family val="0"/>
      <charset val="162"/>
    </font>
    <font>
      <b val="true"/>
      <i val="true"/>
      <u val="single"/>
      <sz val="10"/>
      <color rgb="FF000000"/>
      <name val="Bitstream Vera Sans"/>
      <family val="0"/>
      <charset val="162"/>
    </font>
    <font>
      <b val="true"/>
      <u val="single"/>
      <sz val="10"/>
      <color rgb="FF000000"/>
      <name val="Bitstream Vera Sans"/>
      <family val="0"/>
      <charset val="162"/>
    </font>
    <font>
      <b val="true"/>
      <i val="true"/>
      <sz val="10"/>
      <color rgb="FF000000"/>
      <name val="Bitstream Vera Sans"/>
      <family val="0"/>
      <charset val="162"/>
    </font>
    <font>
      <i val="true"/>
      <u val="single"/>
      <sz val="10"/>
      <color rgb="FF000000"/>
      <name val="Bitstream Vera Sans"/>
      <family val="0"/>
      <charset val="162"/>
    </font>
    <font>
      <b val="true"/>
      <sz val="12"/>
      <color rgb="FF000000"/>
      <name val="Bitstream Vera Sans"/>
      <family val="0"/>
      <charset val="162"/>
    </font>
    <font>
      <b val="true"/>
      <sz val="11"/>
      <color rgb="FF000000"/>
      <name val="Bitstream Vera Sans"/>
      <family val="0"/>
      <charset val="162"/>
    </font>
    <font>
      <sz val="11"/>
      <color rgb="FF000000"/>
      <name val="Calibri"/>
      <family val="2"/>
      <charset val="162"/>
    </font>
    <font>
      <u val="single"/>
      <sz val="10"/>
      <color rgb="FF000000"/>
      <name val="Bitstream Vera Sans"/>
      <family val="0"/>
      <charset val="162"/>
    </font>
    <font>
      <sz val="10"/>
      <color rgb="FF000000"/>
      <name val="Calibri"/>
      <family val="2"/>
      <charset val="162"/>
    </font>
    <font>
      <i val="true"/>
      <sz val="8"/>
      <color rgb="FF000000"/>
      <name val="Bitstream Vera Sans"/>
      <family val="0"/>
      <charset val="162"/>
    </font>
    <font>
      <b val="true"/>
      <sz val="9"/>
      <color rgb="FF000000"/>
      <name val="Bitstream Vera Sans"/>
      <family val="0"/>
      <charset val="162"/>
    </font>
    <font>
      <sz val="10"/>
      <color rgb="FF000000"/>
      <name val="Abyssinica SIL1"/>
      <family val="0"/>
      <charset val="162"/>
    </font>
    <font>
      <b val="true"/>
      <sz val="10"/>
      <color rgb="FF000000"/>
      <name val="Abyssinica SIL1"/>
      <family val="0"/>
      <charset val="162"/>
    </font>
    <font>
      <i val="true"/>
      <sz val="10"/>
      <color rgb="FF000000"/>
      <name val="Abyssinica SIL1"/>
      <family val="0"/>
      <charset val="162"/>
    </font>
    <font>
      <b val="true"/>
      <sz val="12"/>
      <color rgb="FF000000"/>
      <name val="Abyssinica SIL1"/>
      <family val="0"/>
      <charset val="162"/>
    </font>
    <font>
      <b val="true"/>
      <sz val="11"/>
      <color rgb="FF000000"/>
      <name val="Liberation Sans1"/>
      <family val="0"/>
      <charset val="162"/>
    </font>
    <font>
      <u val="single"/>
      <sz val="10"/>
      <color rgb="FF000000"/>
      <name val="Abyssinica SIL1"/>
      <family val="0"/>
      <charset val="162"/>
    </font>
    <font>
      <sz val="10"/>
      <color rgb="FF000000"/>
      <name val="Abyssinica SIL"/>
      <family val="0"/>
      <charset val="162"/>
    </font>
    <font>
      <sz val="14"/>
      <color rgb="FF000000"/>
      <name val="Abyssinica SIL"/>
      <family val="0"/>
      <charset val="162"/>
    </font>
    <font>
      <b val="true"/>
      <sz val="14"/>
      <color rgb="FF000000"/>
      <name val="Abyssinica SIL"/>
      <family val="0"/>
      <charset val="162"/>
    </font>
    <font>
      <sz val="14"/>
      <color rgb="FF000000"/>
      <name val="Liberation Sans1"/>
      <family val="0"/>
      <charset val="162"/>
    </font>
    <font>
      <b val="true"/>
      <sz val="14"/>
      <color rgb="FF000000"/>
      <name val="Liberation Sans1"/>
      <family val="0"/>
      <charset val="162"/>
    </font>
    <font>
      <sz val="14"/>
      <color rgb="FFC9211E"/>
      <name val="Liberation Sans1"/>
      <family val="0"/>
      <charset val="162"/>
    </font>
    <font>
      <b val="true"/>
      <sz val="12"/>
      <color rgb="FF000000"/>
      <name val="Liberation Sans1"/>
      <family val="0"/>
      <charset val="162"/>
    </font>
    <font>
      <b val="true"/>
      <sz val="18"/>
      <color rgb="FF000000"/>
      <name val="Liberation Sans1"/>
      <family val="0"/>
      <charset val="162"/>
    </font>
    <font>
      <sz val="9"/>
      <color rgb="FF000000"/>
      <name val="Liberation Sans1"/>
      <family val="0"/>
      <charset val="162"/>
    </font>
  </fonts>
  <fills count="25">
    <fill>
      <patternFill patternType="none"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EEBF7"/>
      </patternFill>
    </fill>
    <fill>
      <patternFill patternType="solid">
        <fgColor rgb="FFFFCCCC"/>
        <bgColor rgb="FFF8CBAD"/>
      </patternFill>
    </fill>
    <fill>
      <patternFill patternType="solid">
        <fgColor rgb="FFCC0000"/>
        <bgColor rgb="FFC9211E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theme="5" tint="0.7999"/>
        <bgColor rgb="FFFCE4D6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2EFDA"/>
      </patternFill>
    </fill>
    <fill>
      <patternFill patternType="solid">
        <fgColor theme="9" tint="0.7999"/>
        <bgColor rgb="FFE2EFDA"/>
      </patternFill>
    </fill>
    <fill>
      <patternFill patternType="solid">
        <fgColor theme="8" tint="0.5999"/>
        <bgColor rgb="FFDDDDDD"/>
      </patternFill>
    </fill>
    <fill>
      <patternFill patternType="solid">
        <fgColor theme="7"/>
        <bgColor rgb="FFFFD966"/>
      </patternFill>
    </fill>
    <fill>
      <patternFill patternType="solid">
        <fgColor rgb="FFFFFF00"/>
        <bgColor rgb="FFFFD966"/>
      </patternFill>
    </fill>
    <fill>
      <patternFill patternType="solid">
        <fgColor theme="9" tint="0.3999"/>
        <bgColor rgb="FFAFD095"/>
      </patternFill>
    </fill>
    <fill>
      <patternFill patternType="solid">
        <fgColor rgb="FF81D41A"/>
        <bgColor rgb="FFA9D18E"/>
      </patternFill>
    </fill>
    <fill>
      <patternFill patternType="solid">
        <fgColor rgb="FFAFD095"/>
        <bgColor rgb="FFA9D18E"/>
      </patternFill>
    </fill>
    <fill>
      <patternFill patternType="solid">
        <fgColor rgb="FFFFD966"/>
        <bgColor rgb="FFF8CBAD"/>
      </patternFill>
    </fill>
    <fill>
      <patternFill patternType="solid">
        <fgColor rgb="FFF4B084"/>
        <bgColor rgb="FFF8CBAD"/>
      </patternFill>
    </fill>
    <fill>
      <patternFill patternType="solid">
        <fgColor rgb="FFF8CBAD"/>
        <bgColor rgb="FFFFCCCC"/>
      </patternFill>
    </fill>
    <fill>
      <patternFill patternType="solid">
        <fgColor rgb="FFE2EFDA"/>
        <bgColor rgb="FFE2F0D9"/>
      </patternFill>
    </fill>
    <fill>
      <patternFill patternType="solid">
        <fgColor rgb="FFFCE4D6"/>
        <bgColor rgb="FFFBE5D6"/>
      </patternFill>
    </fill>
    <fill>
      <patternFill patternType="solid">
        <fgColor rgb="FFE8F2A1"/>
        <bgColor rgb="FFE2F0D9"/>
      </patternFill>
    </fill>
  </fills>
  <borders count="46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thick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ck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ck"/>
      <top/>
      <bottom style="medium"/>
      <diagonal/>
    </border>
    <border diagonalUp="false" diagonalDown="false">
      <left style="thick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ck"/>
      <top/>
      <bottom style="thick"/>
      <diagonal/>
    </border>
    <border diagonalUp="false" diagonalDown="false">
      <left/>
      <right style="medium"/>
      <top/>
      <bottom style="thick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thick"/>
      <right/>
      <top style="thick"/>
      <bottom style="thick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>
        <color rgb="FF2A6099"/>
      </left>
      <right/>
      <top style="thin">
        <color rgb="FF2A6099"/>
      </top>
      <bottom style="thin">
        <color rgb="FF2A6099"/>
      </bottom>
      <diagonal/>
    </border>
    <border diagonalUp="false" diagonalDown="false">
      <left/>
      <right/>
      <top style="thin">
        <color rgb="FF2A6099"/>
      </top>
      <bottom style="thin">
        <color rgb="FF2A6099"/>
      </bottom>
      <diagonal/>
    </border>
    <border diagonalUp="false" diagonalDown="false">
      <left/>
      <right style="thin">
        <color rgb="FF2A6099"/>
      </right>
      <top style="thin">
        <color rgb="FF2A6099"/>
      </top>
      <bottom style="thin">
        <color rgb="FF2A6099"/>
      </bottom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4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7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0" applyFont="true" applyBorder="false" applyAlignment="true" applyProtection="false">
      <alignment horizontal="general" vertical="bottom" textRotation="0" wrapText="false" indent="0" shrinkToFit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8" borderId="1" applyFont="true" applyBorder="true" applyAlignment="true" applyProtection="false">
      <alignment horizontal="general" vertical="bottom" textRotation="0" wrapText="false" indent="0" shrinkToFit="false"/>
    </xf>
    <xf numFmtId="164" fontId="1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88" fontId="5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9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1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7" fillId="1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8" fillId="1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0" fillId="13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1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4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1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12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1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1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8" fillId="15" borderId="1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3" fillId="1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1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0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81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1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8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8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8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3" fillId="1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1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1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1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83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83" fontId="5" fillId="0" borderId="1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5" fillId="0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2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5" fillId="0" borderId="2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0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2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0" fillId="0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8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0" fillId="0" borderId="2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84" fontId="5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5" fillId="0" borderId="1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5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5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83" fontId="5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5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5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0" fillId="0" borderId="1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84" fontId="0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0" fillId="0" borderId="1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3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83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41" fillId="0" borderId="0" xfId="3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41" fillId="0" borderId="15" xfId="3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4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4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4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42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3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47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43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4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6" fontId="4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6" fontId="4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7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2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42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49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43" fillId="1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42" fillId="0" borderId="0" xfId="4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9" fontId="42" fillId="0" borderId="0" xfId="4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43" fillId="0" borderId="0" xfId="4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43" fillId="0" borderId="0" xfId="4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9" fontId="43" fillId="0" borderId="0" xfId="4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51" fillId="0" borderId="0" xfId="4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9" fontId="45" fillId="0" borderId="0" xfId="4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9" fontId="52" fillId="0" borderId="0" xfId="4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9" fontId="42" fillId="0" borderId="0" xfId="4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43" fillId="19" borderId="0" xfId="4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9" fontId="42" fillId="0" borderId="6" xfId="4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9" fontId="42" fillId="0" borderId="8" xfId="4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9" fontId="42" fillId="0" borderId="9" xfId="4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9" fontId="50" fillId="0" borderId="10" xfId="4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9" fontId="42" fillId="0" borderId="12" xfId="4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9" fontId="42" fillId="0" borderId="10" xfId="4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9" fontId="53" fillId="0" borderId="27" xfId="4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9" fontId="42" fillId="0" borderId="28" xfId="4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9" fontId="42" fillId="0" borderId="29" xfId="4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9" fontId="43" fillId="0" borderId="0" xfId="4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90" fontId="42" fillId="0" borderId="0" xfId="4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91" fontId="42" fillId="0" borderId="0" xfId="4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43" fillId="0" borderId="0" xfId="4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2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43" fillId="15" borderId="0" xfId="4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5" fillId="1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9" fontId="45" fillId="15" borderId="0" xfId="4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43" fillId="0" borderId="6" xfId="4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42" fillId="0" borderId="10" xfId="4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8" fontId="43" fillId="4" borderId="10" xfId="4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9" fontId="54" fillId="4" borderId="12" xfId="4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43" fillId="0" borderId="10" xfId="4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3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2" fillId="0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42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54" fillId="0" borderId="32" xfId="4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3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3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3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2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54" fillId="0" borderId="16" xfId="4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5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5" fillId="1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9" fontId="55" fillId="0" borderId="0" xfId="4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5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7" fontId="56" fillId="2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5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7" fontId="57" fillId="21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9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5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93" fontId="5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7" fontId="5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9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5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59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93" fontId="0" fillId="0" borderId="8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9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55" fillId="0" borderId="0" xfId="4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93" fontId="55" fillId="0" borderId="0" xfId="4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7" fontId="55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93" fontId="55" fillId="0" borderId="0" xfId="4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87" fontId="60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3" borderId="1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23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3" borderId="1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7" fontId="20" fillId="2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7" fontId="5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5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7" fontId="5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2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7" fontId="0" fillId="2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9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20" fillId="19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5" fillId="0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5" fontId="6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95" fontId="6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95" fontId="6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7" fontId="63" fillId="0" borderId="3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3" fillId="0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4" fillId="24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4" fillId="15" borderId="3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3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3" fillId="0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7" fontId="64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64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6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4" fillId="0" borderId="4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7" fontId="64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64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7" fontId="12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87" fontId="6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6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5" fillId="0" borderId="1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6" fontId="64" fillId="2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6" fontId="64" fillId="2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94" fontId="64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4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4" fillId="0" borderId="1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6" fontId="66" fillId="2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64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64" fillId="0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5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6" fontId="64" fillId="2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6" fontId="64" fillId="15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7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8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9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6" fontId="68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6" fontId="68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2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Error 9" xfId="25"/>
    <cellStyle name="Footnote 10" xfId="26"/>
    <cellStyle name="Good 11" xfId="27"/>
    <cellStyle name="Heading 1 13" xfId="28"/>
    <cellStyle name="Heading 12" xfId="29"/>
    <cellStyle name="Heading 2 14" xfId="30"/>
    <cellStyle name="Hyperlink 15" xfId="31"/>
    <cellStyle name="Neutral 16" xfId="32"/>
    <cellStyle name="Normal 2" xfId="33"/>
    <cellStyle name="Normal 3" xfId="34"/>
    <cellStyle name="Normal 4" xfId="35"/>
    <cellStyle name="Note 17" xfId="36"/>
    <cellStyle name="Result 18" xfId="37"/>
    <cellStyle name="Status 19" xfId="38"/>
    <cellStyle name="Text 20" xfId="39"/>
    <cellStyle name="Warning 21" xfId="40"/>
    <cellStyle name="Excel Built-in Normal" xfId="41"/>
  </cellStyle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AFD095"/>
      <rgbColor rgb="FF808080"/>
      <rgbColor rgb="FFDDDDDD"/>
      <rgbColor rgb="FF993366"/>
      <rgbColor rgb="FFFFFFCC"/>
      <rgbColor rgb="FFDEEBF7"/>
      <rgbColor rgb="FF660066"/>
      <rgbColor rgb="FFFCE4D6"/>
      <rgbColor rgb="FF2A6099"/>
      <rgbColor rgb="FFBDD7EE"/>
      <rgbColor rgb="FF000080"/>
      <rgbColor rgb="FFFF00FF"/>
      <rgbColor rgb="FFFFD966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E8F2A1"/>
      <rgbColor rgb="FFA9D18E"/>
      <rgbColor rgb="FFF4B084"/>
      <rgbColor rgb="FFFFCCCC"/>
      <rgbColor rgb="FFF8CBAD"/>
      <rgbColor rgb="FF3366FF"/>
      <rgbColor rgb="FFFFF2CC"/>
      <rgbColor rgb="FF81D41A"/>
      <rgbColor rgb="FFFFC000"/>
      <rgbColor rgb="FFFBE5D6"/>
      <rgbColor rgb="FFFF6600"/>
      <rgbColor rgb="FF666699"/>
      <rgbColor rgb="FFE2EFDA"/>
      <rgbColor rgb="FF003366"/>
      <rgbColor rgb="FF339966"/>
      <rgbColor rgb="FF111111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8"/>
  <sheetViews>
    <sheetView showFormulas="false" showGridLines="true" showRowColHeaders="true" showZeros="true" rightToLeft="false" tabSelected="false" showOutlineSymbols="true" defaultGridColor="true" view="normal" topLeftCell="A4" colorId="64" zoomScale="160" zoomScaleNormal="160" zoomScalePageLayoutView="100" workbookViewId="0">
      <selection pane="topLeft" activeCell="E31" activeCellId="0" sqref="E31"/>
    </sheetView>
  </sheetViews>
  <sheetFormatPr defaultColWidth="8.66015625" defaultRowHeight="12.7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1" width="10.57"/>
    <col collapsed="false" customWidth="true" hidden="false" outlineLevel="0" max="3" min="3" style="2" width="1.43"/>
    <col collapsed="false" customWidth="true" hidden="false" outlineLevel="0" max="4" min="4" style="0" width="37.57"/>
    <col collapsed="false" customWidth="true" hidden="false" outlineLevel="0" max="5" min="5" style="0" width="13.14"/>
    <col collapsed="false" customWidth="true" hidden="false" outlineLevel="0" max="6" min="6" style="3" width="10.43"/>
    <col collapsed="false" customWidth="true" hidden="false" outlineLevel="0" max="7" min="7" style="3" width="10.57"/>
    <col collapsed="false" customWidth="true" hidden="false" outlineLevel="0" max="8" min="8" style="3" width="11.43"/>
    <col collapsed="false" customWidth="true" hidden="false" outlineLevel="0" max="9" min="9" style="4" width="12.71"/>
  </cols>
  <sheetData>
    <row r="2" customFormat="false" ht="17.35" hidden="false" customHeight="false" outlineLevel="0" collapsed="false">
      <c r="B2" s="5" t="n">
        <v>45831</v>
      </c>
      <c r="C2" s="6"/>
      <c r="D2" s="7" t="s">
        <v>0</v>
      </c>
    </row>
    <row r="3" customFormat="false" ht="12.75" hidden="false" customHeight="false" outlineLevel="0" collapsed="false">
      <c r="B3" s="8" t="n">
        <v>45350</v>
      </c>
      <c r="C3" s="9"/>
      <c r="D3" s="10" t="s">
        <v>1</v>
      </c>
      <c r="E3" s="10"/>
      <c r="F3" s="11" t="n">
        <v>8500</v>
      </c>
      <c r="H3" s="3" t="n">
        <f aca="false">H2+F3-G3</f>
        <v>8500</v>
      </c>
    </row>
    <row r="4" customFormat="false" ht="12.75" hidden="false" customHeight="false" outlineLevel="0" collapsed="false">
      <c r="B4" s="12" t="n">
        <v>45544</v>
      </c>
      <c r="C4" s="13"/>
      <c r="D4" s="14" t="s">
        <v>2</v>
      </c>
      <c r="E4" s="15"/>
      <c r="F4" s="16"/>
      <c r="G4" s="16" t="n">
        <v>15000</v>
      </c>
      <c r="H4" s="3" t="n">
        <f aca="false">H3+F4-G4</f>
        <v>-6500</v>
      </c>
    </row>
    <row r="5" customFormat="false" ht="12.75" hidden="false" customHeight="false" outlineLevel="0" collapsed="false">
      <c r="B5" s="8" t="n">
        <v>45544</v>
      </c>
      <c r="C5" s="9"/>
      <c r="D5" s="10" t="s">
        <v>3</v>
      </c>
      <c r="E5" s="17" t="n">
        <f aca="false">50/365*(B4-B3)%</f>
        <v>0.265753424657534</v>
      </c>
      <c r="F5" s="11" t="n">
        <f aca="false">F3*E5</f>
        <v>2258.90410958904</v>
      </c>
      <c r="H5" s="3" t="n">
        <f aca="false">H4+F5-G5</f>
        <v>-4241.09589041096</v>
      </c>
    </row>
    <row r="6" customFormat="false" ht="12.75" hidden="false" customHeight="false" outlineLevel="0" collapsed="false">
      <c r="B6" s="12" t="n">
        <v>45574</v>
      </c>
      <c r="C6" s="13"/>
      <c r="D6" s="14" t="s">
        <v>4</v>
      </c>
      <c r="E6" s="15"/>
      <c r="F6" s="16"/>
      <c r="G6" s="16" t="n">
        <v>15000</v>
      </c>
      <c r="H6" s="3" t="n">
        <f aca="false">H5+F6-G6</f>
        <v>-19241.095890411</v>
      </c>
    </row>
    <row r="7" customFormat="false" ht="12.75" hidden="false" customHeight="false" outlineLevel="0" collapsed="false">
      <c r="B7" s="12" t="n">
        <v>45605</v>
      </c>
      <c r="C7" s="13"/>
      <c r="D7" s="14" t="s">
        <v>5</v>
      </c>
      <c r="E7" s="15"/>
      <c r="F7" s="16"/>
      <c r="G7" s="16" t="n">
        <v>15000</v>
      </c>
      <c r="H7" s="3" t="n">
        <f aca="false">H6+F7-G7</f>
        <v>-34241.095890411</v>
      </c>
    </row>
    <row r="8" customFormat="false" ht="12.75" hidden="false" customHeight="false" outlineLevel="0" collapsed="false">
      <c r="B8" s="12" t="n">
        <v>45637</v>
      </c>
      <c r="C8" s="13"/>
      <c r="D8" s="14" t="s">
        <v>6</v>
      </c>
      <c r="E8" s="15"/>
      <c r="F8" s="16"/>
      <c r="G8" s="16" t="n">
        <v>15000</v>
      </c>
      <c r="H8" s="3" t="n">
        <f aca="false">H7+F8-G8</f>
        <v>-49241.095890411</v>
      </c>
    </row>
    <row r="9" customFormat="false" ht="12.75" hidden="false" customHeight="false" outlineLevel="0" collapsed="false">
      <c r="B9" s="12" t="n">
        <v>45671</v>
      </c>
      <c r="C9" s="13"/>
      <c r="D9" s="18" t="s">
        <v>7</v>
      </c>
      <c r="E9" s="15"/>
      <c r="F9" s="16"/>
      <c r="G9" s="16" t="n">
        <v>15000</v>
      </c>
      <c r="H9" s="3" t="n">
        <f aca="false">H8+F9-G9</f>
        <v>-64241.095890411</v>
      </c>
    </row>
    <row r="10" customFormat="false" ht="12.75" hidden="false" customHeight="false" outlineLevel="0" collapsed="false">
      <c r="B10" s="12" t="n">
        <v>45705</v>
      </c>
      <c r="C10" s="13"/>
      <c r="D10" s="14" t="s">
        <v>8</v>
      </c>
      <c r="E10" s="19"/>
      <c r="F10" s="16"/>
      <c r="G10" s="16" t="n">
        <v>15000</v>
      </c>
      <c r="H10" s="3" t="n">
        <f aca="false">H9+F10-G10</f>
        <v>-79241.095890411</v>
      </c>
    </row>
    <row r="11" customFormat="false" ht="12.75" hidden="false" customHeight="false" outlineLevel="0" collapsed="false">
      <c r="B11" s="12"/>
      <c r="C11" s="13"/>
      <c r="D11" s="14" t="s">
        <v>9</v>
      </c>
      <c r="E11" s="19"/>
      <c r="F11" s="16"/>
      <c r="G11" s="16"/>
    </row>
    <row r="12" customFormat="false" ht="12.75" hidden="false" customHeight="false" outlineLevel="0" collapsed="false">
      <c r="B12" s="12"/>
      <c r="C12" s="13"/>
      <c r="D12" s="14"/>
      <c r="E12" s="19"/>
      <c r="F12" s="16"/>
      <c r="G12" s="16"/>
    </row>
    <row r="13" customFormat="false" ht="12.75" hidden="false" customHeight="false" outlineLevel="0" collapsed="false">
      <c r="B13" s="20" t="n">
        <v>45716</v>
      </c>
      <c r="C13" s="21"/>
      <c r="D13" s="22" t="s">
        <v>10</v>
      </c>
      <c r="E13" s="22"/>
      <c r="F13" s="23" t="n">
        <v>18500</v>
      </c>
      <c r="H13" s="3" t="n">
        <f aca="false">H10+F13-G13</f>
        <v>-60741.095890411</v>
      </c>
    </row>
    <row r="14" customFormat="false" ht="12.75" hidden="false" customHeight="false" outlineLevel="0" collapsed="false">
      <c r="B14" s="12" t="n">
        <v>45721</v>
      </c>
      <c r="C14" s="13"/>
      <c r="D14" s="14" t="s">
        <v>11</v>
      </c>
      <c r="E14" s="15"/>
      <c r="F14" s="16"/>
      <c r="G14" s="16" t="n">
        <v>15000</v>
      </c>
      <c r="H14" s="3" t="n">
        <f aca="false">H13+F14-G14</f>
        <v>-75741.095890411</v>
      </c>
    </row>
    <row r="15" customFormat="false" ht="12.75" hidden="false" customHeight="false" outlineLevel="0" collapsed="false">
      <c r="B15" s="24" t="n">
        <v>45722</v>
      </c>
      <c r="C15" s="25"/>
      <c r="D15" s="26" t="s">
        <v>12</v>
      </c>
      <c r="E15" s="26"/>
      <c r="F15" s="27" t="n">
        <v>455</v>
      </c>
      <c r="H15" s="3" t="n">
        <f aca="false">H14+F15-G15</f>
        <v>-75286.095890411</v>
      </c>
    </row>
    <row r="16" customFormat="false" ht="12.75" hidden="false" customHeight="false" outlineLevel="0" collapsed="false">
      <c r="B16" s="20" t="n">
        <v>45746</v>
      </c>
      <c r="C16" s="21"/>
      <c r="D16" s="22" t="s">
        <v>13</v>
      </c>
      <c r="E16" s="22"/>
      <c r="F16" s="23" t="n">
        <v>18500</v>
      </c>
      <c r="H16" s="3" t="n">
        <f aca="false">H15+F16-G16</f>
        <v>-56786.095890411</v>
      </c>
    </row>
    <row r="17" customFormat="false" ht="12.75" hidden="false" customHeight="false" outlineLevel="0" collapsed="false">
      <c r="B17" s="24" t="n">
        <v>45750</v>
      </c>
      <c r="C17" s="25"/>
      <c r="D17" s="26" t="s">
        <v>12</v>
      </c>
      <c r="E17" s="26"/>
      <c r="F17" s="27" t="n">
        <v>315</v>
      </c>
      <c r="H17" s="3" t="n">
        <f aca="false">H16+F17-G17</f>
        <v>-56471.095890411</v>
      </c>
    </row>
    <row r="18" customFormat="false" ht="12.75" hidden="false" customHeight="false" outlineLevel="0" collapsed="false">
      <c r="B18" s="20" t="n">
        <v>45777</v>
      </c>
      <c r="C18" s="21"/>
      <c r="D18" s="22" t="s">
        <v>14</v>
      </c>
      <c r="E18" s="22"/>
      <c r="F18" s="23" t="n">
        <v>18500</v>
      </c>
      <c r="H18" s="3" t="n">
        <f aca="false">H17+F18-G18</f>
        <v>-37971.095890411</v>
      </c>
    </row>
    <row r="19" customFormat="false" ht="12.75" hidden="false" customHeight="false" outlineLevel="0" collapsed="false">
      <c r="B19" s="24" t="n">
        <v>45782</v>
      </c>
      <c r="C19" s="25"/>
      <c r="D19" s="26" t="s">
        <v>12</v>
      </c>
      <c r="E19" s="26"/>
      <c r="F19" s="27" t="n">
        <v>495</v>
      </c>
      <c r="H19" s="3" t="n">
        <f aca="false">H18+F19-G19</f>
        <v>-37476.095890411</v>
      </c>
    </row>
    <row r="20" customFormat="false" ht="12.75" hidden="false" customHeight="false" outlineLevel="0" collapsed="false">
      <c r="B20" s="24" t="n">
        <v>45818</v>
      </c>
      <c r="C20" s="25"/>
      <c r="D20" s="26" t="s">
        <v>12</v>
      </c>
      <c r="E20" s="26"/>
      <c r="F20" s="27" t="n">
        <v>435</v>
      </c>
      <c r="H20" s="3" t="n">
        <f aca="false">H19+F20-G20</f>
        <v>-37041.095890411</v>
      </c>
    </row>
    <row r="21" customFormat="false" ht="12.75" hidden="false" customHeight="false" outlineLevel="0" collapsed="false">
      <c r="B21" s="24" t="n">
        <v>45833</v>
      </c>
      <c r="C21" s="25"/>
      <c r="D21" s="26" t="s">
        <v>12</v>
      </c>
      <c r="E21" s="26"/>
      <c r="F21" s="27" t="n">
        <v>25</v>
      </c>
      <c r="G21" s="28"/>
      <c r="H21" s="3" t="n">
        <f aca="false">H20+F21-G21</f>
        <v>-37016.095890411</v>
      </c>
    </row>
    <row r="22" customFormat="false" ht="12.75" hidden="false" customHeight="false" outlineLevel="0" collapsed="false">
      <c r="D22" s="29" t="s">
        <v>15</v>
      </c>
      <c r="E22" s="29"/>
      <c r="F22" s="30" t="n">
        <v>300</v>
      </c>
      <c r="G22" s="28"/>
      <c r="H22" s="3" t="n">
        <f aca="false">H21+F22-G22</f>
        <v>-36716.095890411</v>
      </c>
    </row>
    <row r="23" customFormat="false" ht="12.75" hidden="false" customHeight="false" outlineLevel="0" collapsed="false">
      <c r="D23" s="29" t="s">
        <v>16</v>
      </c>
      <c r="E23" s="29"/>
      <c r="F23" s="31" t="n">
        <v>300</v>
      </c>
      <c r="G23" s="28"/>
      <c r="H23" s="3" t="n">
        <f aca="false">H22+F23-G23</f>
        <v>-36416.095890411</v>
      </c>
    </row>
    <row r="24" customFormat="false" ht="12.75" hidden="false" customHeight="false" outlineLevel="0" collapsed="false">
      <c r="D24" s="29" t="s">
        <v>17</v>
      </c>
      <c r="E24" s="29"/>
      <c r="F24" s="31" t="n">
        <v>150</v>
      </c>
      <c r="G24" s="28"/>
      <c r="H24" s="3" t="n">
        <f aca="false">H23+F24-G24</f>
        <v>-36266.095890411</v>
      </c>
    </row>
    <row r="25" customFormat="false" ht="12.75" hidden="false" customHeight="false" outlineLevel="0" collapsed="false">
      <c r="D25" s="29" t="s">
        <v>18</v>
      </c>
      <c r="E25" s="29"/>
      <c r="F25" s="30" t="n">
        <v>6766.1</v>
      </c>
      <c r="G25" s="28"/>
      <c r="H25" s="3" t="n">
        <f aca="false">H24+F25-G25</f>
        <v>-29499.995890411</v>
      </c>
    </row>
    <row r="26" customFormat="false" ht="12.75" hidden="false" customHeight="false" outlineLevel="0" collapsed="false">
      <c r="D26" s="29"/>
      <c r="E26" s="29"/>
      <c r="F26" s="31"/>
      <c r="G26" s="28"/>
      <c r="H26" s="3" t="n">
        <f aca="false">H25+F26-G26</f>
        <v>-29499.995890411</v>
      </c>
    </row>
    <row r="27" customFormat="false" ht="12.75" hidden="false" customHeight="false" outlineLevel="0" collapsed="false">
      <c r="B27" s="1" t="n">
        <v>46050</v>
      </c>
      <c r="D27" s="32" t="s">
        <v>19</v>
      </c>
      <c r="E27" s="29"/>
      <c r="F27" s="30" t="n">
        <v>20000</v>
      </c>
      <c r="G27" s="28"/>
      <c r="H27" s="31" t="n">
        <f aca="false">H26+F27-G27</f>
        <v>-9499.99589041096</v>
      </c>
    </row>
    <row r="28" customFormat="false" ht="12.75" hidden="false" customHeight="false" outlineLevel="0" collapsed="false">
      <c r="B28" s="33" t="n">
        <v>46059</v>
      </c>
      <c r="D28" s="34" t="s">
        <v>20</v>
      </c>
      <c r="E28" s="35"/>
      <c r="F28" s="36" t="n">
        <v>9500</v>
      </c>
      <c r="G28" s="36"/>
      <c r="H28" s="36" t="n">
        <f aca="false">H27+F28-G28</f>
        <v>0.00410958904103609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0"/>
  <sheetViews>
    <sheetView showFormulas="false" showGridLines="true" showRowColHeaders="true" showZeros="true" rightToLeft="false" tabSelected="true" showOutlineSymbols="true" defaultGridColor="true" view="normal" topLeftCell="A124" colorId="64" zoomScale="160" zoomScaleNormal="160" zoomScalePageLayoutView="100" workbookViewId="0">
      <selection pane="topLeft" activeCell="G138" activeCellId="0" sqref="G138"/>
    </sheetView>
  </sheetViews>
  <sheetFormatPr defaultColWidth="8.66015625" defaultRowHeight="12.7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.57"/>
    <col collapsed="false" customWidth="true" hidden="false" outlineLevel="0" max="3" min="3" style="2" width="12.29"/>
    <col collapsed="false" customWidth="true" hidden="false" outlineLevel="0" max="4" min="4" style="0" width="37.57"/>
    <col collapsed="false" customWidth="true" hidden="false" outlineLevel="0" max="5" min="5" style="0" width="13.14"/>
    <col collapsed="false" customWidth="true" hidden="false" outlineLevel="0" max="6" min="6" style="0" width="7.86"/>
    <col collapsed="false" customWidth="true" hidden="false" outlineLevel="0" max="7" min="7" style="0" width="10.43"/>
    <col collapsed="false" customWidth="true" hidden="false" outlineLevel="0" max="8" min="8" style="0" width="11.43"/>
    <col collapsed="false" customWidth="true" hidden="false" outlineLevel="0" max="9" min="9" style="4" width="12.71"/>
  </cols>
  <sheetData>
    <row r="1" customFormat="false" ht="12.75" hidden="false" customHeight="false" outlineLevel="0" collapsed="false">
      <c r="D1" s="37" t="n">
        <v>45727</v>
      </c>
    </row>
    <row r="2" customFormat="false" ht="13.8" hidden="false" customHeight="false" outlineLevel="0" collapsed="false">
      <c r="B2" s="38" t="s">
        <v>21</v>
      </c>
      <c r="C2" s="39"/>
      <c r="H2" s="3"/>
    </row>
    <row r="3" customFormat="false" ht="12.75" hidden="false" customHeight="false" outlineLevel="0" collapsed="false">
      <c r="D3" s="0" t="s">
        <v>22</v>
      </c>
      <c r="H3" s="3"/>
    </row>
    <row r="4" customFormat="false" ht="19.7" hidden="false" customHeight="false" outlineLevel="0" collapsed="false">
      <c r="D4" s="40" t="s">
        <v>23</v>
      </c>
      <c r="E4" s="41" t="s">
        <v>24</v>
      </c>
      <c r="H4" s="42" t="n">
        <f aca="false">G6/12</f>
        <v>2000</v>
      </c>
    </row>
    <row r="5" customFormat="false" ht="13.8" hidden="false" customHeight="false" outlineLevel="0" collapsed="false">
      <c r="D5" s="43" t="s">
        <v>25</v>
      </c>
      <c r="E5" s="44" t="n">
        <v>45658</v>
      </c>
      <c r="F5" s="43"/>
      <c r="G5" s="45" t="n">
        <v>2324</v>
      </c>
      <c r="H5" s="46" t="n">
        <f aca="false">G8/G5</f>
        <v>10.3270223752151</v>
      </c>
    </row>
    <row r="6" customFormat="false" ht="13.8" hidden="false" customHeight="false" outlineLevel="0" collapsed="false">
      <c r="D6" s="38" t="s">
        <v>26</v>
      </c>
      <c r="E6" s="47" t="n">
        <v>45839</v>
      </c>
      <c r="G6" s="48" t="n">
        <f aca="false">G8</f>
        <v>24000</v>
      </c>
      <c r="H6" s="48"/>
    </row>
    <row r="7" customFormat="false" ht="13.8" hidden="false" customHeight="false" outlineLevel="0" collapsed="false">
      <c r="E7" s="49" t="s">
        <v>27</v>
      </c>
      <c r="F7" s="50" t="s">
        <v>28</v>
      </c>
      <c r="G7" s="51" t="s">
        <v>29</v>
      </c>
      <c r="H7" s="48" t="s">
        <v>30</v>
      </c>
    </row>
    <row r="8" customFormat="false" ht="12.75" hidden="false" customHeight="false" outlineLevel="0" collapsed="false">
      <c r="B8" s="52"/>
      <c r="C8" s="53"/>
      <c r="D8" s="0" t="s">
        <v>31</v>
      </c>
      <c r="E8" s="54" t="s">
        <v>32</v>
      </c>
      <c r="G8" s="3" t="n">
        <v>24000</v>
      </c>
      <c r="H8" s="3" t="n">
        <f aca="false">G8</f>
        <v>24000</v>
      </c>
    </row>
    <row r="9" customFormat="false" ht="12.75" hidden="false" customHeight="false" outlineLevel="0" collapsed="false">
      <c r="B9" s="52"/>
      <c r="C9" s="53"/>
      <c r="E9" s="21" t="n">
        <v>495</v>
      </c>
      <c r="G9" s="3"/>
      <c r="H9" s="3" t="n">
        <f aca="false">H8-G9-F9</f>
        <v>24000</v>
      </c>
    </row>
    <row r="10" customFormat="false" ht="12.75" hidden="false" customHeight="false" outlineLevel="0" collapsed="false">
      <c r="B10" s="55" t="n">
        <v>44250</v>
      </c>
      <c r="D10" s="0" t="s">
        <v>33</v>
      </c>
      <c r="E10" s="56" t="n">
        <f aca="false">G10/E9</f>
        <v>4.04040404040404</v>
      </c>
      <c r="G10" s="3" t="n">
        <v>2000</v>
      </c>
      <c r="H10" s="3" t="n">
        <f aca="false">H9-G10-F10</f>
        <v>22000</v>
      </c>
    </row>
    <row r="11" customFormat="false" ht="12.75" hidden="false" customHeight="false" outlineLevel="0" collapsed="false">
      <c r="A11" s="0" t="n">
        <v>1</v>
      </c>
      <c r="B11" s="55" t="n">
        <v>44285</v>
      </c>
      <c r="D11" s="0" t="s">
        <v>33</v>
      </c>
      <c r="G11" s="3" t="n">
        <v>2000</v>
      </c>
      <c r="H11" s="3" t="n">
        <f aca="false">H10-G11-F11</f>
        <v>20000</v>
      </c>
    </row>
    <row r="12" customFormat="false" ht="12.75" hidden="false" customHeight="false" outlineLevel="0" collapsed="false">
      <c r="A12" s="0" t="n">
        <v>2</v>
      </c>
      <c r="B12" s="55" t="n">
        <v>44316</v>
      </c>
      <c r="D12" s="0" t="s">
        <v>33</v>
      </c>
      <c r="G12" s="3" t="n">
        <v>2000</v>
      </c>
      <c r="H12" s="3" t="n">
        <f aca="false">H11-G12-F12</f>
        <v>18000</v>
      </c>
    </row>
    <row r="13" customFormat="false" ht="12.75" hidden="false" customHeight="false" outlineLevel="0" collapsed="false">
      <c r="A13" s="0" t="n">
        <v>3</v>
      </c>
      <c r="B13" s="55" t="n">
        <v>44346</v>
      </c>
      <c r="D13" s="0" t="s">
        <v>33</v>
      </c>
      <c r="G13" s="3" t="n">
        <v>1000</v>
      </c>
      <c r="H13" s="3" t="n">
        <f aca="false">H12-G13-F13</f>
        <v>17000</v>
      </c>
    </row>
    <row r="14" customFormat="false" ht="12.75" hidden="false" customHeight="false" outlineLevel="0" collapsed="false">
      <c r="A14" s="0" t="n">
        <v>4</v>
      </c>
      <c r="B14" s="55" t="n">
        <v>44377</v>
      </c>
      <c r="D14" s="0" t="s">
        <v>33</v>
      </c>
      <c r="G14" s="3" t="n">
        <v>3000</v>
      </c>
      <c r="H14" s="3" t="n">
        <f aca="false">H13-G14-F14</f>
        <v>14000</v>
      </c>
    </row>
    <row r="15" customFormat="false" ht="12.75" hidden="false" customHeight="false" outlineLevel="0" collapsed="false">
      <c r="A15" s="0" t="n">
        <v>5</v>
      </c>
      <c r="B15" s="55" t="n">
        <v>44407</v>
      </c>
      <c r="D15" s="0" t="s">
        <v>33</v>
      </c>
      <c r="G15" s="3" t="n">
        <v>4000</v>
      </c>
      <c r="H15" s="3" t="n">
        <f aca="false">H14-G15-F15</f>
        <v>10000</v>
      </c>
    </row>
    <row r="16" customFormat="false" ht="12.75" hidden="false" customHeight="false" outlineLevel="0" collapsed="false">
      <c r="A16" s="0" t="n">
        <v>6</v>
      </c>
      <c r="B16" s="55" t="n">
        <v>44788</v>
      </c>
      <c r="D16" s="0" t="s">
        <v>33</v>
      </c>
      <c r="G16" s="3" t="n">
        <v>10000</v>
      </c>
      <c r="H16" s="3" t="n">
        <f aca="false">H15-G16-F16</f>
        <v>0</v>
      </c>
    </row>
    <row r="17" customFormat="false" ht="13.8" hidden="false" customHeight="false" outlineLevel="0" collapsed="false">
      <c r="B17" s="55"/>
      <c r="D17" s="38" t="s">
        <v>34</v>
      </c>
      <c r="G17" s="3"/>
      <c r="H17" s="3" t="n">
        <f aca="false">H16-G17-F17</f>
        <v>0</v>
      </c>
    </row>
    <row r="18" customFormat="false" ht="12.75" hidden="false" customHeight="false" outlineLevel="0" collapsed="false">
      <c r="B18" s="55"/>
      <c r="D18" s="57" t="s">
        <v>35</v>
      </c>
      <c r="E18" s="57"/>
      <c r="F18" s="57"/>
      <c r="H18" s="3" t="n">
        <f aca="false">H17-G18-F18</f>
        <v>0</v>
      </c>
    </row>
    <row r="19" customFormat="false" ht="12.75" hidden="false" customHeight="false" outlineLevel="0" collapsed="false">
      <c r="B19" s="55"/>
      <c r="G19" s="3"/>
      <c r="H19" s="3"/>
    </row>
    <row r="20" customFormat="false" ht="19.7" hidden="false" customHeight="false" outlineLevel="0" collapsed="false">
      <c r="D20" s="40" t="s">
        <v>36</v>
      </c>
      <c r="G20" s="3"/>
      <c r="H20" s="42" t="n">
        <f aca="false">G29/12</f>
        <v>3000</v>
      </c>
    </row>
    <row r="21" customFormat="false" ht="13.8" hidden="false" customHeight="false" outlineLevel="0" collapsed="false">
      <c r="D21" s="43" t="s">
        <v>37</v>
      </c>
      <c r="E21" s="43"/>
      <c r="F21" s="43"/>
      <c r="G21" s="45" t="n">
        <v>2825</v>
      </c>
      <c r="H21" s="46" t="n">
        <f aca="false">G29/G21</f>
        <v>12.7433628318584</v>
      </c>
    </row>
    <row r="22" customFormat="false" ht="13.8" hidden="false" customHeight="false" outlineLevel="0" collapsed="false">
      <c r="B22" s="52"/>
      <c r="C22" s="53"/>
      <c r="D22" s="38" t="s">
        <v>38</v>
      </c>
      <c r="G22" s="0" t="n">
        <f aca="false">G29</f>
        <v>36000</v>
      </c>
    </row>
    <row r="23" customFormat="false" ht="13.8" hidden="false" customHeight="false" outlineLevel="0" collapsed="false">
      <c r="B23" s="52"/>
      <c r="C23" s="53"/>
      <c r="D23" s="38" t="s">
        <v>39</v>
      </c>
      <c r="G23" s="4" t="n">
        <f aca="false">G8</f>
        <v>24000</v>
      </c>
    </row>
    <row r="24" customFormat="false" ht="13.8" hidden="false" customHeight="false" outlineLevel="0" collapsed="false">
      <c r="B24" s="52" t="n">
        <v>44407</v>
      </c>
      <c r="C24" s="53"/>
      <c r="D24" s="58" t="s">
        <v>40</v>
      </c>
      <c r="E24" s="59" t="n">
        <v>0.2598</v>
      </c>
      <c r="F24" s="26"/>
      <c r="G24" s="60" t="n">
        <f aca="false">G23*E24</f>
        <v>6235.2</v>
      </c>
    </row>
    <row r="25" customFormat="false" ht="13.8" hidden="false" customHeight="false" outlineLevel="0" collapsed="false">
      <c r="D25" s="38" t="s">
        <v>41</v>
      </c>
      <c r="G25" s="61" t="n">
        <f aca="false">G23+G24</f>
        <v>30235.2</v>
      </c>
      <c r="J25" s="62"/>
    </row>
    <row r="26" customFormat="false" ht="13.8" hidden="false" customHeight="false" outlineLevel="0" collapsed="false">
      <c r="B26" s="52"/>
      <c r="C26" s="53"/>
      <c r="F26" s="50" t="s">
        <v>28</v>
      </c>
      <c r="G26" s="51" t="s">
        <v>29</v>
      </c>
      <c r="H26" s="48" t="s">
        <v>30</v>
      </c>
    </row>
    <row r="27" customFormat="false" ht="13.8" hidden="false" customHeight="false" outlineLevel="0" collapsed="false">
      <c r="B27" s="52"/>
      <c r="C27" s="53"/>
      <c r="F27" s="62"/>
      <c r="G27" s="51"/>
      <c r="H27" s="3" t="n">
        <f aca="false">G27</f>
        <v>0</v>
      </c>
    </row>
    <row r="28" customFormat="false" ht="13.8" hidden="false" customHeight="false" outlineLevel="0" collapsed="false">
      <c r="B28" s="52"/>
      <c r="C28" s="53"/>
      <c r="E28" s="62"/>
      <c r="F28" s="62"/>
      <c r="G28" s="51"/>
      <c r="H28" s="3" t="n">
        <f aca="false">H27+G28</f>
        <v>0</v>
      </c>
    </row>
    <row r="29" customFormat="false" ht="13.8" hidden="false" customHeight="false" outlineLevel="0" collapsed="false">
      <c r="B29" s="52"/>
      <c r="C29" s="53"/>
      <c r="D29" s="0" t="s">
        <v>42</v>
      </c>
      <c r="G29" s="51" t="n">
        <v>36000</v>
      </c>
      <c r="H29" s="3" t="n">
        <f aca="false">H28+G29</f>
        <v>36000</v>
      </c>
    </row>
    <row r="30" customFormat="false" ht="13.8" hidden="false" customHeight="false" outlineLevel="0" collapsed="false">
      <c r="B30" s="52"/>
      <c r="C30" s="53"/>
      <c r="E30" s="21" t="n">
        <v>783</v>
      </c>
      <c r="G30" s="51"/>
      <c r="H30" s="3" t="n">
        <f aca="false">H29-G30-F30</f>
        <v>36000</v>
      </c>
    </row>
    <row r="31" customFormat="false" ht="12.75" hidden="false" customHeight="false" outlineLevel="0" collapsed="false">
      <c r="A31" s="0" t="n">
        <v>1</v>
      </c>
      <c r="B31" s="55" t="n">
        <v>44438</v>
      </c>
      <c r="D31" s="0" t="s">
        <v>43</v>
      </c>
      <c r="E31" s="56" t="n">
        <f aca="false">G32/E30</f>
        <v>2.55427841634738</v>
      </c>
      <c r="G31" s="3" t="n">
        <v>2000</v>
      </c>
      <c r="H31" s="3" t="n">
        <f aca="false">H30-G31-F31</f>
        <v>34000</v>
      </c>
    </row>
    <row r="32" customFormat="false" ht="12.75" hidden="false" customHeight="false" outlineLevel="0" collapsed="false">
      <c r="A32" s="0" t="n">
        <v>2</v>
      </c>
      <c r="B32" s="55" t="n">
        <v>44469</v>
      </c>
      <c r="D32" s="0" t="s">
        <v>43</v>
      </c>
      <c r="G32" s="3" t="n">
        <v>2000</v>
      </c>
      <c r="H32" s="3" t="n">
        <f aca="false">H31-G32-F32</f>
        <v>32000</v>
      </c>
    </row>
    <row r="33" customFormat="false" ht="12.75" hidden="false" customHeight="false" outlineLevel="0" collapsed="false">
      <c r="A33" s="0" t="n">
        <v>3</v>
      </c>
      <c r="B33" s="55" t="n">
        <v>44499</v>
      </c>
      <c r="D33" s="0" t="s">
        <v>43</v>
      </c>
      <c r="G33" s="3" t="n">
        <v>2000</v>
      </c>
      <c r="H33" s="3" t="n">
        <f aca="false">H32-G33-F33</f>
        <v>30000</v>
      </c>
    </row>
    <row r="34" customFormat="false" ht="12.75" hidden="false" customHeight="false" outlineLevel="0" collapsed="false">
      <c r="A34" s="0" t="n">
        <v>4</v>
      </c>
      <c r="B34" s="55" t="n">
        <v>44530</v>
      </c>
      <c r="D34" s="0" t="s">
        <v>43</v>
      </c>
      <c r="G34" s="3" t="n">
        <v>2000</v>
      </c>
      <c r="H34" s="3" t="n">
        <f aca="false">H33-G34-F34</f>
        <v>28000</v>
      </c>
    </row>
    <row r="35" customFormat="false" ht="12.75" hidden="false" customHeight="false" outlineLevel="0" collapsed="false">
      <c r="A35" s="0" t="n">
        <v>5</v>
      </c>
      <c r="B35" s="55" t="n">
        <v>44560</v>
      </c>
      <c r="D35" s="0" t="s">
        <v>43</v>
      </c>
      <c r="G35" s="3" t="n">
        <v>2000</v>
      </c>
      <c r="H35" s="3" t="n">
        <f aca="false">H34-G35-F35</f>
        <v>26000</v>
      </c>
    </row>
    <row r="36" customFormat="false" ht="12.75" hidden="false" customHeight="false" outlineLevel="0" collapsed="false">
      <c r="A36" s="0" t="n">
        <v>6</v>
      </c>
      <c r="B36" s="55" t="n">
        <v>44591</v>
      </c>
      <c r="D36" s="0" t="s">
        <v>43</v>
      </c>
      <c r="G36" s="3" t="n">
        <v>2000</v>
      </c>
      <c r="H36" s="3" t="n">
        <f aca="false">H35-G36-F36</f>
        <v>24000</v>
      </c>
    </row>
    <row r="37" customFormat="false" ht="12.75" hidden="false" customHeight="false" outlineLevel="0" collapsed="false">
      <c r="B37" s="55"/>
      <c r="E37" s="21" t="n">
        <v>968</v>
      </c>
      <c r="G37" s="3"/>
      <c r="H37" s="3"/>
    </row>
    <row r="38" customFormat="false" ht="12.75" hidden="false" customHeight="false" outlineLevel="0" collapsed="false">
      <c r="A38" s="0" t="n">
        <v>7</v>
      </c>
      <c r="B38" s="55" t="n">
        <v>44620</v>
      </c>
      <c r="D38" s="0" t="s">
        <v>44</v>
      </c>
      <c r="E38" s="56" t="n">
        <f aca="false">G38/E37</f>
        <v>3.09917355371901</v>
      </c>
      <c r="G38" s="3" t="n">
        <v>3000</v>
      </c>
      <c r="H38" s="3" t="n">
        <f aca="false">H36-G38-F38</f>
        <v>21000</v>
      </c>
    </row>
    <row r="39" customFormat="false" ht="12.75" hidden="false" customHeight="false" outlineLevel="0" collapsed="false">
      <c r="A39" s="0" t="n">
        <v>8</v>
      </c>
      <c r="B39" s="55" t="n">
        <v>44650</v>
      </c>
      <c r="D39" s="0" t="s">
        <v>45</v>
      </c>
      <c r="G39" s="3" t="n">
        <v>3000</v>
      </c>
      <c r="H39" s="3" t="n">
        <f aca="false">H38-G39-F39</f>
        <v>18000</v>
      </c>
    </row>
    <row r="40" customFormat="false" ht="16.4" hidden="false" customHeight="false" outlineLevel="0" collapsed="false">
      <c r="A40" s="0" t="n">
        <v>9</v>
      </c>
      <c r="B40" s="55" t="n">
        <v>44681</v>
      </c>
      <c r="D40" s="38" t="s">
        <v>46</v>
      </c>
      <c r="G40" s="3" t="n">
        <v>5000</v>
      </c>
      <c r="H40" s="3" t="n">
        <f aca="false">H39-G40-F40</f>
        <v>13000</v>
      </c>
    </row>
    <row r="41" customFormat="false" ht="13.8" hidden="false" customHeight="false" outlineLevel="0" collapsed="false">
      <c r="A41" s="0" t="n">
        <v>10</v>
      </c>
      <c r="B41" s="55" t="n">
        <v>44711</v>
      </c>
      <c r="D41" s="38" t="s">
        <v>47</v>
      </c>
      <c r="E41" s="63"/>
      <c r="F41" s="63"/>
      <c r="G41" s="3" t="n">
        <v>3000</v>
      </c>
      <c r="H41" s="3" t="n">
        <f aca="false">H40-G41-F41</f>
        <v>10000</v>
      </c>
    </row>
    <row r="42" customFormat="false" ht="16.4" hidden="false" customHeight="false" outlineLevel="0" collapsed="false">
      <c r="A42" s="0" t="n">
        <v>11</v>
      </c>
      <c r="B42" s="55" t="n">
        <v>44742</v>
      </c>
      <c r="D42" s="38" t="s">
        <v>48</v>
      </c>
      <c r="F42" s="64" t="n">
        <v>4000</v>
      </c>
      <c r="G42" s="3"/>
      <c r="H42" s="3" t="n">
        <f aca="false">H41-G42-F42</f>
        <v>6000</v>
      </c>
    </row>
    <row r="43" customFormat="false" ht="16.4" hidden="false" customHeight="false" outlineLevel="0" collapsed="false">
      <c r="A43" s="0" t="n">
        <v>12</v>
      </c>
      <c r="B43" s="55" t="n">
        <v>44772</v>
      </c>
      <c r="D43" s="38" t="s">
        <v>49</v>
      </c>
      <c r="F43" s="64" t="n">
        <v>5000</v>
      </c>
      <c r="G43" s="3"/>
      <c r="H43" s="3" t="n">
        <f aca="false">H42-G43-F43</f>
        <v>1000</v>
      </c>
    </row>
    <row r="44" customFormat="false" ht="16.4" hidden="false" customHeight="false" outlineLevel="0" collapsed="false">
      <c r="A44" s="0" t="n">
        <v>13</v>
      </c>
      <c r="B44" s="55"/>
      <c r="D44" s="38" t="s">
        <v>50</v>
      </c>
      <c r="G44" s="3"/>
      <c r="H44" s="3" t="n">
        <f aca="false">H43-G44-F44</f>
        <v>1000</v>
      </c>
    </row>
    <row r="45" customFormat="false" ht="16.4" hidden="false" customHeight="false" outlineLevel="0" collapsed="false">
      <c r="A45" s="0" t="n">
        <v>14</v>
      </c>
      <c r="B45" s="55"/>
      <c r="D45" s="38" t="s">
        <v>51</v>
      </c>
      <c r="G45" s="3" t="n">
        <v>1000</v>
      </c>
      <c r="H45" s="3" t="n">
        <f aca="false">H44-G45-F45</f>
        <v>0</v>
      </c>
    </row>
    <row r="46" customFormat="false" ht="12.75" hidden="false" customHeight="false" outlineLevel="0" collapsed="false">
      <c r="B46" s="55"/>
      <c r="G46" s="3"/>
      <c r="H46" s="3" t="n">
        <f aca="false">H45-G46-F46</f>
        <v>0</v>
      </c>
    </row>
    <row r="47" customFormat="false" ht="12.75" hidden="false" customHeight="false" outlineLevel="0" collapsed="false">
      <c r="B47" s="55"/>
      <c r="D47" s="57" t="s">
        <v>35</v>
      </c>
      <c r="H47" s="3" t="n">
        <f aca="false">H46-G47-F47</f>
        <v>0</v>
      </c>
    </row>
    <row r="48" customFormat="false" ht="12.75" hidden="false" customHeight="false" outlineLevel="0" collapsed="false">
      <c r="B48" s="55"/>
      <c r="G48" s="57"/>
      <c r="H48" s="3"/>
    </row>
    <row r="49" customFormat="false" ht="12.75" hidden="false" customHeight="false" outlineLevel="0" collapsed="false">
      <c r="B49" s="55"/>
      <c r="G49" s="57"/>
      <c r="H49" s="3"/>
    </row>
    <row r="50" customFormat="false" ht="12.75" hidden="false" customHeight="false" outlineLevel="0" collapsed="false">
      <c r="B50" s="55"/>
      <c r="G50" s="57"/>
      <c r="H50" s="3"/>
    </row>
    <row r="51" customFormat="false" ht="12.75" hidden="false" customHeight="false" outlineLevel="0" collapsed="false">
      <c r="B51" s="55"/>
      <c r="G51" s="57"/>
      <c r="H51" s="3"/>
    </row>
    <row r="52" customFormat="false" ht="12.75" hidden="false" customHeight="false" outlineLevel="0" collapsed="false">
      <c r="B52" s="55"/>
      <c r="G52" s="57"/>
      <c r="H52" s="3"/>
    </row>
    <row r="53" customFormat="false" ht="12.75" hidden="false" customHeight="false" outlineLevel="0" collapsed="false">
      <c r="B53" s="55"/>
      <c r="G53" s="57"/>
      <c r="H53" s="3"/>
    </row>
    <row r="54" customFormat="false" ht="12.75" hidden="false" customHeight="false" outlineLevel="0" collapsed="false">
      <c r="B54" s="55"/>
      <c r="G54" s="57"/>
      <c r="H54" s="3"/>
    </row>
    <row r="55" customFormat="false" ht="19.7" hidden="false" customHeight="false" outlineLevel="0" collapsed="false">
      <c r="D55" s="40" t="s">
        <v>52</v>
      </c>
      <c r="G55" s="57"/>
      <c r="H55" s="42" t="n">
        <f aca="false">G57/12</f>
        <v>5000</v>
      </c>
    </row>
    <row r="56" customFormat="false" ht="13.8" hidden="false" customHeight="false" outlineLevel="0" collapsed="false">
      <c r="D56" s="43" t="s">
        <v>37</v>
      </c>
      <c r="E56" s="43"/>
      <c r="F56" s="43"/>
      <c r="G56" s="45" t="n">
        <v>4253</v>
      </c>
      <c r="H56" s="46" t="n">
        <f aca="false">G62/G56</f>
        <v>14.1076886903362</v>
      </c>
    </row>
    <row r="57" customFormat="false" ht="13.8" hidden="false" customHeight="false" outlineLevel="0" collapsed="false">
      <c r="D57" s="38" t="s">
        <v>53</v>
      </c>
      <c r="F57" s="50"/>
      <c r="G57" s="0" t="n">
        <f aca="false">G62</f>
        <v>60000</v>
      </c>
      <c r="H57" s="3"/>
    </row>
    <row r="58" customFormat="false" ht="13.8" hidden="false" customHeight="false" outlineLevel="0" collapsed="false">
      <c r="D58" s="38" t="s">
        <v>39</v>
      </c>
      <c r="F58" s="50"/>
      <c r="G58" s="4" t="n">
        <f aca="false">G23+G24</f>
        <v>30235.2</v>
      </c>
      <c r="H58" s="3"/>
    </row>
    <row r="59" customFormat="false" ht="13.8" hidden="false" customHeight="false" outlineLevel="0" collapsed="false">
      <c r="B59" s="52" t="n">
        <v>44772</v>
      </c>
      <c r="C59" s="53"/>
      <c r="D59" s="58" t="s">
        <v>54</v>
      </c>
      <c r="E59" s="59" t="n">
        <v>0.7183</v>
      </c>
      <c r="F59" s="26"/>
      <c r="G59" s="60" t="n">
        <f aca="false">G58*E59</f>
        <v>21717.94416</v>
      </c>
      <c r="H59" s="3"/>
    </row>
    <row r="60" customFormat="false" ht="13.8" hidden="false" customHeight="false" outlineLevel="0" collapsed="false">
      <c r="D60" s="38" t="s">
        <v>41</v>
      </c>
      <c r="F60" s="50"/>
      <c r="G60" s="61" t="n">
        <f aca="false">G58+G59</f>
        <v>51953.14416</v>
      </c>
    </row>
    <row r="61" customFormat="false" ht="13.8" hidden="false" customHeight="false" outlineLevel="0" collapsed="false">
      <c r="F61" s="50" t="s">
        <v>28</v>
      </c>
      <c r="G61" s="51" t="s">
        <v>29</v>
      </c>
      <c r="H61" s="48" t="s">
        <v>30</v>
      </c>
    </row>
    <row r="62" customFormat="false" ht="13.8" hidden="false" customHeight="false" outlineLevel="0" collapsed="false">
      <c r="D62" s="38" t="s">
        <v>55</v>
      </c>
      <c r="G62" s="51" t="n">
        <v>60000</v>
      </c>
      <c r="H62" s="3" t="n">
        <f aca="false">G62</f>
        <v>60000</v>
      </c>
    </row>
    <row r="63" customFormat="false" ht="13.8" hidden="false" customHeight="false" outlineLevel="0" collapsed="false">
      <c r="D63" s="38"/>
      <c r="E63" s="21" t="n">
        <v>1095</v>
      </c>
      <c r="G63" s="51"/>
      <c r="H63" s="3" t="n">
        <f aca="false">H62-G63-F63</f>
        <v>60000</v>
      </c>
    </row>
    <row r="64" customFormat="false" ht="12.75" hidden="false" customHeight="false" outlineLevel="0" collapsed="false">
      <c r="A64" s="0" t="n">
        <v>1</v>
      </c>
      <c r="B64" s="55" t="n">
        <v>44803</v>
      </c>
      <c r="D64" s="0" t="s">
        <v>45</v>
      </c>
      <c r="E64" s="56" t="n">
        <f aca="false">G64/E63</f>
        <v>2.73972602739726</v>
      </c>
      <c r="G64" s="0" t="n">
        <v>3000</v>
      </c>
      <c r="H64" s="3" t="n">
        <f aca="false">H63-G64-F64</f>
        <v>57000</v>
      </c>
    </row>
    <row r="65" customFormat="false" ht="16.4" hidden="false" customHeight="false" outlineLevel="0" collapsed="false">
      <c r="A65" s="0" t="n">
        <v>2</v>
      </c>
      <c r="B65" s="55" t="n">
        <v>44834</v>
      </c>
      <c r="D65" s="0" t="s">
        <v>56</v>
      </c>
      <c r="G65" s="0" t="n">
        <v>3000</v>
      </c>
      <c r="H65" s="3" t="n">
        <f aca="false">H64-G65-F65</f>
        <v>54000</v>
      </c>
    </row>
    <row r="66" customFormat="false" ht="12.75" hidden="false" customHeight="false" outlineLevel="0" collapsed="false">
      <c r="A66" s="0" t="n">
        <v>3</v>
      </c>
      <c r="B66" s="55" t="n">
        <v>44864</v>
      </c>
      <c r="D66" s="0" t="s">
        <v>45</v>
      </c>
      <c r="G66" s="0" t="n">
        <v>3000</v>
      </c>
      <c r="H66" s="3" t="n">
        <f aca="false">H65-G66-F66</f>
        <v>51000</v>
      </c>
    </row>
    <row r="67" customFormat="false" ht="16.4" hidden="false" customHeight="false" outlineLevel="0" collapsed="false">
      <c r="A67" s="0" t="n">
        <v>4</v>
      </c>
      <c r="B67" s="55" t="n">
        <v>44895</v>
      </c>
      <c r="D67" s="0" t="s">
        <v>57</v>
      </c>
      <c r="G67" s="0" t="n">
        <v>3000</v>
      </c>
      <c r="H67" s="3" t="n">
        <f aca="false">H66-G67-F67</f>
        <v>48000</v>
      </c>
    </row>
    <row r="68" customFormat="false" ht="12.75" hidden="false" customHeight="false" outlineLevel="0" collapsed="false">
      <c r="A68" s="0" t="n">
        <v>5</v>
      </c>
      <c r="B68" s="55" t="n">
        <v>44925</v>
      </c>
      <c r="D68" s="0" t="s">
        <v>45</v>
      </c>
      <c r="F68" s="64" t="n">
        <v>3000</v>
      </c>
      <c r="H68" s="3" t="n">
        <f aca="false">H67-G68-F68</f>
        <v>45000</v>
      </c>
    </row>
    <row r="69" customFormat="false" ht="16.4" hidden="false" customHeight="false" outlineLevel="0" collapsed="false">
      <c r="A69" s="0" t="n">
        <v>6</v>
      </c>
      <c r="B69" s="55" t="n">
        <v>44956</v>
      </c>
      <c r="D69" s="0" t="s">
        <v>58</v>
      </c>
      <c r="F69" s="64" t="n">
        <v>6000</v>
      </c>
      <c r="H69" s="3" t="n">
        <f aca="false">H68-G69-F69</f>
        <v>39000</v>
      </c>
    </row>
    <row r="70" customFormat="false" ht="12.75" hidden="false" customHeight="false" outlineLevel="0" collapsed="false">
      <c r="B70" s="55"/>
      <c r="E70" s="21" t="n">
        <v>1607</v>
      </c>
      <c r="F70" s="64"/>
      <c r="H70" s="3"/>
    </row>
    <row r="71" customFormat="false" ht="16.4" hidden="false" customHeight="false" outlineLevel="0" collapsed="false">
      <c r="A71" s="0" t="n">
        <v>7</v>
      </c>
      <c r="B71" s="55" t="n">
        <v>44985</v>
      </c>
      <c r="D71" s="0" t="s">
        <v>59</v>
      </c>
      <c r="E71" s="56" t="n">
        <f aca="false">G71/E70</f>
        <v>4.04480398257623</v>
      </c>
      <c r="G71" s="0" t="n">
        <v>6500</v>
      </c>
      <c r="H71" s="3" t="n">
        <f aca="false">H69-G71-F71</f>
        <v>32500</v>
      </c>
    </row>
    <row r="72" customFormat="false" ht="12.75" hidden="false" customHeight="false" outlineLevel="0" collapsed="false">
      <c r="A72" s="0" t="n">
        <v>8</v>
      </c>
      <c r="B72" s="55" t="n">
        <v>45015</v>
      </c>
      <c r="D72" s="0" t="s">
        <v>60</v>
      </c>
      <c r="G72" s="0" t="n">
        <v>6500</v>
      </c>
      <c r="H72" s="3" t="n">
        <f aca="false">H71-G72-F72</f>
        <v>26000</v>
      </c>
    </row>
    <row r="73" customFormat="false" ht="12.75" hidden="false" customHeight="false" outlineLevel="0" collapsed="false">
      <c r="A73" s="0" t="n">
        <v>9</v>
      </c>
      <c r="B73" s="55" t="n">
        <v>45046</v>
      </c>
      <c r="D73" s="0" t="s">
        <v>60</v>
      </c>
      <c r="G73" s="0" t="n">
        <v>6500</v>
      </c>
      <c r="H73" s="3" t="n">
        <f aca="false">H72-G73-F73</f>
        <v>19500</v>
      </c>
    </row>
    <row r="74" customFormat="false" ht="16.4" hidden="false" customHeight="false" outlineLevel="0" collapsed="false">
      <c r="A74" s="0" t="n">
        <v>10</v>
      </c>
      <c r="B74" s="55" t="n">
        <v>45076</v>
      </c>
      <c r="D74" s="0" t="s">
        <v>61</v>
      </c>
      <c r="G74" s="0" t="n">
        <v>6500</v>
      </c>
      <c r="H74" s="3" t="n">
        <f aca="false">H73-G74-F74</f>
        <v>13000</v>
      </c>
    </row>
    <row r="75" customFormat="false" ht="12.75" hidden="false" customHeight="false" outlineLevel="0" collapsed="false">
      <c r="A75" s="0" t="n">
        <v>11</v>
      </c>
      <c r="B75" s="55" t="n">
        <v>45107</v>
      </c>
      <c r="D75" s="0" t="s">
        <v>60</v>
      </c>
      <c r="G75" s="0" t="n">
        <v>6500</v>
      </c>
      <c r="H75" s="3" t="n">
        <f aca="false">H74-G75-F75</f>
        <v>6500</v>
      </c>
    </row>
    <row r="76" customFormat="false" ht="12.75" hidden="false" customHeight="false" outlineLevel="0" collapsed="false">
      <c r="A76" s="0" t="n">
        <v>12</v>
      </c>
      <c r="B76" s="55" t="n">
        <v>45137</v>
      </c>
      <c r="D76" s="0" t="s">
        <v>60</v>
      </c>
      <c r="G76" s="0" t="n">
        <v>6500</v>
      </c>
      <c r="H76" s="3" t="n">
        <f aca="false">H75-G76-F76</f>
        <v>0</v>
      </c>
    </row>
    <row r="77" customFormat="false" ht="12.75" hidden="false" customHeight="false" outlineLevel="0" collapsed="false">
      <c r="H77" s="3" t="n">
        <f aca="false">H76-G77-F77</f>
        <v>0</v>
      </c>
    </row>
    <row r="78" customFormat="false" ht="12.75" hidden="false" customHeight="false" outlineLevel="0" collapsed="false">
      <c r="D78" s="57" t="s">
        <v>35</v>
      </c>
      <c r="H78" s="3" t="n">
        <f aca="false">H77-G78-F78</f>
        <v>0</v>
      </c>
    </row>
    <row r="79" customFormat="false" ht="12.75" hidden="false" customHeight="false" outlineLevel="0" collapsed="false">
      <c r="H79" s="3"/>
    </row>
    <row r="80" customFormat="false" ht="19.7" hidden="false" customHeight="false" outlineLevel="0" collapsed="false">
      <c r="D80" s="40" t="s">
        <v>62</v>
      </c>
      <c r="H80" s="65" t="n">
        <f aca="false">(G82)/12</f>
        <v>12600</v>
      </c>
    </row>
    <row r="81" customFormat="false" ht="13.8" hidden="false" customHeight="false" outlineLevel="0" collapsed="false">
      <c r="D81" s="43" t="s">
        <v>37</v>
      </c>
      <c r="E81" s="43"/>
      <c r="F81" s="43"/>
      <c r="G81" s="45" t="n">
        <v>17002</v>
      </c>
      <c r="H81" s="46" t="n">
        <f aca="false">(G88+G89+G90)/G81</f>
        <v>8.89307140336431</v>
      </c>
    </row>
    <row r="82" customFormat="false" ht="13.8" hidden="false" customHeight="false" outlineLevel="0" collapsed="false">
      <c r="D82" s="38" t="s">
        <v>63</v>
      </c>
      <c r="G82" s="51" t="n">
        <f aca="false">SUM(G88:G90)</f>
        <v>151200</v>
      </c>
      <c r="H82" s="3"/>
    </row>
    <row r="83" customFormat="false" ht="13.8" hidden="false" customHeight="false" outlineLevel="0" collapsed="false">
      <c r="D83" s="38" t="s">
        <v>39</v>
      </c>
      <c r="G83" s="4" t="n">
        <f aca="false">G58+G59</f>
        <v>51953.14416</v>
      </c>
      <c r="H83" s="3"/>
    </row>
    <row r="84" customFormat="false" ht="13.8" hidden="false" customHeight="false" outlineLevel="0" collapsed="false">
      <c r="B84" s="52" t="n">
        <v>45137</v>
      </c>
      <c r="C84" s="53"/>
      <c r="D84" s="58" t="s">
        <v>64</v>
      </c>
      <c r="E84" s="59" t="n">
        <v>0.5591</v>
      </c>
      <c r="F84" s="26"/>
      <c r="G84" s="60" t="n">
        <f aca="false">G83*E84</f>
        <v>29047.002899856</v>
      </c>
      <c r="H84" s="3"/>
    </row>
    <row r="85" customFormat="false" ht="13.8" hidden="false" customHeight="false" outlineLevel="0" collapsed="false">
      <c r="D85" s="38" t="s">
        <v>41</v>
      </c>
      <c r="G85" s="61" t="n">
        <f aca="false">G83+G84</f>
        <v>81000.147059856</v>
      </c>
    </row>
    <row r="86" customFormat="false" ht="13.8" hidden="false" customHeight="false" outlineLevel="0" collapsed="false">
      <c r="F86" s="50" t="s">
        <v>28</v>
      </c>
      <c r="G86" s="51" t="s">
        <v>29</v>
      </c>
      <c r="H86" s="48" t="s">
        <v>30</v>
      </c>
    </row>
    <row r="87" customFormat="false" ht="13.8" hidden="false" customHeight="false" outlineLevel="0" collapsed="false">
      <c r="D87" s="0" t="s">
        <v>65</v>
      </c>
      <c r="G87" s="51"/>
      <c r="H87" s="3" t="n">
        <f aca="false">G87</f>
        <v>0</v>
      </c>
    </row>
    <row r="88" customFormat="false" ht="13.8" hidden="false" customHeight="false" outlineLevel="0" collapsed="false">
      <c r="D88" s="0" t="n">
        <v>6500</v>
      </c>
      <c r="E88" s="0" t="n">
        <v>6</v>
      </c>
      <c r="G88" s="51" t="n">
        <f aca="false">E88*D88</f>
        <v>39000</v>
      </c>
      <c r="H88" s="3" t="n">
        <f aca="false">H87+G88</f>
        <v>39000</v>
      </c>
    </row>
    <row r="89" customFormat="false" ht="13.8" hidden="false" customHeight="false" outlineLevel="0" collapsed="false">
      <c r="D89" s="0" t="n">
        <v>17000</v>
      </c>
      <c r="E89" s="0" t="n">
        <v>4</v>
      </c>
      <c r="G89" s="51" t="n">
        <f aca="false">E89*D89</f>
        <v>68000</v>
      </c>
      <c r="H89" s="3" t="n">
        <f aca="false">H88+G89</f>
        <v>107000</v>
      </c>
    </row>
    <row r="90" customFormat="false" ht="13.8" hidden="false" customHeight="false" outlineLevel="0" collapsed="false">
      <c r="D90" s="0" t="n">
        <v>22100</v>
      </c>
      <c r="E90" s="0" t="n">
        <v>2</v>
      </c>
      <c r="G90" s="51" t="n">
        <f aca="false">E90*D90</f>
        <v>44200</v>
      </c>
      <c r="H90" s="3" t="n">
        <f aca="false">H89+G90</f>
        <v>151200</v>
      </c>
    </row>
    <row r="91" customFormat="false" ht="12.75" hidden="false" customHeight="false" outlineLevel="0" collapsed="false">
      <c r="H91" s="3" t="n">
        <f aca="false">H90+G91</f>
        <v>151200</v>
      </c>
    </row>
    <row r="92" customFormat="false" ht="13.8" hidden="false" customHeight="false" outlineLevel="0" collapsed="false">
      <c r="D92" s="66" t="s">
        <v>66</v>
      </c>
      <c r="E92" s="43"/>
      <c r="F92" s="43"/>
      <c r="G92" s="45"/>
      <c r="H92" s="3" t="n">
        <f aca="false">H91+G92</f>
        <v>151200</v>
      </c>
    </row>
    <row r="93" customFormat="false" ht="13.8" hidden="false" customHeight="false" outlineLevel="0" collapsed="false">
      <c r="D93" s="66"/>
      <c r="E93" s="21" t="n">
        <v>1954</v>
      </c>
      <c r="F93" s="43"/>
      <c r="G93" s="45"/>
      <c r="H93" s="3" t="n">
        <f aca="false">H92-G93-F93</f>
        <v>151200</v>
      </c>
    </row>
    <row r="94" customFormat="false" ht="12.75" hidden="false" customHeight="false" outlineLevel="0" collapsed="false">
      <c r="A94" s="0" t="n">
        <v>1</v>
      </c>
      <c r="B94" s="55" t="n">
        <v>45168</v>
      </c>
      <c r="D94" s="0" t="s">
        <v>60</v>
      </c>
      <c r="E94" s="56" t="n">
        <f aca="false">G94/E93</f>
        <v>3.32650972364381</v>
      </c>
      <c r="G94" s="0" t="n">
        <v>6500</v>
      </c>
      <c r="H94" s="3" t="n">
        <f aca="false">H93-G94-F94</f>
        <v>144700</v>
      </c>
    </row>
    <row r="95" customFormat="false" ht="16.4" hidden="false" customHeight="false" outlineLevel="0" collapsed="false">
      <c r="A95" s="0" t="n">
        <v>2</v>
      </c>
      <c r="B95" s="55" t="n">
        <v>45199</v>
      </c>
      <c r="D95" s="0" t="s">
        <v>67</v>
      </c>
      <c r="F95" s="64" t="n">
        <v>6500</v>
      </c>
      <c r="H95" s="3" t="n">
        <f aca="false">H94-G95-F95</f>
        <v>138200</v>
      </c>
    </row>
    <row r="96" customFormat="false" ht="12.75" hidden="false" customHeight="false" outlineLevel="0" collapsed="false">
      <c r="A96" s="0" t="n">
        <v>3</v>
      </c>
      <c r="B96" s="55" t="n">
        <v>45229</v>
      </c>
      <c r="D96" s="0" t="s">
        <v>60</v>
      </c>
      <c r="G96" s="0" t="n">
        <v>6500</v>
      </c>
      <c r="H96" s="3" t="n">
        <f aca="false">H95-G96-F96</f>
        <v>131700</v>
      </c>
    </row>
    <row r="97" customFormat="false" ht="12.75" hidden="false" customHeight="false" outlineLevel="0" collapsed="false">
      <c r="A97" s="0" t="n">
        <v>4</v>
      </c>
      <c r="B97" s="55" t="n">
        <v>45260</v>
      </c>
      <c r="D97" s="0" t="s">
        <v>60</v>
      </c>
      <c r="G97" s="0" t="n">
        <v>6500</v>
      </c>
      <c r="H97" s="3" t="n">
        <f aca="false">H96-G97-F97</f>
        <v>125200</v>
      </c>
    </row>
    <row r="98" customFormat="false" ht="12.75" hidden="false" customHeight="false" outlineLevel="0" collapsed="false">
      <c r="A98" s="0" t="n">
        <v>5</v>
      </c>
      <c r="B98" s="55" t="n">
        <v>45290</v>
      </c>
      <c r="D98" s="0" t="s">
        <v>60</v>
      </c>
      <c r="G98" s="0" t="n">
        <v>6500</v>
      </c>
      <c r="H98" s="3" t="n">
        <f aca="false">H97-G98-F98</f>
        <v>118700</v>
      </c>
    </row>
    <row r="99" customFormat="false" ht="16.4" hidden="false" customHeight="false" outlineLevel="0" collapsed="false">
      <c r="A99" s="0" t="n">
        <v>6</v>
      </c>
      <c r="B99" s="55" t="n">
        <v>45321</v>
      </c>
      <c r="D99" s="0" t="s">
        <v>68</v>
      </c>
      <c r="G99" s="0" t="n">
        <v>6500</v>
      </c>
      <c r="H99" s="3" t="n">
        <f aca="false">H98-G99-F99</f>
        <v>112200</v>
      </c>
    </row>
    <row r="100" customFormat="false" ht="16.4" hidden="false" customHeight="false" outlineLevel="0" collapsed="false">
      <c r="A100" s="0" t="n">
        <v>7</v>
      </c>
      <c r="B100" s="55" t="n">
        <v>45350</v>
      </c>
      <c r="D100" s="0" t="s">
        <v>69</v>
      </c>
      <c r="G100" s="67" t="n">
        <v>6500</v>
      </c>
      <c r="H100" s="3" t="n">
        <f aca="false">H99-G100-F100</f>
        <v>105700</v>
      </c>
    </row>
    <row r="101" customFormat="false" ht="13.8" hidden="false" customHeight="false" outlineLevel="0" collapsed="false">
      <c r="B101" s="55"/>
      <c r="E101" s="21" t="n">
        <v>2442</v>
      </c>
      <c r="G101" s="67"/>
      <c r="H101" s="3"/>
    </row>
    <row r="102" customFormat="false" ht="16.4" hidden="false" customHeight="false" outlineLevel="0" collapsed="false">
      <c r="A102" s="0" t="n">
        <v>8</v>
      </c>
      <c r="B102" s="55" t="n">
        <v>45381</v>
      </c>
      <c r="D102" s="0" t="s">
        <v>70</v>
      </c>
      <c r="E102" s="56" t="n">
        <f aca="false">G102/E101</f>
        <v>6.14250614250614</v>
      </c>
      <c r="G102" s="0" t="n">
        <v>15000</v>
      </c>
      <c r="H102" s="3" t="n">
        <f aca="false">H100-G102-F102</f>
        <v>90700</v>
      </c>
    </row>
    <row r="103" customFormat="false" ht="12.75" hidden="false" customHeight="false" outlineLevel="0" collapsed="false">
      <c r="A103" s="0" t="n">
        <v>9</v>
      </c>
      <c r="B103" s="55" t="n">
        <v>45412</v>
      </c>
      <c r="D103" s="0" t="s">
        <v>71</v>
      </c>
      <c r="G103" s="0" t="n">
        <v>15000</v>
      </c>
      <c r="H103" s="3" t="n">
        <f aca="false">H102-G103-F103</f>
        <v>75700</v>
      </c>
    </row>
    <row r="104" customFormat="false" ht="12.75" hidden="false" customHeight="false" outlineLevel="0" collapsed="false">
      <c r="A104" s="0" t="n">
        <v>10</v>
      </c>
      <c r="B104" s="55" t="n">
        <v>45442</v>
      </c>
      <c r="D104" s="0" t="s">
        <v>71</v>
      </c>
      <c r="G104" s="0" t="n">
        <v>15000</v>
      </c>
      <c r="H104" s="3" t="n">
        <f aca="false">H103-G104-F104</f>
        <v>60700</v>
      </c>
    </row>
    <row r="105" customFormat="false" ht="16.4" hidden="false" customHeight="false" outlineLevel="0" collapsed="false">
      <c r="A105" s="0" t="n">
        <v>11</v>
      </c>
      <c r="B105" s="55" t="n">
        <v>45473</v>
      </c>
      <c r="D105" s="0" t="s">
        <v>72</v>
      </c>
      <c r="E105" s="68" t="s">
        <v>73</v>
      </c>
      <c r="F105" s="64" t="n">
        <v>15000</v>
      </c>
      <c r="H105" s="3" t="n">
        <f aca="false">H104-G105-F105</f>
        <v>45700</v>
      </c>
    </row>
    <row r="106" customFormat="false" ht="12.75" hidden="false" customHeight="false" outlineLevel="0" collapsed="false">
      <c r="A106" s="0" t="n">
        <v>12</v>
      </c>
      <c r="B106" s="55" t="n">
        <v>45503</v>
      </c>
      <c r="D106" s="0" t="s">
        <v>71</v>
      </c>
      <c r="G106" s="0" t="n">
        <v>15000</v>
      </c>
      <c r="H106" s="3" t="n">
        <f aca="false">H105-G106-F106</f>
        <v>30700</v>
      </c>
    </row>
    <row r="107" customFormat="false" ht="12.75" hidden="false" customHeight="false" outlineLevel="0" collapsed="false">
      <c r="H107" s="3" t="n">
        <f aca="false">H106-G107-F107</f>
        <v>30700</v>
      </c>
    </row>
    <row r="108" customFormat="false" ht="12.75" hidden="false" customHeight="false" outlineLevel="0" collapsed="false">
      <c r="D108" s="57" t="s">
        <v>35</v>
      </c>
      <c r="H108" s="3" t="n">
        <f aca="false">H107-G108-F108</f>
        <v>30700</v>
      </c>
    </row>
    <row r="109" customFormat="false" ht="12.75" hidden="false" customHeight="false" outlineLevel="0" collapsed="false">
      <c r="H109" s="3"/>
    </row>
    <row r="110" customFormat="false" ht="12.75" hidden="false" customHeight="false" outlineLevel="0" collapsed="false">
      <c r="A110" s="69"/>
      <c r="H110" s="3"/>
    </row>
    <row r="111" customFormat="false" ht="19.7" hidden="false" customHeight="false" outlineLevel="0" collapsed="false">
      <c r="A111" s="70"/>
      <c r="B111" s="71"/>
      <c r="C111" s="72"/>
      <c r="D111" s="73" t="s">
        <v>74</v>
      </c>
      <c r="E111" s="74"/>
      <c r="F111" s="74"/>
      <c r="G111" s="74"/>
      <c r="H111" s="75" t="n">
        <f aca="false">G113/12</f>
        <v>25000</v>
      </c>
    </row>
    <row r="112" customFormat="false" ht="13.8" hidden="false" customHeight="false" outlineLevel="0" collapsed="false">
      <c r="A112" s="76"/>
      <c r="B112" s="77"/>
      <c r="C112" s="78"/>
      <c r="D112" s="79" t="s">
        <v>37</v>
      </c>
      <c r="E112" s="79"/>
      <c r="F112" s="79"/>
      <c r="G112" s="80" t="n">
        <v>22104</v>
      </c>
      <c r="H112" s="81" t="n">
        <f aca="false">G119/G112</f>
        <v>13.5722041259501</v>
      </c>
    </row>
    <row r="113" customFormat="false" ht="13.8" hidden="false" customHeight="false" outlineLevel="0" collapsed="false">
      <c r="A113" s="82"/>
      <c r="B113" s="83"/>
      <c r="C113" s="84"/>
      <c r="D113" s="85" t="s">
        <v>75</v>
      </c>
      <c r="E113" s="86"/>
      <c r="F113" s="86"/>
      <c r="G113" s="86" t="n">
        <f aca="false">G119</f>
        <v>300000</v>
      </c>
      <c r="H113" s="87"/>
    </row>
    <row r="114" customFormat="false" ht="13.8" hidden="false" customHeight="false" outlineLevel="0" collapsed="false">
      <c r="D114" s="38" t="s">
        <v>39</v>
      </c>
      <c r="G114" s="4" t="n">
        <f aca="false">G83+G84</f>
        <v>81000.147059856</v>
      </c>
      <c r="H114" s="3"/>
    </row>
    <row r="115" customFormat="false" ht="13.8" hidden="false" customHeight="false" outlineLevel="0" collapsed="false">
      <c r="B115" s="52" t="n">
        <v>45503</v>
      </c>
      <c r="C115" s="53"/>
      <c r="D115" s="58" t="s">
        <v>76</v>
      </c>
      <c r="E115" s="59" t="n">
        <v>0.5383</v>
      </c>
      <c r="F115" s="26"/>
      <c r="G115" s="60" t="n">
        <f aca="false">G114*E115</f>
        <v>43602.3791623205</v>
      </c>
      <c r="H115" s="3"/>
    </row>
    <row r="116" customFormat="false" ht="13.8" hidden="false" customHeight="false" outlineLevel="0" collapsed="false">
      <c r="D116" s="38" t="s">
        <v>41</v>
      </c>
      <c r="G116" s="61" t="n">
        <f aca="false">G114+G115</f>
        <v>124602.526222177</v>
      </c>
    </row>
    <row r="117" customFormat="false" ht="13.8" hidden="false" customHeight="false" outlineLevel="0" collapsed="false">
      <c r="F117" s="50" t="s">
        <v>28</v>
      </c>
      <c r="G117" s="51" t="s">
        <v>29</v>
      </c>
      <c r="H117" s="48" t="s">
        <v>30</v>
      </c>
    </row>
    <row r="118" customFormat="false" ht="16.4" hidden="false" customHeight="false" outlineLevel="0" collapsed="false">
      <c r="D118" s="38" t="s">
        <v>77</v>
      </c>
      <c r="G118" s="51"/>
      <c r="H118" s="3" t="n">
        <f aca="false">H108</f>
        <v>30700</v>
      </c>
    </row>
    <row r="119" customFormat="false" ht="13.8" hidden="false" customHeight="false" outlineLevel="0" collapsed="false">
      <c r="D119" s="0" t="n">
        <v>25000</v>
      </c>
      <c r="E119" s="0" t="n">
        <v>12</v>
      </c>
      <c r="G119" s="51" t="n">
        <f aca="false">E119*D119</f>
        <v>300000</v>
      </c>
      <c r="H119" s="3" t="n">
        <f aca="false">H118+G119</f>
        <v>330700</v>
      </c>
    </row>
    <row r="120" customFormat="false" ht="13.8" hidden="false" customHeight="false" outlineLevel="0" collapsed="false">
      <c r="G120" s="51"/>
      <c r="H120" s="3" t="n">
        <f aca="false">H119+G120</f>
        <v>330700</v>
      </c>
    </row>
    <row r="121" customFormat="false" ht="13.8" hidden="false" customHeight="false" outlineLevel="0" collapsed="false">
      <c r="G121" s="51"/>
      <c r="H121" s="3" t="n">
        <f aca="false">H120+G121</f>
        <v>330700</v>
      </c>
    </row>
    <row r="122" customFormat="false" ht="13.8" hidden="false" customHeight="false" outlineLevel="0" collapsed="false">
      <c r="G122" s="51"/>
      <c r="H122" s="3" t="n">
        <f aca="false">H121+G122</f>
        <v>330700</v>
      </c>
    </row>
    <row r="123" customFormat="false" ht="13.8" hidden="false" customHeight="false" outlineLevel="0" collapsed="false">
      <c r="D123" s="66"/>
      <c r="E123" s="21" t="n">
        <v>2981</v>
      </c>
      <c r="G123" s="45"/>
      <c r="H123" s="3" t="n">
        <f aca="false">H122+G123</f>
        <v>330700</v>
      </c>
    </row>
    <row r="124" customFormat="false" ht="13.8" hidden="false" customHeight="false" outlineLevel="0" collapsed="false">
      <c r="D124" s="88" t="s">
        <v>78</v>
      </c>
      <c r="E124" s="56" t="n">
        <f aca="false">F125/E123</f>
        <v>5.03186850050319</v>
      </c>
      <c r="F124" s="43"/>
      <c r="G124" s="45"/>
      <c r="H124" s="3" t="n">
        <f aca="false">H123-G124-F124</f>
        <v>330700</v>
      </c>
    </row>
    <row r="125" customFormat="false" ht="14.9" hidden="false" customHeight="false" outlineLevel="0" collapsed="false">
      <c r="A125" s="0" t="n">
        <v>1</v>
      </c>
      <c r="B125" s="55" t="n">
        <v>45534</v>
      </c>
      <c r="D125" s="0" t="s">
        <v>79</v>
      </c>
      <c r="E125" s="68" t="s">
        <v>73</v>
      </c>
      <c r="F125" s="64" t="n">
        <v>15000</v>
      </c>
      <c r="H125" s="3" t="n">
        <f aca="false">H124-G125-F125</f>
        <v>315700</v>
      </c>
    </row>
    <row r="126" customFormat="false" ht="14.9" hidden="false" customHeight="false" outlineLevel="0" collapsed="false">
      <c r="A126" s="0" t="n">
        <v>2</v>
      </c>
      <c r="B126" s="55" t="n">
        <v>45565</v>
      </c>
      <c r="D126" s="0" t="s">
        <v>80</v>
      </c>
      <c r="E126" s="68" t="s">
        <v>73</v>
      </c>
      <c r="F126" s="64" t="n">
        <v>15000</v>
      </c>
      <c r="H126" s="3" t="n">
        <f aca="false">H125-G126-F126</f>
        <v>300700</v>
      </c>
    </row>
    <row r="127" customFormat="false" ht="14.9" hidden="false" customHeight="false" outlineLevel="0" collapsed="false">
      <c r="A127" s="0" t="n">
        <v>3</v>
      </c>
      <c r="B127" s="55" t="n">
        <v>45595</v>
      </c>
      <c r="D127" s="0" t="s">
        <v>81</v>
      </c>
      <c r="E127" s="68" t="s">
        <v>73</v>
      </c>
      <c r="F127" s="64" t="n">
        <v>15000</v>
      </c>
      <c r="H127" s="3" t="n">
        <f aca="false">H126-G127-F127</f>
        <v>285700</v>
      </c>
    </row>
    <row r="128" customFormat="false" ht="14.9" hidden="false" customHeight="false" outlineLevel="0" collapsed="false">
      <c r="A128" s="0" t="n">
        <v>4</v>
      </c>
      <c r="B128" s="55" t="n">
        <v>45626</v>
      </c>
      <c r="D128" s="0" t="s">
        <v>82</v>
      </c>
      <c r="E128" s="68" t="s">
        <v>73</v>
      </c>
      <c r="F128" s="64" t="n">
        <v>15000</v>
      </c>
      <c r="H128" s="3" t="n">
        <f aca="false">H127-G128-F128</f>
        <v>270700</v>
      </c>
    </row>
    <row r="129" customFormat="false" ht="14.9" hidden="false" customHeight="false" outlineLevel="0" collapsed="false">
      <c r="A129" s="0" t="n">
        <v>5</v>
      </c>
      <c r="B129" s="55" t="n">
        <v>45656</v>
      </c>
      <c r="D129" s="0" t="s">
        <v>83</v>
      </c>
      <c r="E129" s="89" t="s">
        <v>73</v>
      </c>
      <c r="F129" s="64" t="n">
        <v>15000</v>
      </c>
      <c r="H129" s="3" t="n">
        <f aca="false">H128-G129-F129</f>
        <v>255700</v>
      </c>
    </row>
    <row r="130" customFormat="false" ht="14.9" hidden="false" customHeight="false" outlineLevel="0" collapsed="false">
      <c r="A130" s="0" t="n">
        <v>6</v>
      </c>
      <c r="B130" s="55" t="n">
        <v>45687</v>
      </c>
      <c r="D130" s="0" t="s">
        <v>84</v>
      </c>
      <c r="E130" s="89" t="s">
        <v>73</v>
      </c>
      <c r="F130" s="64" t="n">
        <v>15000</v>
      </c>
      <c r="H130" s="3" t="n">
        <f aca="false">H129-G130-F130</f>
        <v>240700</v>
      </c>
    </row>
    <row r="131" customFormat="false" ht="12.75" hidden="false" customHeight="false" outlineLevel="0" collapsed="false">
      <c r="B131" s="55"/>
      <c r="E131" s="21" t="n">
        <v>4292</v>
      </c>
      <c r="F131" s="64"/>
      <c r="H131" s="3"/>
    </row>
    <row r="132" customFormat="false" ht="12.75" hidden="false" customHeight="false" outlineLevel="0" collapsed="false">
      <c r="B132" s="55"/>
      <c r="E132" s="56" t="n">
        <f aca="false">F133/E131</f>
        <v>3.49487418452936</v>
      </c>
      <c r="F132" s="64"/>
      <c r="H132" s="3"/>
    </row>
    <row r="133" customFormat="false" ht="14.9" hidden="false" customHeight="false" outlineLevel="0" collapsed="false">
      <c r="A133" s="0" t="n">
        <v>7</v>
      </c>
      <c r="B133" s="55" t="n">
        <v>45716</v>
      </c>
      <c r="D133" s="0" t="s">
        <v>85</v>
      </c>
      <c r="E133" s="89" t="s">
        <v>73</v>
      </c>
      <c r="F133" s="64" t="n">
        <v>15000</v>
      </c>
      <c r="G133" s="67"/>
      <c r="H133" s="3" t="n">
        <f aca="false">H130-G133-F133</f>
        <v>225700</v>
      </c>
    </row>
    <row r="134" customFormat="false" ht="12.75" hidden="false" customHeight="false" outlineLevel="0" collapsed="false">
      <c r="A134" s="0" t="n">
        <v>8</v>
      </c>
      <c r="B134" s="55" t="n">
        <v>45746</v>
      </c>
      <c r="D134" s="0" t="s">
        <v>86</v>
      </c>
      <c r="F134" s="64"/>
      <c r="H134" s="3" t="n">
        <f aca="false">H133-G134-F134</f>
        <v>225700</v>
      </c>
    </row>
    <row r="135" customFormat="false" ht="12.75" hidden="false" customHeight="false" outlineLevel="0" collapsed="false">
      <c r="A135" s="0" t="n">
        <v>9</v>
      </c>
      <c r="B135" s="55" t="s">
        <v>87</v>
      </c>
      <c r="D135" s="0" t="s">
        <v>88</v>
      </c>
      <c r="F135" s="64"/>
      <c r="H135" s="3" t="n">
        <f aca="false">H134-G135-F135</f>
        <v>225700</v>
      </c>
    </row>
    <row r="136" customFormat="false" ht="12.75" hidden="false" customHeight="false" outlineLevel="0" collapsed="false">
      <c r="A136" s="0" t="n">
        <v>10</v>
      </c>
      <c r="B136" s="55" t="n">
        <v>45807</v>
      </c>
      <c r="D136" s="0" t="s">
        <v>89</v>
      </c>
      <c r="H136" s="3" t="n">
        <f aca="false">H135-G136-F136</f>
        <v>225700</v>
      </c>
    </row>
    <row r="137" customFormat="false" ht="12.75" hidden="false" customHeight="false" outlineLevel="0" collapsed="false">
      <c r="A137" s="0" t="n">
        <v>11</v>
      </c>
      <c r="B137" s="55" t="n">
        <v>45838</v>
      </c>
      <c r="D137" s="0" t="s">
        <v>90</v>
      </c>
      <c r="H137" s="3" t="n">
        <f aca="false">H136-G137-F137</f>
        <v>225700</v>
      </c>
    </row>
    <row r="138" customFormat="false" ht="12.75" hidden="false" customHeight="false" outlineLevel="0" collapsed="false">
      <c r="A138" s="0" t="n">
        <v>12</v>
      </c>
      <c r="B138" s="55" t="n">
        <v>45868</v>
      </c>
      <c r="D138" s="0" t="s">
        <v>90</v>
      </c>
      <c r="H138" s="3" t="n">
        <f aca="false">H137-G138-F138</f>
        <v>225700</v>
      </c>
    </row>
    <row r="139" customFormat="false" ht="12.75" hidden="false" customHeight="false" outlineLevel="0" collapsed="false">
      <c r="H139" s="3" t="n">
        <f aca="false">H138-G139-F139</f>
        <v>225700</v>
      </c>
    </row>
    <row r="140" customFormat="false" ht="12.75" hidden="false" customHeight="false" outlineLevel="0" collapsed="false">
      <c r="D140" s="57" t="s">
        <v>35</v>
      </c>
      <c r="H140" s="3" t="n">
        <f aca="false">H139-G140-F140</f>
        <v>225700</v>
      </c>
    </row>
    <row r="141" customFormat="false" ht="13.8" hidden="false" customHeight="false" outlineLevel="0" collapsed="false">
      <c r="E141" s="90" t="s">
        <v>91</v>
      </c>
      <c r="F141" s="91" t="n">
        <f aca="false">SUM(F125:F140)</f>
        <v>105000</v>
      </c>
      <c r="G141" s="91"/>
      <c r="H141" s="46" t="n">
        <f aca="false">F141/G112</f>
        <v>4.75027144408252</v>
      </c>
    </row>
    <row r="142" customFormat="false" ht="12.75" hidden="false" customHeight="false" outlineLevel="0" collapsed="false">
      <c r="D142" s="0" t="s">
        <v>92</v>
      </c>
      <c r="H142" s="4" t="n">
        <f aca="false">SUM(F8:F140)</f>
        <v>144500</v>
      </c>
    </row>
    <row r="143" customFormat="false" ht="12.75" hidden="false" customHeight="false" outlineLevel="0" collapsed="false">
      <c r="D143" s="0" t="s">
        <v>93</v>
      </c>
      <c r="H143" s="4" t="n">
        <f aca="false">SUM(G8)+G25+G60+G85+G116</f>
        <v>311791.017442033</v>
      </c>
    </row>
    <row r="144" customFormat="false" ht="12.75" hidden="false" customHeight="false" outlineLevel="0" collapsed="false">
      <c r="D144" s="0" t="s">
        <v>94</v>
      </c>
      <c r="H144" s="4" t="n">
        <f aca="false">H143-H142</f>
        <v>167291.017442033</v>
      </c>
    </row>
    <row r="145" customFormat="false" ht="12.75" hidden="false" customHeight="false" outlineLevel="0" collapsed="false">
      <c r="H145" s="3"/>
    </row>
    <row r="146" customFormat="false" ht="12.75" hidden="false" customHeight="false" outlineLevel="0" collapsed="false">
      <c r="B146" s="92" t="n">
        <v>45831</v>
      </c>
      <c r="D146" s="0" t="s">
        <v>95</v>
      </c>
      <c r="H146" s="3"/>
    </row>
    <row r="147" customFormat="false" ht="12.75" hidden="false" customHeight="false" outlineLevel="0" collapsed="false">
      <c r="B147" s="93" t="n">
        <v>45350</v>
      </c>
      <c r="D147" s="0" t="s">
        <v>96</v>
      </c>
      <c r="G147" s="0" t="n">
        <v>8500</v>
      </c>
      <c r="H147" s="3" t="n">
        <f aca="false">H146-G147-F147</f>
        <v>-8500</v>
      </c>
    </row>
    <row r="148" customFormat="false" ht="12.75" hidden="false" customHeight="false" outlineLevel="0" collapsed="false">
      <c r="D148" s="0" t="s">
        <v>97</v>
      </c>
      <c r="E148" s="94" t="n">
        <v>0.5</v>
      </c>
      <c r="G148" s="0" t="n">
        <f aca="false">G147*E148</f>
        <v>4250</v>
      </c>
      <c r="H148" s="3" t="n">
        <f aca="false">H147-G148-F148</f>
        <v>-12750</v>
      </c>
    </row>
    <row r="149" customFormat="false" ht="12.75" hidden="false" customHeight="false" outlineLevel="0" collapsed="false">
      <c r="D149" s="0" t="s">
        <v>98</v>
      </c>
      <c r="F149" s="0" t="n">
        <v>-105000</v>
      </c>
      <c r="H149" s="3" t="n">
        <f aca="false">H148-G149-F149</f>
        <v>92250</v>
      </c>
    </row>
    <row r="150" customFormat="false" ht="12.75" hidden="false" customHeight="false" outlineLevel="0" collapsed="false">
      <c r="D150" s="0" t="s">
        <v>99</v>
      </c>
      <c r="G150" s="0" t="n">
        <v>45000</v>
      </c>
      <c r="H150" s="3" t="n">
        <f aca="false">H149-G150-F150</f>
        <v>47250</v>
      </c>
    </row>
    <row r="151" customFormat="false" ht="12.75" hidden="false" customHeight="false" outlineLevel="0" collapsed="false">
      <c r="D151" s="0" t="s">
        <v>12</v>
      </c>
      <c r="H151" s="3" t="n">
        <f aca="false">H150-G151-F151</f>
        <v>47250</v>
      </c>
    </row>
    <row r="152" customFormat="false" ht="12.75" hidden="false" customHeight="false" outlineLevel="0" collapsed="false">
      <c r="B152" s="92" t="n">
        <v>45722</v>
      </c>
      <c r="G152" s="0" t="n">
        <v>455</v>
      </c>
      <c r="H152" s="3" t="n">
        <f aca="false">H151-G152-F152</f>
        <v>46795</v>
      </c>
    </row>
    <row r="153" customFormat="false" ht="12.75" hidden="false" customHeight="false" outlineLevel="0" collapsed="false">
      <c r="B153" s="92" t="n">
        <v>45750</v>
      </c>
      <c r="G153" s="0" t="n">
        <v>315</v>
      </c>
      <c r="H153" s="3"/>
    </row>
    <row r="154" customFormat="false" ht="12.75" hidden="false" customHeight="false" outlineLevel="0" collapsed="false">
      <c r="H154" s="3"/>
    </row>
    <row r="155" customFormat="false" ht="12.75" hidden="false" customHeight="false" outlineLevel="0" collapsed="false">
      <c r="D155" s="0" t="s">
        <v>100</v>
      </c>
      <c r="H155" s="3"/>
    </row>
    <row r="156" customFormat="false" ht="12.75" hidden="false" customHeight="false" outlineLevel="0" collapsed="false">
      <c r="B156" s="92" t="n">
        <v>45728</v>
      </c>
      <c r="D156" s="0" t="s">
        <v>101</v>
      </c>
    </row>
    <row r="157" customFormat="false" ht="12.75" hidden="false" customHeight="false" outlineLevel="0" collapsed="false">
      <c r="B157" s="92" t="n">
        <v>45777</v>
      </c>
      <c r="D157" s="0" t="s">
        <v>102</v>
      </c>
      <c r="H157" s="3" t="n">
        <v>150000</v>
      </c>
    </row>
    <row r="158" customFormat="false" ht="12.75" hidden="false" customHeight="false" outlineLevel="0" collapsed="false">
      <c r="D158" s="0" t="s">
        <v>103</v>
      </c>
      <c r="H158" s="3"/>
    </row>
    <row r="159" customFormat="false" ht="12.75" hidden="false" customHeight="false" outlineLevel="0" collapsed="false">
      <c r="H159" s="3"/>
    </row>
    <row r="160" customFormat="false" ht="12.75" hidden="false" customHeight="false" outlineLevel="0" collapsed="false">
      <c r="B160" s="92" t="n">
        <v>45740</v>
      </c>
      <c r="D160" s="0" t="s">
        <v>104</v>
      </c>
      <c r="H160" s="3"/>
    </row>
    <row r="161" customFormat="false" ht="12.75" hidden="false" customHeight="false" outlineLevel="0" collapsed="false">
      <c r="D161" s="0" t="s">
        <v>105</v>
      </c>
      <c r="H161" s="3"/>
    </row>
    <row r="163" customFormat="false" ht="12.75" hidden="false" customHeight="false" outlineLevel="0" collapsed="false">
      <c r="B163" s="92" t="n">
        <v>45807</v>
      </c>
      <c r="D163" s="0" t="s">
        <v>106</v>
      </c>
    </row>
    <row r="164" customFormat="false" ht="12.75" hidden="false" customHeight="false" outlineLevel="0" collapsed="false">
      <c r="D164" s="0" t="s">
        <v>107</v>
      </c>
    </row>
    <row r="167" customFormat="false" ht="12.75" hidden="false" customHeight="false" outlineLevel="0" collapsed="false">
      <c r="B167" s="95" t="n">
        <v>44197</v>
      </c>
      <c r="C167" s="96" t="n">
        <f aca="false">E9</f>
        <v>495</v>
      </c>
      <c r="E167" s="97" t="n">
        <f aca="false">E10</f>
        <v>4.04040404040404</v>
      </c>
    </row>
    <row r="168" customFormat="false" ht="12.75" hidden="false" customHeight="false" outlineLevel="0" collapsed="false">
      <c r="B168" s="95" t="n">
        <v>44378</v>
      </c>
      <c r="C168" s="96" t="n">
        <f aca="false">E9</f>
        <v>495</v>
      </c>
      <c r="E168" s="97" t="n">
        <f aca="false">E10</f>
        <v>4.04040404040404</v>
      </c>
    </row>
    <row r="169" customFormat="false" ht="12.75" hidden="false" customHeight="false" outlineLevel="0" collapsed="false">
      <c r="B169" s="95" t="n">
        <v>44562</v>
      </c>
      <c r="C169" s="96" t="n">
        <f aca="false">E30</f>
        <v>783</v>
      </c>
      <c r="E169" s="97" t="n">
        <f aca="false">E31</f>
        <v>2.55427841634738</v>
      </c>
    </row>
    <row r="170" customFormat="false" ht="12.75" hidden="false" customHeight="false" outlineLevel="0" collapsed="false">
      <c r="B170" s="95" t="n">
        <v>44743</v>
      </c>
      <c r="C170" s="96" t="n">
        <f aca="false">E37</f>
        <v>968</v>
      </c>
      <c r="E170" s="97" t="n">
        <f aca="false">E38</f>
        <v>3.09917355371901</v>
      </c>
    </row>
    <row r="171" customFormat="false" ht="12.75" hidden="false" customHeight="false" outlineLevel="0" collapsed="false">
      <c r="B171" s="95" t="n">
        <v>44927</v>
      </c>
      <c r="C171" s="96" t="n">
        <f aca="false">E63</f>
        <v>1095</v>
      </c>
      <c r="E171" s="97" t="n">
        <f aca="false">E64</f>
        <v>2.73972602739726</v>
      </c>
    </row>
    <row r="172" customFormat="false" ht="12.75" hidden="false" customHeight="false" outlineLevel="0" collapsed="false">
      <c r="B172" s="95" t="n">
        <v>45108</v>
      </c>
      <c r="C172" s="96" t="n">
        <f aca="false">E70</f>
        <v>1607</v>
      </c>
      <c r="E172" s="97" t="n">
        <f aca="false">E71</f>
        <v>4.04480398257623</v>
      </c>
    </row>
    <row r="173" customFormat="false" ht="12.75" hidden="false" customHeight="false" outlineLevel="0" collapsed="false">
      <c r="B173" s="95" t="n">
        <v>45292</v>
      </c>
      <c r="C173" s="96" t="n">
        <f aca="false">E93</f>
        <v>1954</v>
      </c>
      <c r="E173" s="97" t="n">
        <f aca="false">E94</f>
        <v>3.32650972364381</v>
      </c>
    </row>
    <row r="174" customFormat="false" ht="12.75" hidden="false" customHeight="false" outlineLevel="0" collapsed="false">
      <c r="B174" s="95" t="n">
        <v>45474</v>
      </c>
      <c r="C174" s="96" t="n">
        <f aca="false">E101</f>
        <v>2442</v>
      </c>
      <c r="E174" s="97" t="n">
        <f aca="false">E102</f>
        <v>6.14250614250614</v>
      </c>
    </row>
    <row r="175" customFormat="false" ht="12.75" hidden="false" customHeight="false" outlineLevel="0" collapsed="false">
      <c r="B175" s="95" t="n">
        <v>45658</v>
      </c>
      <c r="C175" s="96" t="n">
        <f aca="false">E123</f>
        <v>2981</v>
      </c>
      <c r="E175" s="97" t="n">
        <f aca="false">E124</f>
        <v>5.03186850050319</v>
      </c>
    </row>
    <row r="176" customFormat="false" ht="12.75" hidden="false" customHeight="false" outlineLevel="0" collapsed="false">
      <c r="B176" s="95"/>
      <c r="C176" s="96"/>
      <c r="E176" s="97"/>
    </row>
    <row r="177" customFormat="false" ht="12.75" hidden="false" customHeight="false" outlineLevel="0" collapsed="false">
      <c r="B177" s="95"/>
    </row>
    <row r="178" customFormat="false" ht="12.75" hidden="false" customHeight="false" outlineLevel="0" collapsed="false">
      <c r="B178" s="98" t="n">
        <v>9</v>
      </c>
      <c r="C178" s="98"/>
      <c r="D178" s="0" t="s">
        <v>108</v>
      </c>
      <c r="E178" s="97" t="n">
        <f aca="false">SUM(E167:E177)</f>
        <v>35.0196744275011</v>
      </c>
    </row>
    <row r="179" customFormat="false" ht="12.75" hidden="false" customHeight="false" outlineLevel="0" collapsed="false">
      <c r="B179" s="98" t="n">
        <v>9</v>
      </c>
      <c r="C179" s="98"/>
      <c r="D179" s="0" t="s">
        <v>109</v>
      </c>
      <c r="E179" s="97" t="n">
        <f aca="false">E178/B179</f>
        <v>3.89107493638901</v>
      </c>
    </row>
    <row r="180" customFormat="false" ht="12.75" hidden="false" customHeight="false" outlineLevel="0" collapsed="false">
      <c r="B180" s="95"/>
    </row>
    <row r="181" customFormat="false" ht="12.75" hidden="false" customHeight="false" outlineLevel="0" collapsed="false">
      <c r="B181" s="95"/>
    </row>
    <row r="182" customFormat="false" ht="12.75" hidden="false" customHeight="false" outlineLevel="0" collapsed="false">
      <c r="B182" s="95"/>
      <c r="D182" s="0" t="s">
        <v>110</v>
      </c>
    </row>
    <row r="183" customFormat="false" ht="12.75" hidden="false" customHeight="false" outlineLevel="0" collapsed="false">
      <c r="B183" s="95" t="n">
        <v>45839</v>
      </c>
      <c r="C183" s="96" t="n">
        <v>4250</v>
      </c>
      <c r="D183" s="99" t="s">
        <v>111</v>
      </c>
      <c r="E183" s="100" t="n">
        <f aca="false">E179*C183</f>
        <v>16537.0684796533</v>
      </c>
    </row>
    <row r="184" customFormat="false" ht="12.75" hidden="false" customHeight="false" outlineLevel="0" collapsed="false">
      <c r="B184" s="95"/>
      <c r="D184" s="99" t="s">
        <v>112</v>
      </c>
      <c r="E184" s="100" t="n">
        <f aca="false">E167*C183</f>
        <v>17171.7171717172</v>
      </c>
    </row>
    <row r="185" customFormat="false" ht="12.75" hidden="false" customHeight="false" outlineLevel="0" collapsed="false">
      <c r="B185" s="95" t="n">
        <v>46023</v>
      </c>
      <c r="C185" s="2" t="n">
        <f aca="false">C183+(C183*C186)</f>
        <v>5100</v>
      </c>
      <c r="D185" s="90" t="s">
        <v>113</v>
      </c>
      <c r="E185" s="100" t="n">
        <f aca="false">E167*C185</f>
        <v>20606.0606060606</v>
      </c>
    </row>
    <row r="186" customFormat="false" ht="12.75" hidden="false" customHeight="false" outlineLevel="0" collapsed="false">
      <c r="C186" s="94" t="n">
        <v>0.2</v>
      </c>
      <c r="D186" s="90" t="s">
        <v>114</v>
      </c>
    </row>
    <row r="187" customFormat="false" ht="12.75" hidden="false" customHeight="false" outlineLevel="0" collapsed="false">
      <c r="D187" s="0" t="s">
        <v>115</v>
      </c>
      <c r="E187" s="100" t="n">
        <f aca="false">E174*C185</f>
        <v>31326.7813267813</v>
      </c>
    </row>
    <row r="189" customFormat="false" ht="12.75" hidden="false" customHeight="false" outlineLevel="0" collapsed="false">
      <c r="B189" s="93" t="n">
        <v>46012</v>
      </c>
      <c r="C189" s="96" t="n">
        <v>6000</v>
      </c>
      <c r="D189" s="0" t="s">
        <v>116</v>
      </c>
      <c r="E189" s="100" t="n">
        <f aca="false">E167*C189</f>
        <v>24242.4242424242</v>
      </c>
    </row>
    <row r="190" customFormat="false" ht="12.75" hidden="false" customHeight="false" outlineLevel="0" collapsed="false">
      <c r="D190" s="0" t="s">
        <v>117</v>
      </c>
      <c r="E190" s="100" t="n">
        <f aca="false">E174*C189</f>
        <v>36855.0368550369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8"/>
  <sheetViews>
    <sheetView showFormulas="false" showGridLines="true" showRowColHeaders="true" showZeros="true" rightToLeft="false" tabSelected="false" showOutlineSymbols="true" defaultGridColor="true" view="normal" topLeftCell="A34" colorId="64" zoomScale="190" zoomScaleNormal="190" zoomScalePageLayoutView="100" workbookViewId="0">
      <selection pane="topLeft" activeCell="D46" activeCellId="0" sqref="D46"/>
    </sheetView>
  </sheetViews>
  <sheetFormatPr defaultColWidth="8.66015625" defaultRowHeight="12.75" customHeight="false" zeroHeight="false" outlineLevelRow="0" outlineLevelCol="0"/>
  <cols>
    <col collapsed="false" customWidth="true" hidden="false" outlineLevel="0" max="1" min="1" style="0" width="12.29"/>
    <col collapsed="false" customWidth="true" hidden="false" outlineLevel="0" max="2" min="2" style="0" width="16.86"/>
    <col collapsed="false" customWidth="true" hidden="false" outlineLevel="0" max="3" min="3" style="0" width="11.14"/>
    <col collapsed="false" customWidth="true" hidden="false" outlineLevel="0" max="4" min="4" style="0" width="10.71"/>
    <col collapsed="false" customWidth="true" hidden="false" outlineLevel="0" max="5" min="5" style="0" width="11.43"/>
    <col collapsed="false" customWidth="true" hidden="false" outlineLevel="0" max="6" min="6" style="0" width="10.57"/>
    <col collapsed="false" customWidth="true" hidden="false" outlineLevel="0" max="7" min="7" style="0" width="11.43"/>
    <col collapsed="false" customWidth="true" hidden="false" outlineLevel="0" max="10" min="8" style="0" width="10.86"/>
    <col collapsed="false" customWidth="true" hidden="false" outlineLevel="0" max="11" min="11" style="0" width="5.57"/>
    <col collapsed="false" customWidth="true" hidden="false" outlineLevel="0" max="12" min="12" style="0" width="10.29"/>
    <col collapsed="false" customWidth="true" hidden="false" outlineLevel="0" max="13" min="13" style="0" width="6.71"/>
    <col collapsed="false" customWidth="true" hidden="false" outlineLevel="0" max="14" min="14" style="0" width="9.14"/>
  </cols>
  <sheetData>
    <row r="1" customFormat="false" ht="12.75" hidden="false" customHeight="false" outlineLevel="0" collapsed="false">
      <c r="A1" s="101"/>
      <c r="B1" s="50" t="s">
        <v>118</v>
      </c>
      <c r="C1" s="0" t="s">
        <v>119</v>
      </c>
      <c r="D1" s="3"/>
      <c r="E1" s="3"/>
      <c r="F1" s="3"/>
      <c r="G1" s="3"/>
      <c r="H1" s="3"/>
      <c r="I1" s="3"/>
      <c r="J1" s="3"/>
      <c r="K1" s="3"/>
    </row>
    <row r="2" customFormat="false" ht="28.35" hidden="false" customHeight="false" outlineLevel="0" collapsed="false">
      <c r="A2" s="102" t="s">
        <v>120</v>
      </c>
      <c r="C2" s="3"/>
      <c r="D2" s="3"/>
      <c r="E2" s="3"/>
      <c r="F2" s="3"/>
      <c r="G2" s="3" t="s">
        <v>121</v>
      </c>
      <c r="H2" s="3" t="s">
        <v>122</v>
      </c>
      <c r="I2" s="3"/>
    </row>
    <row r="3" customFormat="false" ht="12.75" hidden="false" customHeight="false" outlineLevel="0" collapsed="false">
      <c r="A3" s="103" t="s">
        <v>123</v>
      </c>
      <c r="B3" s="104" t="s">
        <v>124</v>
      </c>
      <c r="C3" s="105" t="s">
        <v>125</v>
      </c>
      <c r="D3" s="105" t="s">
        <v>33</v>
      </c>
      <c r="E3" s="105" t="s">
        <v>126</v>
      </c>
      <c r="F3" s="105" t="s">
        <v>127</v>
      </c>
      <c r="G3" s="105" t="s">
        <v>128</v>
      </c>
      <c r="H3" s="105"/>
      <c r="I3" s="105" t="s">
        <v>129</v>
      </c>
      <c r="J3" s="105" t="s">
        <v>130</v>
      </c>
      <c r="K3" s="105" t="s">
        <v>131</v>
      </c>
    </row>
    <row r="4" customFormat="false" ht="12.75" hidden="false" customHeight="false" outlineLevel="0" collapsed="false">
      <c r="A4" s="103"/>
      <c r="B4" s="104" t="s">
        <v>132</v>
      </c>
      <c r="C4" s="105"/>
      <c r="D4" s="105"/>
      <c r="E4" s="105"/>
      <c r="F4" s="105"/>
      <c r="G4" s="105"/>
      <c r="H4" s="105"/>
      <c r="I4" s="105"/>
      <c r="J4" s="105"/>
      <c r="K4" s="105"/>
    </row>
    <row r="5" customFormat="false" ht="12.75" hidden="false" customHeight="false" outlineLevel="0" collapsed="false">
      <c r="A5" s="106"/>
      <c r="B5" s="0" t="s">
        <v>133</v>
      </c>
      <c r="C5" s="57"/>
      <c r="D5" s="57"/>
      <c r="E5" s="3"/>
      <c r="F5" s="57"/>
      <c r="G5" s="57"/>
      <c r="H5" s="57"/>
      <c r="I5" s="57"/>
    </row>
    <row r="6" customFormat="false" ht="12.75" hidden="false" customHeight="false" outlineLevel="0" collapsed="false">
      <c r="A6" s="107" t="n">
        <v>44255</v>
      </c>
      <c r="B6" s="0" t="s">
        <v>134</v>
      </c>
      <c r="C6" s="57" t="n">
        <v>24000</v>
      </c>
      <c r="D6" s="57" t="n">
        <v>24000</v>
      </c>
      <c r="E6" s="3" t="n">
        <f aca="false">C6-D6</f>
        <v>0</v>
      </c>
      <c r="F6" s="57" t="n">
        <f aca="false">D6/12</f>
        <v>2000</v>
      </c>
      <c r="G6" s="57"/>
      <c r="H6" s="57"/>
      <c r="I6" s="57"/>
      <c r="J6" s="0" t="n">
        <v>2320</v>
      </c>
      <c r="K6" s="108" t="n">
        <f aca="false">D6/J6</f>
        <v>10.3448275862069</v>
      </c>
    </row>
    <row r="7" customFormat="false" ht="12.75" hidden="false" customHeight="false" outlineLevel="0" collapsed="false">
      <c r="A7" s="107" t="n">
        <v>44407</v>
      </c>
      <c r="B7" s="0" t="s">
        <v>135</v>
      </c>
      <c r="C7" s="57" t="n">
        <v>36000</v>
      </c>
      <c r="D7" s="57" t="n">
        <v>36000</v>
      </c>
      <c r="E7" s="3" t="n">
        <f aca="false">C7-D7</f>
        <v>0</v>
      </c>
      <c r="F7" s="57" t="n">
        <f aca="false">D7/12</f>
        <v>3000</v>
      </c>
      <c r="G7" s="57" t="n">
        <v>19.25</v>
      </c>
      <c r="H7" s="57" t="n">
        <f aca="false">F6*(100+G7)/100</f>
        <v>2385</v>
      </c>
      <c r="I7" s="57" t="n">
        <f aca="false">F7/F6-1</f>
        <v>0.5</v>
      </c>
      <c r="J7" s="0" t="n">
        <v>2830</v>
      </c>
      <c r="K7" s="108" t="n">
        <f aca="false">D7/J7</f>
        <v>12.7208480565371</v>
      </c>
    </row>
    <row r="8" customFormat="false" ht="12.75" hidden="false" customHeight="false" outlineLevel="0" collapsed="false">
      <c r="A8" s="109" t="n">
        <v>44772</v>
      </c>
      <c r="B8" s="0" t="s">
        <v>136</v>
      </c>
      <c r="C8" s="3" t="n">
        <v>60000</v>
      </c>
      <c r="D8" s="3" t="n">
        <v>60000</v>
      </c>
      <c r="E8" s="3" t="n">
        <f aca="false">C8-D8</f>
        <v>0</v>
      </c>
      <c r="F8" s="57" t="n">
        <f aca="false">D8/12</f>
        <v>5000</v>
      </c>
      <c r="G8" s="57" t="n">
        <v>80.21</v>
      </c>
      <c r="H8" s="57" t="n">
        <f aca="false">F7*(100+G8)/100</f>
        <v>5406.3</v>
      </c>
      <c r="I8" s="57" t="n">
        <f aca="false">F8/F7-1</f>
        <v>0.666666666666667</v>
      </c>
      <c r="J8" s="0" t="n">
        <v>5500</v>
      </c>
      <c r="K8" s="108" t="n">
        <f aca="false">D8/J8</f>
        <v>10.9090909090909</v>
      </c>
    </row>
    <row r="9" customFormat="false" ht="12.75" hidden="false" customHeight="false" outlineLevel="0" collapsed="false">
      <c r="A9" s="109" t="n">
        <v>45137</v>
      </c>
      <c r="B9" s="55" t="s">
        <v>137</v>
      </c>
      <c r="C9" s="3" t="n">
        <v>129000</v>
      </c>
      <c r="D9" s="3" t="n">
        <v>120500</v>
      </c>
      <c r="E9" s="3" t="n">
        <f aca="false">C9-D9</f>
        <v>8500</v>
      </c>
      <c r="F9" s="57" t="n">
        <f aca="false">C9/12</f>
        <v>10750</v>
      </c>
      <c r="G9" s="57" t="n">
        <f aca="false">58.94/2</f>
        <v>29.47</v>
      </c>
      <c r="H9" s="57" t="n">
        <f aca="false">F8*(100+(G9/2))/100</f>
        <v>5736.75</v>
      </c>
      <c r="I9" s="57" t="n">
        <f aca="false">F9/F8-1</f>
        <v>1.15</v>
      </c>
      <c r="J9" s="0" t="n">
        <v>11400</v>
      </c>
      <c r="K9" s="108" t="n">
        <f aca="false">D9/J9</f>
        <v>10.5701754385965</v>
      </c>
    </row>
    <row r="10" customFormat="false" ht="12.75" hidden="false" customHeight="false" outlineLevel="0" collapsed="false">
      <c r="A10" s="109" t="n">
        <v>45701</v>
      </c>
      <c r="B10" s="0" t="s">
        <v>138</v>
      </c>
      <c r="C10" s="3" t="n">
        <f aca="false">J10*K10+E9</f>
        <v>229540</v>
      </c>
      <c r="D10" s="3" t="n">
        <f aca="false">D52</f>
        <v>120000</v>
      </c>
      <c r="E10" s="3" t="n">
        <f aca="false">C10-D10</f>
        <v>109540</v>
      </c>
      <c r="F10" s="0" t="n">
        <f aca="false">ROUND((C10-E9)/10,)</f>
        <v>22104</v>
      </c>
      <c r="G10" s="57" t="n">
        <v>75</v>
      </c>
      <c r="H10" s="57" t="n">
        <f aca="false">F9*(100+(G10/2))/100</f>
        <v>14781.25</v>
      </c>
      <c r="I10" s="57" t="n">
        <f aca="false">F10/F9-1</f>
        <v>1.05618604651163</v>
      </c>
      <c r="J10" s="0" t="n">
        <v>22104</v>
      </c>
      <c r="K10" s="108" t="n">
        <v>10</v>
      </c>
    </row>
    <row r="11" customFormat="false" ht="12.75" hidden="false" customHeight="false" outlineLevel="0" collapsed="false">
      <c r="A11" s="109"/>
      <c r="C11" s="3"/>
      <c r="D11" s="3"/>
      <c r="E11" s="3"/>
    </row>
    <row r="12" customFormat="false" ht="12.75" hidden="false" customHeight="false" outlineLevel="0" collapsed="false">
      <c r="A12" s="109"/>
      <c r="E12" s="3"/>
    </row>
    <row r="13" customFormat="false" ht="12.75" hidden="false" customHeight="false" outlineLevel="0" collapsed="false">
      <c r="A13" s="109"/>
      <c r="E13" s="3"/>
    </row>
    <row r="14" customFormat="false" ht="12.75" hidden="false" customHeight="false" outlineLevel="0" collapsed="false">
      <c r="A14" s="0" t="s">
        <v>139</v>
      </c>
    </row>
    <row r="15" customFormat="false" ht="12.75" hidden="false" customHeight="false" outlineLevel="0" collapsed="false">
      <c r="A15" s="0" t="s">
        <v>140</v>
      </c>
    </row>
    <row r="16" customFormat="false" ht="12.75" hidden="false" customHeight="false" outlineLevel="0" collapsed="false">
      <c r="A16" s="0" t="s">
        <v>141</v>
      </c>
    </row>
    <row r="17" customFormat="false" ht="12.75" hidden="false" customHeight="false" outlineLevel="0" collapsed="false">
      <c r="A17" s="55" t="n">
        <v>45168</v>
      </c>
      <c r="B17" s="0" t="s">
        <v>142</v>
      </c>
    </row>
    <row r="18" customFormat="false" ht="12.75" hidden="false" customHeight="false" outlineLevel="0" collapsed="false">
      <c r="A18" s="0" t="s">
        <v>143</v>
      </c>
    </row>
    <row r="19" customFormat="false" ht="12.75" hidden="false" customHeight="false" outlineLevel="0" collapsed="false">
      <c r="A19" s="0" t="s">
        <v>144</v>
      </c>
    </row>
    <row r="20" customFormat="false" ht="12.75" hidden="false" customHeight="false" outlineLevel="0" collapsed="false">
      <c r="A20" s="0" t="s">
        <v>145</v>
      </c>
    </row>
    <row r="21" customFormat="false" ht="12.75" hidden="false" customHeight="false" outlineLevel="0" collapsed="false">
      <c r="A21" s="0" t="s">
        <v>146</v>
      </c>
    </row>
    <row r="22" customFormat="false" ht="12.75" hidden="false" customHeight="false" outlineLevel="0" collapsed="false">
      <c r="A22" s="0" t="s">
        <v>147</v>
      </c>
    </row>
    <row r="23" customFormat="false" ht="12.75" hidden="false" customHeight="false" outlineLevel="0" collapsed="false">
      <c r="A23" s="0" t="s">
        <v>148</v>
      </c>
    </row>
    <row r="24" customFormat="false" ht="12.75" hidden="false" customHeight="false" outlineLevel="0" collapsed="false">
      <c r="A24" s="0" t="s">
        <v>149</v>
      </c>
    </row>
    <row r="25" customFormat="false" ht="12.75" hidden="false" customHeight="false" outlineLevel="0" collapsed="false">
      <c r="A25" s="0" t="s">
        <v>150</v>
      </c>
    </row>
    <row r="26" customFormat="false" ht="12.75" hidden="false" customHeight="false" outlineLevel="0" collapsed="false">
      <c r="A26" s="110" t="n">
        <v>45350</v>
      </c>
      <c r="B26" s="0" t="s">
        <v>151</v>
      </c>
    </row>
    <row r="27" customFormat="false" ht="12.75" hidden="false" customHeight="false" outlineLevel="0" collapsed="false">
      <c r="A27" s="111"/>
      <c r="B27" s="0" t="s">
        <v>152</v>
      </c>
    </row>
    <row r="28" customFormat="false" ht="12.75" hidden="false" customHeight="false" outlineLevel="0" collapsed="false">
      <c r="A28" s="111"/>
      <c r="B28" s="0" t="s">
        <v>153</v>
      </c>
    </row>
    <row r="29" customFormat="false" ht="12.75" hidden="false" customHeight="false" outlineLevel="0" collapsed="false">
      <c r="A29" s="111"/>
      <c r="B29" s="0" t="s">
        <v>154</v>
      </c>
    </row>
    <row r="30" customFormat="false" ht="12.75" hidden="false" customHeight="false" outlineLevel="0" collapsed="false">
      <c r="B30" s="0" t="s">
        <v>155</v>
      </c>
    </row>
    <row r="31" customFormat="false" ht="12.75" hidden="false" customHeight="false" outlineLevel="0" collapsed="false">
      <c r="B31" s="0" t="s">
        <v>156</v>
      </c>
    </row>
    <row r="33" customFormat="false" ht="12.75" hidden="false" customHeight="false" outlineLevel="0" collapsed="false">
      <c r="A33" s="0" t="s">
        <v>157</v>
      </c>
      <c r="C33" s="0" t="n">
        <v>22104</v>
      </c>
      <c r="D33" s="0" t="n">
        <v>12</v>
      </c>
      <c r="G33" s="0" t="n">
        <f aca="false">D33*C33</f>
        <v>265248</v>
      </c>
    </row>
    <row r="35" customFormat="false" ht="12.75" hidden="false" customHeight="false" outlineLevel="0" collapsed="false">
      <c r="C35" s="0" t="s">
        <v>158</v>
      </c>
      <c r="D35" s="0" t="s">
        <v>159</v>
      </c>
      <c r="E35" s="0" t="s">
        <v>126</v>
      </c>
    </row>
    <row r="37" customFormat="false" ht="12.75" hidden="false" customHeight="false" outlineLevel="0" collapsed="false">
      <c r="A37" s="0" t="s">
        <v>160</v>
      </c>
    </row>
    <row r="38" customFormat="false" ht="12.75" hidden="false" customHeight="false" outlineLevel="0" collapsed="false">
      <c r="G38" s="3" t="n">
        <f aca="false">G33-D38</f>
        <v>265248</v>
      </c>
    </row>
    <row r="39" customFormat="false" ht="12.75" hidden="false" customHeight="false" outlineLevel="0" collapsed="false">
      <c r="A39" s="55" t="n">
        <v>45534</v>
      </c>
      <c r="B39" s="112"/>
      <c r="C39" s="0" t="n">
        <v>15000</v>
      </c>
      <c r="D39" s="0" t="n">
        <v>15000</v>
      </c>
      <c r="E39" s="3" t="n">
        <f aca="false">C39-D39</f>
        <v>0</v>
      </c>
      <c r="F39" s="3"/>
      <c r="G39" s="3" t="n">
        <f aca="false">G33-D39</f>
        <v>250248</v>
      </c>
    </row>
    <row r="40" customFormat="false" ht="12.75" hidden="false" customHeight="false" outlineLevel="0" collapsed="false">
      <c r="A40" s="111" t="n">
        <v>45565</v>
      </c>
      <c r="C40" s="0" t="n">
        <f aca="false">C39</f>
        <v>15000</v>
      </c>
      <c r="D40" s="0" t="n">
        <v>15000</v>
      </c>
      <c r="E40" s="3" t="n">
        <f aca="false">C40-D40+E39</f>
        <v>0</v>
      </c>
      <c r="G40" s="3" t="n">
        <f aca="false">G39-D40</f>
        <v>235248</v>
      </c>
    </row>
    <row r="41" customFormat="false" ht="12.75" hidden="false" customHeight="false" outlineLevel="0" collapsed="false">
      <c r="A41" s="111" t="n">
        <v>45595</v>
      </c>
      <c r="C41" s="0" t="n">
        <f aca="false">C40</f>
        <v>15000</v>
      </c>
      <c r="D41" s="0" t="n">
        <v>15000</v>
      </c>
      <c r="E41" s="3" t="n">
        <f aca="false">C41-D41+E40</f>
        <v>0</v>
      </c>
      <c r="G41" s="3" t="n">
        <f aca="false">G40-D41</f>
        <v>220248</v>
      </c>
    </row>
    <row r="42" customFormat="false" ht="12.75" hidden="false" customHeight="false" outlineLevel="0" collapsed="false">
      <c r="A42" s="111" t="n">
        <v>45626</v>
      </c>
      <c r="C42" s="0" t="n">
        <f aca="false">C41</f>
        <v>15000</v>
      </c>
      <c r="D42" s="0" t="n">
        <v>15000</v>
      </c>
      <c r="E42" s="3" t="n">
        <f aca="false">C42-D42+E41</f>
        <v>0</v>
      </c>
      <c r="G42" s="3" t="n">
        <f aca="false">G41-D42</f>
        <v>205248</v>
      </c>
    </row>
    <row r="43" customFormat="false" ht="12.75" hidden="false" customHeight="false" outlineLevel="0" collapsed="false">
      <c r="A43" s="111" t="n">
        <v>45656</v>
      </c>
      <c r="C43" s="0" t="n">
        <f aca="false">C42</f>
        <v>15000</v>
      </c>
      <c r="D43" s="0" t="n">
        <v>15000</v>
      </c>
      <c r="E43" s="3" t="n">
        <f aca="false">C43-D43+E42</f>
        <v>0</v>
      </c>
      <c r="G43" s="3" t="n">
        <f aca="false">G42-D43</f>
        <v>190248</v>
      </c>
    </row>
    <row r="44" customFormat="false" ht="12.75" hidden="false" customHeight="false" outlineLevel="0" collapsed="false">
      <c r="A44" s="113" t="n">
        <v>45687</v>
      </c>
      <c r="C44" s="0" t="n">
        <f aca="false">C43</f>
        <v>15000</v>
      </c>
      <c r="D44" s="0" t="n">
        <v>15000</v>
      </c>
      <c r="E44" s="3" t="n">
        <f aca="false">C44-D44+E43</f>
        <v>0</v>
      </c>
      <c r="G44" s="3" t="n">
        <f aca="false">G43-D44</f>
        <v>175248</v>
      </c>
    </row>
    <row r="45" customFormat="false" ht="12.75" hidden="false" customHeight="false" outlineLevel="0" collapsed="false">
      <c r="A45" s="114" t="n">
        <v>45716</v>
      </c>
      <c r="B45" s="115"/>
      <c r="C45" s="0" t="n">
        <f aca="false">G50/6</f>
        <v>24208</v>
      </c>
      <c r="D45" s="115" t="n">
        <v>15000</v>
      </c>
      <c r="E45" s="116" t="n">
        <f aca="false">C45-D45+E44</f>
        <v>9208</v>
      </c>
      <c r="F45" s="115"/>
      <c r="G45" s="3" t="n">
        <f aca="false">G44-D45</f>
        <v>160248</v>
      </c>
    </row>
    <row r="46" customFormat="false" ht="12.75" hidden="false" customHeight="false" outlineLevel="0" collapsed="false">
      <c r="A46" s="113" t="n">
        <v>45721</v>
      </c>
      <c r="B46" s="0" t="s">
        <v>161</v>
      </c>
      <c r="C46" s="0" t="n">
        <f aca="false">C45</f>
        <v>24208</v>
      </c>
      <c r="D46" s="0" t="n">
        <v>15000</v>
      </c>
      <c r="E46" s="3" t="n">
        <f aca="false">C46-D46+E45</f>
        <v>18416</v>
      </c>
      <c r="G46" s="3" t="n">
        <f aca="false">G45-D46</f>
        <v>145248</v>
      </c>
    </row>
    <row r="47" customFormat="false" ht="12.75" hidden="false" customHeight="false" outlineLevel="0" collapsed="false">
      <c r="A47" s="113" t="n">
        <v>45777</v>
      </c>
      <c r="C47" s="0" t="n">
        <f aca="false">C46</f>
        <v>24208</v>
      </c>
      <c r="E47" s="3" t="n">
        <f aca="false">C47-D47+E46</f>
        <v>42624</v>
      </c>
      <c r="G47" s="3" t="n">
        <f aca="false">G46-D47</f>
        <v>145248</v>
      </c>
    </row>
    <row r="48" customFormat="false" ht="12.75" hidden="false" customHeight="false" outlineLevel="0" collapsed="false">
      <c r="A48" s="113" t="n">
        <v>45807</v>
      </c>
      <c r="C48" s="0" t="n">
        <f aca="false">C47</f>
        <v>24208</v>
      </c>
      <c r="E48" s="3" t="n">
        <f aca="false">C48-D48+E47</f>
        <v>66832</v>
      </c>
      <c r="G48" s="3" t="n">
        <f aca="false">G47-D48</f>
        <v>145248</v>
      </c>
    </row>
    <row r="49" customFormat="false" ht="12.75" hidden="false" customHeight="false" outlineLevel="0" collapsed="false">
      <c r="A49" s="113" t="n">
        <v>45838</v>
      </c>
      <c r="C49" s="0" t="n">
        <f aca="false">C48</f>
        <v>24208</v>
      </c>
      <c r="E49" s="3" t="n">
        <f aca="false">C49-D49+E48</f>
        <v>91040</v>
      </c>
      <c r="G49" s="3" t="n">
        <f aca="false">G48-D49</f>
        <v>145248</v>
      </c>
    </row>
    <row r="50" customFormat="false" ht="12.75" hidden="false" customHeight="false" outlineLevel="0" collapsed="false">
      <c r="A50" s="113" t="n">
        <v>45868</v>
      </c>
      <c r="C50" s="0" t="n">
        <f aca="false">C49</f>
        <v>24208</v>
      </c>
      <c r="E50" s="3" t="n">
        <f aca="false">C50-D50+E49</f>
        <v>115248</v>
      </c>
      <c r="G50" s="3" t="n">
        <f aca="false">G49-D50</f>
        <v>145248</v>
      </c>
    </row>
    <row r="52" customFormat="false" ht="12.75" hidden="false" customHeight="false" outlineLevel="0" collapsed="false">
      <c r="B52" s="0" t="s">
        <v>162</v>
      </c>
      <c r="C52" s="0" t="n">
        <f aca="false">SUM(C39:C51)</f>
        <v>235248</v>
      </c>
      <c r="D52" s="0" t="n">
        <f aca="false">SUM(D39:D51)</f>
        <v>120000</v>
      </c>
    </row>
    <row r="53" customFormat="false" ht="12.75" hidden="false" customHeight="false" outlineLevel="0" collapsed="false">
      <c r="B53" s="0" t="s">
        <v>163</v>
      </c>
      <c r="C53" s="0" t="n">
        <f aca="false">C52/12</f>
        <v>19604</v>
      </c>
      <c r="D53" s="0" t="n">
        <f aca="false">D52/12</f>
        <v>10000</v>
      </c>
    </row>
    <row r="56" customFormat="false" ht="12.75" hidden="false" customHeight="false" outlineLevel="0" collapsed="false">
      <c r="C56" s="0" t="s">
        <v>158</v>
      </c>
      <c r="D56" s="0" t="s">
        <v>159</v>
      </c>
      <c r="E56" s="0" t="s">
        <v>126</v>
      </c>
    </row>
    <row r="57" customFormat="false" ht="12.75" hidden="false" customHeight="false" outlineLevel="0" collapsed="false">
      <c r="A57" s="0" t="s">
        <v>164</v>
      </c>
      <c r="C57" s="0" t="n">
        <v>78000</v>
      </c>
    </row>
    <row r="58" customFormat="false" ht="12.75" hidden="false" customHeight="false" outlineLevel="0" collapsed="false">
      <c r="A58" s="0" t="s">
        <v>165</v>
      </c>
    </row>
    <row r="60" customFormat="false" ht="12.75" hidden="false" customHeight="false" outlineLevel="0" collapsed="false">
      <c r="A60" s="55" t="n">
        <v>45168</v>
      </c>
      <c r="B60" s="112" t="s">
        <v>166</v>
      </c>
      <c r="C60" s="0" t="n">
        <v>6500</v>
      </c>
      <c r="D60" s="0" t="n">
        <v>6500</v>
      </c>
      <c r="E60" s="3" t="n">
        <f aca="false">C60-D60</f>
        <v>0</v>
      </c>
      <c r="F60" s="3"/>
      <c r="G60" s="3" t="n">
        <f aca="false">D60-F60</f>
        <v>6500</v>
      </c>
      <c r="H60" s="3"/>
      <c r="I60" s="3"/>
      <c r="J60" s="3"/>
      <c r="K60" s="3"/>
    </row>
    <row r="61" customFormat="false" ht="12.75" hidden="false" customHeight="false" outlineLevel="0" collapsed="false">
      <c r="A61" s="117" t="n">
        <v>45199</v>
      </c>
      <c r="B61" s="26" t="s">
        <v>167</v>
      </c>
      <c r="C61" s="26" t="n">
        <v>6500</v>
      </c>
      <c r="D61" s="26" t="n">
        <v>6500</v>
      </c>
      <c r="E61" s="27" t="n">
        <f aca="false">C61-D61+E60</f>
        <v>0</v>
      </c>
      <c r="F61" s="26"/>
      <c r="G61" s="27" t="n">
        <f aca="false">D61-F61</f>
        <v>6500</v>
      </c>
      <c r="H61" s="3"/>
      <c r="I61" s="3"/>
      <c r="J61" s="3"/>
      <c r="K61" s="3"/>
    </row>
    <row r="62" customFormat="false" ht="12.75" hidden="false" customHeight="false" outlineLevel="0" collapsed="false">
      <c r="A62" s="111" t="n">
        <v>45229</v>
      </c>
      <c r="B62" s="0" t="s">
        <v>168</v>
      </c>
      <c r="C62" s="0" t="n">
        <v>6500</v>
      </c>
      <c r="D62" s="0" t="n">
        <v>6500</v>
      </c>
      <c r="E62" s="3" t="n">
        <f aca="false">C62-D62+E61</f>
        <v>0</v>
      </c>
      <c r="G62" s="3" t="n">
        <f aca="false">D62-F62</f>
        <v>6500</v>
      </c>
      <c r="H62" s="3"/>
      <c r="I62" s="3"/>
      <c r="J62" s="3"/>
      <c r="K62" s="3"/>
    </row>
    <row r="63" customFormat="false" ht="12.75" hidden="false" customHeight="false" outlineLevel="0" collapsed="false">
      <c r="A63" s="111" t="n">
        <v>45260</v>
      </c>
      <c r="B63" s="0" t="s">
        <v>168</v>
      </c>
      <c r="C63" s="0" t="n">
        <v>6500</v>
      </c>
      <c r="D63" s="0" t="n">
        <v>6500</v>
      </c>
      <c r="E63" s="3" t="n">
        <f aca="false">C63-D63+E62</f>
        <v>0</v>
      </c>
      <c r="G63" s="3" t="n">
        <f aca="false">D63-F63</f>
        <v>6500</v>
      </c>
      <c r="H63" s="3"/>
      <c r="I63" s="3"/>
      <c r="J63" s="3"/>
      <c r="K63" s="3"/>
    </row>
    <row r="64" customFormat="false" ht="12.75" hidden="false" customHeight="false" outlineLevel="0" collapsed="false">
      <c r="A64" s="111" t="n">
        <v>45290</v>
      </c>
      <c r="B64" s="0" t="s">
        <v>168</v>
      </c>
      <c r="C64" s="0" t="n">
        <v>6500</v>
      </c>
      <c r="D64" s="0" t="n">
        <v>6500</v>
      </c>
      <c r="E64" s="3" t="n">
        <f aca="false">C64-D64+E63</f>
        <v>0</v>
      </c>
      <c r="G64" s="3" t="n">
        <f aca="false">D64-F64</f>
        <v>6500</v>
      </c>
      <c r="H64" s="3"/>
      <c r="I64" s="3"/>
      <c r="J64" s="3"/>
      <c r="K64" s="3"/>
    </row>
    <row r="65" customFormat="false" ht="12.75" hidden="false" customHeight="false" outlineLevel="0" collapsed="false">
      <c r="A65" s="113" t="n">
        <v>45321</v>
      </c>
      <c r="C65" s="0" t="n">
        <v>6500</v>
      </c>
      <c r="D65" s="0" t="n">
        <v>6500</v>
      </c>
      <c r="E65" s="3" t="n">
        <f aca="false">C65-D65+E64</f>
        <v>0</v>
      </c>
      <c r="G65" s="3" t="n">
        <f aca="false">D65-F65</f>
        <v>6500</v>
      </c>
      <c r="H65" s="3"/>
      <c r="I65" s="3"/>
      <c r="J65" s="3"/>
      <c r="K65" s="3"/>
    </row>
    <row r="66" customFormat="false" ht="12.75" hidden="false" customHeight="false" outlineLevel="0" collapsed="false">
      <c r="A66" s="114" t="n">
        <v>45350</v>
      </c>
      <c r="B66" s="115"/>
      <c r="C66" s="115" t="n">
        <v>15000</v>
      </c>
      <c r="D66" s="115" t="n">
        <v>6500</v>
      </c>
      <c r="E66" s="116" t="n">
        <f aca="false">C66-D66+E65</f>
        <v>8500</v>
      </c>
      <c r="F66" s="115"/>
      <c r="G66" s="116" t="n">
        <f aca="false">D66-F66</f>
        <v>6500</v>
      </c>
      <c r="H66" s="3"/>
      <c r="I66" s="3"/>
      <c r="J66" s="3"/>
      <c r="K66" s="3"/>
    </row>
    <row r="67" customFormat="false" ht="12.75" hidden="false" customHeight="false" outlineLevel="0" collapsed="false">
      <c r="A67" s="113" t="n">
        <v>45381</v>
      </c>
      <c r="C67" s="0" t="n">
        <v>15000</v>
      </c>
      <c r="D67" s="0" t="n">
        <v>15000</v>
      </c>
      <c r="E67" s="3" t="n">
        <f aca="false">C67-D67+E66</f>
        <v>8500</v>
      </c>
      <c r="G67" s="3" t="n">
        <f aca="false">D67-F67</f>
        <v>15000</v>
      </c>
      <c r="H67" s="3"/>
      <c r="I67" s="3"/>
      <c r="J67" s="3"/>
      <c r="K67" s="3"/>
    </row>
    <row r="68" customFormat="false" ht="12.75" hidden="false" customHeight="false" outlineLevel="0" collapsed="false">
      <c r="A68" s="113" t="n">
        <v>45412</v>
      </c>
      <c r="C68" s="0" t="n">
        <v>15000</v>
      </c>
      <c r="D68" s="0" t="n">
        <v>15000</v>
      </c>
      <c r="E68" s="3" t="n">
        <f aca="false">C68-D68+E67</f>
        <v>8500</v>
      </c>
      <c r="G68" s="3" t="n">
        <f aca="false">D68-F68</f>
        <v>15000</v>
      </c>
      <c r="H68" s="3"/>
      <c r="I68" s="3"/>
      <c r="J68" s="3"/>
      <c r="K68" s="3"/>
    </row>
    <row r="69" customFormat="false" ht="12.75" hidden="false" customHeight="false" outlineLevel="0" collapsed="false">
      <c r="A69" s="113" t="n">
        <v>45442</v>
      </c>
      <c r="C69" s="0" t="n">
        <v>15000</v>
      </c>
      <c r="D69" s="0" t="n">
        <v>15000</v>
      </c>
      <c r="E69" s="3" t="n">
        <f aca="false">C69-D69+E68</f>
        <v>8500</v>
      </c>
      <c r="G69" s="3" t="n">
        <f aca="false">D69-F69</f>
        <v>15000</v>
      </c>
      <c r="H69" s="3"/>
      <c r="I69" s="3"/>
      <c r="J69" s="3"/>
      <c r="K69" s="3"/>
    </row>
    <row r="70" customFormat="false" ht="12.75" hidden="false" customHeight="false" outlineLevel="0" collapsed="false">
      <c r="A70" s="113" t="n">
        <v>45473</v>
      </c>
      <c r="C70" s="0" t="n">
        <v>15000</v>
      </c>
      <c r="D70" s="0" t="n">
        <v>15000</v>
      </c>
      <c r="E70" s="3" t="n">
        <f aca="false">C70-D70+E69</f>
        <v>8500</v>
      </c>
      <c r="G70" s="3" t="n">
        <f aca="false">D70-F70</f>
        <v>15000</v>
      </c>
      <c r="H70" s="3"/>
      <c r="I70" s="3"/>
      <c r="J70" s="3"/>
      <c r="K70" s="3"/>
    </row>
    <row r="71" customFormat="false" ht="12.75" hidden="false" customHeight="false" outlineLevel="0" collapsed="false">
      <c r="A71" s="113" t="n">
        <v>45503</v>
      </c>
      <c r="C71" s="0" t="n">
        <v>15000</v>
      </c>
      <c r="D71" s="0" t="n">
        <v>15000</v>
      </c>
      <c r="E71" s="3" t="n">
        <f aca="false">C71-D71+E70</f>
        <v>8500</v>
      </c>
      <c r="G71" s="3" t="n">
        <f aca="false">D71-F71</f>
        <v>15000</v>
      </c>
      <c r="H71" s="3"/>
      <c r="I71" s="3"/>
      <c r="J71" s="3"/>
      <c r="K71" s="3"/>
    </row>
    <row r="73" customFormat="false" ht="12.75" hidden="false" customHeight="false" outlineLevel="0" collapsed="false">
      <c r="B73" s="0" t="s">
        <v>162</v>
      </c>
      <c r="C73" s="0" t="n">
        <f aca="false">SUM(C60:C72)</f>
        <v>129000</v>
      </c>
      <c r="D73" s="0" t="n">
        <f aca="false">SUM(D60:D72)</f>
        <v>120500</v>
      </c>
    </row>
    <row r="74" customFormat="false" ht="12.75" hidden="false" customHeight="false" outlineLevel="0" collapsed="false">
      <c r="B74" s="0" t="s">
        <v>163</v>
      </c>
      <c r="D74" s="0" t="n">
        <f aca="false">D73/12</f>
        <v>10041.6666666667</v>
      </c>
    </row>
    <row r="83" customFormat="false" ht="12.75" hidden="false" customHeight="false" outlineLevel="0" collapsed="false">
      <c r="A83" s="103" t="s">
        <v>123</v>
      </c>
      <c r="B83" s="104" t="s">
        <v>124</v>
      </c>
      <c r="C83" s="105" t="s">
        <v>169</v>
      </c>
      <c r="D83" s="105" t="s">
        <v>33</v>
      </c>
      <c r="E83" s="105" t="s">
        <v>126</v>
      </c>
      <c r="F83" s="105" t="s">
        <v>170</v>
      </c>
      <c r="G83" s="105" t="s">
        <v>171</v>
      </c>
      <c r="H83" s="105"/>
      <c r="I83" s="105"/>
      <c r="J83" s="105"/>
      <c r="K83" s="105"/>
    </row>
    <row r="84" customFormat="false" ht="12.75" hidden="false" customHeight="false" outlineLevel="0" collapsed="false">
      <c r="A84" s="103" t="n">
        <v>2021</v>
      </c>
      <c r="B84" s="0" t="s">
        <v>172</v>
      </c>
      <c r="C84" s="3" t="n">
        <v>24000</v>
      </c>
      <c r="D84" s="3"/>
      <c r="E84" s="3" t="n">
        <f aca="false">C84-D84</f>
        <v>24000</v>
      </c>
      <c r="F84" s="3"/>
      <c r="G84" s="3" t="n">
        <f aca="false">D84-F84</f>
        <v>0</v>
      </c>
      <c r="H84" s="3"/>
      <c r="I84" s="3"/>
      <c r="J84" s="3"/>
      <c r="K84" s="3"/>
    </row>
    <row r="85" customFormat="false" ht="12.75" hidden="false" customHeight="false" outlineLevel="0" collapsed="false">
      <c r="A85" s="109"/>
      <c r="B85" s="55"/>
      <c r="C85" s="3"/>
      <c r="D85" s="3" t="n">
        <v>24000</v>
      </c>
      <c r="E85" s="3" t="n">
        <f aca="false">E84-D85</f>
        <v>0</v>
      </c>
      <c r="F85" s="3"/>
      <c r="G85" s="3" t="n">
        <f aca="false">D85-F85</f>
        <v>24000</v>
      </c>
      <c r="H85" s="3"/>
      <c r="I85" s="3"/>
      <c r="J85" s="3"/>
      <c r="K85" s="3"/>
    </row>
    <row r="86" customFormat="false" ht="12.75" hidden="false" customHeight="false" outlineLevel="0" collapsed="false">
      <c r="B86" s="0" t="s">
        <v>173</v>
      </c>
      <c r="C86" s="3"/>
      <c r="D86" s="3"/>
      <c r="E86" s="3"/>
      <c r="F86" s="3"/>
      <c r="G86" s="3"/>
      <c r="H86" s="3"/>
      <c r="I86" s="3"/>
      <c r="J86" s="3"/>
      <c r="K86" s="3"/>
    </row>
    <row r="90" customFormat="false" ht="12.75" hidden="false" customHeight="false" outlineLevel="0" collapsed="false">
      <c r="A90" s="103" t="s">
        <v>123</v>
      </c>
      <c r="B90" s="104" t="s">
        <v>124</v>
      </c>
      <c r="C90" s="105" t="s">
        <v>169</v>
      </c>
      <c r="D90" s="105" t="s">
        <v>33</v>
      </c>
      <c r="E90" s="105" t="s">
        <v>126</v>
      </c>
      <c r="F90" s="105" t="s">
        <v>170</v>
      </c>
      <c r="G90" s="105" t="s">
        <v>171</v>
      </c>
      <c r="H90" s="105"/>
      <c r="I90" s="105"/>
      <c r="J90" s="105"/>
      <c r="K90" s="105"/>
    </row>
    <row r="91" customFormat="false" ht="12.75" hidden="false" customHeight="false" outlineLevel="0" collapsed="false">
      <c r="A91" s="103" t="n">
        <v>2022</v>
      </c>
      <c r="B91" s="0" t="s">
        <v>172</v>
      </c>
      <c r="C91" s="3" t="n">
        <v>36000</v>
      </c>
      <c r="D91" s="3"/>
      <c r="E91" s="3" t="n">
        <f aca="false">C91-D91</f>
        <v>36000</v>
      </c>
      <c r="F91" s="3"/>
      <c r="G91" s="3" t="n">
        <f aca="false">D91-F91</f>
        <v>0</v>
      </c>
      <c r="H91" s="3"/>
      <c r="I91" s="3"/>
      <c r="J91" s="3"/>
      <c r="K91" s="3"/>
    </row>
    <row r="92" customFormat="false" ht="12.75" hidden="false" customHeight="false" outlineLevel="0" collapsed="false">
      <c r="A92" s="109"/>
      <c r="B92" s="55"/>
      <c r="C92" s="3"/>
      <c r="D92" s="3"/>
      <c r="E92" s="3" t="n">
        <f aca="false">E91-D92</f>
        <v>36000</v>
      </c>
      <c r="F92" s="3"/>
      <c r="G92" s="3" t="n">
        <f aca="false">D92-F92</f>
        <v>0</v>
      </c>
      <c r="H92" s="3"/>
      <c r="I92" s="3"/>
      <c r="J92" s="3"/>
      <c r="K92" s="3"/>
    </row>
    <row r="93" customFormat="false" ht="12.75" hidden="false" customHeight="false" outlineLevel="0" collapsed="false">
      <c r="B93" s="0" t="s">
        <v>174</v>
      </c>
      <c r="C93" s="3"/>
      <c r="D93" s="3"/>
      <c r="E93" s="3" t="n">
        <f aca="false">E92-D93</f>
        <v>36000</v>
      </c>
      <c r="F93" s="3"/>
      <c r="G93" s="3" t="n">
        <f aca="false">D93-F93</f>
        <v>0</v>
      </c>
      <c r="H93" s="3"/>
      <c r="I93" s="3"/>
      <c r="J93" s="3"/>
      <c r="K93" s="3"/>
    </row>
    <row r="94" customFormat="false" ht="12.75" hidden="false" customHeight="false" outlineLevel="0" collapsed="false">
      <c r="A94" s="109"/>
      <c r="B94" s="55"/>
      <c r="C94" s="3"/>
      <c r="D94" s="3"/>
      <c r="E94" s="3" t="n">
        <f aca="false">E93-D94</f>
        <v>36000</v>
      </c>
      <c r="F94" s="3"/>
      <c r="G94" s="3" t="n">
        <f aca="false">D94-F94</f>
        <v>0</v>
      </c>
      <c r="H94" s="3"/>
      <c r="I94" s="3"/>
      <c r="J94" s="3"/>
      <c r="K94" s="3"/>
    </row>
    <row r="95" customFormat="false" ht="12.75" hidden="false" customHeight="false" outlineLevel="0" collapsed="false">
      <c r="A95" s="109" t="n">
        <v>44438</v>
      </c>
      <c r="B95" s="55" t="s">
        <v>175</v>
      </c>
      <c r="C95" s="3" t="n">
        <v>2000</v>
      </c>
      <c r="D95" s="3" t="n">
        <v>0</v>
      </c>
      <c r="E95" s="3" t="n">
        <f aca="false">E94-D95</f>
        <v>36000</v>
      </c>
      <c r="F95" s="3"/>
      <c r="G95" s="3" t="n">
        <f aca="false">D95-F95</f>
        <v>0</v>
      </c>
      <c r="H95" s="3"/>
      <c r="I95" s="3"/>
      <c r="J95" s="3"/>
      <c r="K95" s="3"/>
    </row>
    <row r="96" customFormat="false" ht="12.75" hidden="false" customHeight="false" outlineLevel="0" collapsed="false">
      <c r="A96" s="109" t="n">
        <v>44469</v>
      </c>
      <c r="B96" s="55" t="s">
        <v>175</v>
      </c>
      <c r="C96" s="3" t="n">
        <v>2000</v>
      </c>
      <c r="D96" s="3" t="n">
        <v>4000</v>
      </c>
      <c r="E96" s="3" t="n">
        <f aca="false">E95-D96</f>
        <v>32000</v>
      </c>
      <c r="F96" s="3"/>
      <c r="G96" s="3" t="n">
        <f aca="false">D96-F96</f>
        <v>4000</v>
      </c>
      <c r="H96" s="3"/>
      <c r="I96" s="3"/>
      <c r="J96" s="3"/>
      <c r="K96" s="3"/>
    </row>
    <row r="97" customFormat="false" ht="12.75" hidden="false" customHeight="false" outlineLevel="0" collapsed="false">
      <c r="A97" s="109" t="n">
        <v>44499</v>
      </c>
      <c r="B97" s="0" t="s">
        <v>175</v>
      </c>
      <c r="C97" s="3" t="n">
        <v>2000</v>
      </c>
      <c r="D97" s="3" t="n">
        <v>2000</v>
      </c>
      <c r="E97" s="3" t="n">
        <f aca="false">E96-D97</f>
        <v>30000</v>
      </c>
      <c r="F97" s="3"/>
      <c r="G97" s="3" t="n">
        <f aca="false">D97-F97</f>
        <v>2000</v>
      </c>
      <c r="H97" s="3"/>
      <c r="I97" s="3"/>
      <c r="J97" s="3"/>
      <c r="K97" s="3"/>
    </row>
    <row r="98" customFormat="false" ht="12.75" hidden="false" customHeight="false" outlineLevel="0" collapsed="false">
      <c r="A98" s="109" t="n">
        <v>44530</v>
      </c>
      <c r="B98" s="0" t="s">
        <v>176</v>
      </c>
      <c r="C98" s="3" t="n">
        <v>2000</v>
      </c>
      <c r="D98" s="3" t="n">
        <v>2000</v>
      </c>
      <c r="E98" s="3" t="n">
        <f aca="false">E97-D98</f>
        <v>28000</v>
      </c>
      <c r="F98" s="3"/>
      <c r="G98" s="3" t="n">
        <f aca="false">D98-F98</f>
        <v>2000</v>
      </c>
      <c r="H98" s="3"/>
      <c r="I98" s="3"/>
      <c r="J98" s="3"/>
      <c r="K98" s="3"/>
    </row>
    <row r="99" customFormat="false" ht="12.75" hidden="false" customHeight="false" outlineLevel="0" collapsed="false">
      <c r="A99" s="109" t="n">
        <v>44560</v>
      </c>
      <c r="B99" s="0" t="s">
        <v>177</v>
      </c>
      <c r="C99" s="3" t="n">
        <v>2000</v>
      </c>
      <c r="D99" s="3" t="n">
        <v>2000</v>
      </c>
      <c r="E99" s="3" t="n">
        <f aca="false">E98-D99</f>
        <v>26000</v>
      </c>
      <c r="F99" s="3"/>
      <c r="G99" s="3" t="n">
        <f aca="false">D99-F99</f>
        <v>2000</v>
      </c>
      <c r="H99" s="3"/>
      <c r="I99" s="3"/>
      <c r="J99" s="3"/>
      <c r="K99" s="3"/>
    </row>
    <row r="100" customFormat="false" ht="12.75" hidden="false" customHeight="false" outlineLevel="0" collapsed="false">
      <c r="A100" s="118" t="n">
        <v>44591</v>
      </c>
      <c r="B100" s="91" t="s">
        <v>177</v>
      </c>
      <c r="C100" s="3" t="n">
        <v>2000</v>
      </c>
      <c r="D100" s="3" t="n">
        <v>2000</v>
      </c>
      <c r="E100" s="3" t="n">
        <f aca="false">E99-D100</f>
        <v>24000</v>
      </c>
      <c r="F100" s="3"/>
      <c r="G100" s="3" t="n">
        <f aca="false">D100-F100</f>
        <v>2000</v>
      </c>
      <c r="H100" s="3"/>
      <c r="I100" s="3"/>
      <c r="J100" s="3"/>
      <c r="K100" s="3"/>
      <c r="L100" s="0" t="s">
        <v>129</v>
      </c>
    </row>
    <row r="101" customFormat="false" ht="12.75" hidden="false" customHeight="false" outlineLevel="0" collapsed="false">
      <c r="E101" s="3" t="n">
        <f aca="false">E100-D101</f>
        <v>24000</v>
      </c>
    </row>
    <row r="102" customFormat="false" ht="12.75" hidden="false" customHeight="false" outlineLevel="0" collapsed="false">
      <c r="A102" s="118" t="n">
        <v>44620</v>
      </c>
      <c r="B102" s="91" t="s">
        <v>178</v>
      </c>
      <c r="C102" s="3" t="n">
        <v>3000</v>
      </c>
      <c r="D102" s="3" t="n">
        <v>3000</v>
      </c>
      <c r="E102" s="3" t="n">
        <f aca="false">E101-D102</f>
        <v>21000</v>
      </c>
      <c r="F102" s="3"/>
      <c r="G102" s="3" t="n">
        <f aca="false">D102-F102</f>
        <v>3000</v>
      </c>
      <c r="H102" s="3"/>
      <c r="I102" s="3"/>
      <c r="J102" s="3"/>
      <c r="K102" s="3"/>
      <c r="L102" s="0" t="s">
        <v>129</v>
      </c>
    </row>
    <row r="103" customFormat="false" ht="12.75" hidden="false" customHeight="false" outlineLevel="0" collapsed="false">
      <c r="A103" s="118" t="n">
        <v>44650</v>
      </c>
      <c r="B103" s="91" t="s">
        <v>178</v>
      </c>
      <c r="C103" s="3" t="n">
        <v>3000</v>
      </c>
      <c r="D103" s="119" t="n">
        <v>3000</v>
      </c>
      <c r="E103" s="3" t="n">
        <f aca="false">E102-D103</f>
        <v>18000</v>
      </c>
      <c r="F103" s="3"/>
      <c r="G103" s="3" t="n">
        <f aca="false">D103-F103</f>
        <v>3000</v>
      </c>
      <c r="H103" s="3"/>
      <c r="I103" s="3"/>
      <c r="J103" s="3"/>
      <c r="K103" s="3"/>
      <c r="L103" s="0" t="s">
        <v>129</v>
      </c>
    </row>
    <row r="104" customFormat="false" ht="12.75" hidden="false" customHeight="false" outlineLevel="0" collapsed="false">
      <c r="A104" s="118" t="n">
        <v>44681</v>
      </c>
      <c r="B104" s="0" t="s">
        <v>179</v>
      </c>
      <c r="C104" s="3" t="n">
        <v>3000</v>
      </c>
      <c r="D104" s="120" t="n">
        <v>5000</v>
      </c>
      <c r="E104" s="3" t="n">
        <f aca="false">E103-D104</f>
        <v>13000</v>
      </c>
      <c r="F104" s="3"/>
      <c r="G104" s="3" t="n">
        <f aca="false">D104-F104</f>
        <v>5000</v>
      </c>
      <c r="H104" s="3"/>
      <c r="I104" s="3"/>
      <c r="J104" s="3"/>
      <c r="K104" s="3"/>
      <c r="L104" s="55" t="n">
        <v>44691</v>
      </c>
    </row>
    <row r="105" customFormat="false" ht="12.75" hidden="false" customHeight="false" outlineLevel="0" collapsed="false">
      <c r="A105" s="118" t="n">
        <v>44711</v>
      </c>
      <c r="B105" s="0" t="s">
        <v>180</v>
      </c>
      <c r="C105" s="3" t="n">
        <v>5000</v>
      </c>
      <c r="D105" s="120" t="n">
        <v>3000</v>
      </c>
      <c r="E105" s="3" t="n">
        <f aca="false">E104-D105</f>
        <v>10000</v>
      </c>
      <c r="F105" s="3"/>
      <c r="G105" s="3" t="n">
        <f aca="false">D105-F105</f>
        <v>3000</v>
      </c>
      <c r="H105" s="3"/>
      <c r="I105" s="3"/>
      <c r="J105" s="3"/>
      <c r="K105" s="3"/>
      <c r="L105" s="55" t="n">
        <v>44711</v>
      </c>
    </row>
    <row r="106" customFormat="false" ht="12.75" hidden="false" customHeight="false" outlineLevel="0" collapsed="false">
      <c r="A106" s="121" t="n">
        <v>44742</v>
      </c>
      <c r="B106" s="122" t="s">
        <v>181</v>
      </c>
      <c r="C106" s="27" t="n">
        <v>5000</v>
      </c>
      <c r="D106" s="27" t="n">
        <v>4000</v>
      </c>
      <c r="E106" s="27" t="n">
        <f aca="false">E105-D106</f>
        <v>6000</v>
      </c>
      <c r="F106" s="27"/>
      <c r="G106" s="27" t="n">
        <f aca="false">D106-F106</f>
        <v>4000</v>
      </c>
      <c r="H106" s="3"/>
      <c r="I106" s="3"/>
      <c r="J106" s="3"/>
      <c r="K106" s="3"/>
      <c r="L106" s="55" t="n">
        <v>44747</v>
      </c>
    </row>
    <row r="107" customFormat="false" ht="12.75" hidden="false" customHeight="false" outlineLevel="0" collapsed="false">
      <c r="A107" s="121" t="n">
        <v>44772</v>
      </c>
      <c r="B107" s="26" t="s">
        <v>182</v>
      </c>
      <c r="C107" s="27" t="n">
        <v>5000</v>
      </c>
      <c r="D107" s="27" t="n">
        <v>5000</v>
      </c>
      <c r="E107" s="27" t="n">
        <f aca="false">E106-D107</f>
        <v>1000</v>
      </c>
      <c r="F107" s="27"/>
      <c r="G107" s="27" t="n">
        <f aca="false">D107-F107</f>
        <v>5000</v>
      </c>
      <c r="H107" s="3"/>
      <c r="I107" s="3"/>
      <c r="J107" s="3"/>
      <c r="K107" s="3"/>
      <c r="L107" s="55" t="n">
        <v>44802</v>
      </c>
    </row>
    <row r="108" customFormat="false" ht="12.75" hidden="false" customHeight="false" outlineLevel="0" collapsed="false">
      <c r="A108" s="118" t="n">
        <v>44803</v>
      </c>
      <c r="C108" s="3"/>
      <c r="D108" s="3" t="n">
        <v>1000</v>
      </c>
      <c r="E108" s="3" t="n">
        <f aca="false">E107-D108</f>
        <v>0</v>
      </c>
      <c r="F108" s="3"/>
      <c r="G108" s="3" t="n">
        <f aca="false">D108-F108</f>
        <v>1000</v>
      </c>
      <c r="H108" s="3"/>
      <c r="I108" s="3"/>
      <c r="J108" s="3"/>
      <c r="K108" s="3"/>
    </row>
    <row r="109" customFormat="false" ht="12.75" hidden="false" customHeight="false" outlineLevel="0" collapsed="false">
      <c r="A109" s="109"/>
      <c r="B109" s="0" t="s">
        <v>183</v>
      </c>
      <c r="C109" s="3"/>
      <c r="D109" s="3"/>
      <c r="E109" s="3"/>
      <c r="F109" s="3"/>
      <c r="G109" s="3"/>
      <c r="H109" s="3"/>
      <c r="I109" s="3"/>
      <c r="J109" s="3"/>
      <c r="K109" s="3"/>
    </row>
    <row r="110" customFormat="false" ht="12.75" hidden="false" customHeight="false" outlineLevel="0" collapsed="false">
      <c r="A110" s="101"/>
      <c r="C110" s="3"/>
      <c r="D110" s="3"/>
      <c r="E110" s="3"/>
      <c r="F110" s="3"/>
      <c r="G110" s="3"/>
      <c r="H110" s="3"/>
      <c r="I110" s="3"/>
      <c r="J110" s="3"/>
      <c r="K110" s="3"/>
    </row>
    <row r="111" customFormat="false" ht="12.75" hidden="false" customHeight="false" outlineLevel="0" collapsed="false">
      <c r="A111" s="101"/>
      <c r="B111" s="50" t="s">
        <v>184</v>
      </c>
      <c r="C111" s="123" t="n">
        <f aca="false">SUM(C95:C110)</f>
        <v>36000</v>
      </c>
      <c r="D111" s="123" t="n">
        <f aca="false">SUM(D91:D110)</f>
        <v>36000</v>
      </c>
      <c r="E111" s="124" t="n">
        <f aca="false">C111-D111</f>
        <v>0</v>
      </c>
      <c r="F111" s="123" t="n">
        <f aca="false">SUM(F91:F110)</f>
        <v>0</v>
      </c>
      <c r="G111" s="123" t="n">
        <f aca="false">D111-F111</f>
        <v>36000</v>
      </c>
      <c r="H111" s="123"/>
      <c r="I111" s="123"/>
      <c r="J111" s="123"/>
      <c r="K111" s="123"/>
    </row>
    <row r="112" customFormat="false" ht="12.75" hidden="false" customHeight="false" outlineLevel="0" collapsed="false">
      <c r="A112" s="101"/>
      <c r="C112" s="3"/>
      <c r="D112" s="3"/>
      <c r="E112" s="3"/>
      <c r="F112" s="3"/>
    </row>
    <row r="113" customFormat="false" ht="12.75" hidden="false" customHeight="false" outlineLevel="0" collapsed="false">
      <c r="A113" s="101"/>
      <c r="D113" s="3"/>
      <c r="E113" s="99" t="s">
        <v>185</v>
      </c>
      <c r="G113" s="123" t="n">
        <f aca="false">G111</f>
        <v>36000</v>
      </c>
      <c r="H113" s="123"/>
      <c r="I113" s="123"/>
      <c r="J113" s="123"/>
      <c r="K113" s="123"/>
    </row>
    <row r="114" customFormat="false" ht="12.75" hidden="false" customHeight="false" outlineLevel="0" collapsed="false">
      <c r="A114" s="101"/>
      <c r="E114" s="50" t="s">
        <v>186</v>
      </c>
      <c r="F114" s="125" t="n">
        <v>1</v>
      </c>
      <c r="G114" s="123" t="n">
        <f aca="false">G113</f>
        <v>36000</v>
      </c>
      <c r="H114" s="123"/>
      <c r="I114" s="123"/>
      <c r="J114" s="123"/>
      <c r="K114" s="123"/>
    </row>
    <row r="116" customFormat="false" ht="12.75" hidden="false" customHeight="false" outlineLevel="0" collapsed="false">
      <c r="B116" s="0" t="s">
        <v>187</v>
      </c>
    </row>
    <row r="118" customFormat="false" ht="12.75" hidden="false" customHeight="false" outlineLevel="0" collapsed="false">
      <c r="B118" s="0" t="n">
        <v>2022</v>
      </c>
      <c r="C118" s="0" t="n">
        <v>36000</v>
      </c>
      <c r="E118" s="0" t="n">
        <f aca="false">C118</f>
        <v>36000</v>
      </c>
    </row>
    <row r="119" customFormat="false" ht="12.75" hidden="false" customHeight="false" outlineLevel="0" collapsed="false">
      <c r="B119" s="0" t="s">
        <v>188</v>
      </c>
      <c r="C119" s="125" t="n">
        <v>0.73</v>
      </c>
    </row>
    <row r="120" customFormat="false" ht="12.75" hidden="false" customHeight="false" outlineLevel="0" collapsed="false">
      <c r="B120" s="0" t="s">
        <v>189</v>
      </c>
      <c r="E120" s="0" t="n">
        <f aca="false">C118*C119</f>
        <v>26280</v>
      </c>
    </row>
    <row r="122" customFormat="false" ht="12.75" hidden="false" customHeight="false" outlineLevel="0" collapsed="false">
      <c r="A122" s="103" t="n">
        <v>2023</v>
      </c>
      <c r="B122" s="0" t="s">
        <v>190</v>
      </c>
      <c r="C122" s="126"/>
      <c r="E122" s="3" t="n">
        <f aca="false">E118+E120</f>
        <v>62280</v>
      </c>
    </row>
    <row r="123" customFormat="false" ht="12.75" hidden="false" customHeight="false" outlineLevel="0" collapsed="false">
      <c r="E123" s="3" t="n">
        <f aca="false">E122-D123</f>
        <v>62280</v>
      </c>
    </row>
    <row r="124" customFormat="false" ht="12.75" hidden="false" customHeight="false" outlineLevel="0" collapsed="false">
      <c r="B124" s="0" t="s">
        <v>191</v>
      </c>
      <c r="D124" s="0" t="n">
        <v>2280</v>
      </c>
      <c r="E124" s="3" t="n">
        <f aca="false">E123-D124</f>
        <v>60000</v>
      </c>
    </row>
    <row r="125" customFormat="false" ht="12.75" hidden="false" customHeight="false" outlineLevel="0" collapsed="false">
      <c r="A125" s="127" t="n">
        <v>45167</v>
      </c>
      <c r="B125" s="112" t="s">
        <v>178</v>
      </c>
      <c r="D125" s="0" t="n">
        <v>3000</v>
      </c>
      <c r="E125" s="3" t="n">
        <f aca="false">E124-D125</f>
        <v>57000</v>
      </c>
    </row>
    <row r="126" customFormat="false" ht="12.75" hidden="false" customHeight="false" outlineLevel="0" collapsed="false">
      <c r="A126" s="118" t="n">
        <v>44834</v>
      </c>
      <c r="B126" s="112" t="s">
        <v>178</v>
      </c>
      <c r="D126" s="0" t="n">
        <v>3000</v>
      </c>
      <c r="E126" s="3" t="n">
        <f aca="false">E125-D126</f>
        <v>54000</v>
      </c>
      <c r="F126" s="3"/>
      <c r="G126" s="3" t="n">
        <f aca="false">D126-F126</f>
        <v>3000</v>
      </c>
      <c r="H126" s="3"/>
      <c r="I126" s="3"/>
      <c r="J126" s="3"/>
      <c r="K126" s="3"/>
    </row>
    <row r="127" customFormat="false" ht="12.75" hidden="false" customHeight="false" outlineLevel="0" collapsed="false">
      <c r="A127" s="118" t="n">
        <v>44865</v>
      </c>
      <c r="B127" s="112" t="s">
        <v>178</v>
      </c>
      <c r="D127" s="0" t="n">
        <v>3000</v>
      </c>
      <c r="E127" s="3" t="n">
        <f aca="false">E126-D127</f>
        <v>51000</v>
      </c>
      <c r="F127" s="3"/>
      <c r="G127" s="3" t="n">
        <f aca="false">D127-F127</f>
        <v>3000</v>
      </c>
      <c r="H127" s="3"/>
      <c r="I127" s="3"/>
      <c r="J127" s="3"/>
      <c r="K127" s="3"/>
    </row>
    <row r="128" customFormat="false" ht="12.75" hidden="false" customHeight="false" outlineLevel="0" collapsed="false">
      <c r="A128" s="118" t="n">
        <v>44895</v>
      </c>
      <c r="B128" s="112" t="s">
        <v>178</v>
      </c>
      <c r="D128" s="0" t="n">
        <v>3000</v>
      </c>
      <c r="E128" s="3" t="n">
        <f aca="false">E127-D128</f>
        <v>48000</v>
      </c>
      <c r="F128" s="3"/>
      <c r="G128" s="3" t="n">
        <f aca="false">D128-F128</f>
        <v>3000</v>
      </c>
      <c r="H128" s="3"/>
      <c r="I128" s="3"/>
      <c r="J128" s="3"/>
      <c r="K128" s="3"/>
    </row>
    <row r="129" customFormat="false" ht="12.75" hidden="false" customHeight="false" outlineLevel="0" collapsed="false">
      <c r="A129" s="128" t="n">
        <v>44925</v>
      </c>
      <c r="B129" s="26" t="s">
        <v>192</v>
      </c>
      <c r="C129" s="26"/>
      <c r="D129" s="26" t="n">
        <v>3000</v>
      </c>
      <c r="E129" s="27" t="n">
        <f aca="false">E128-D129</f>
        <v>45000</v>
      </c>
      <c r="F129" s="27"/>
      <c r="G129" s="27" t="n">
        <f aca="false">D129-F129</f>
        <v>3000</v>
      </c>
      <c r="H129" s="3"/>
      <c r="I129" s="3"/>
      <c r="J129" s="3"/>
      <c r="K129" s="3"/>
    </row>
    <row r="130" customFormat="false" ht="12.75" hidden="false" customHeight="false" outlineLevel="0" collapsed="false">
      <c r="A130" s="129" t="n">
        <v>44956</v>
      </c>
      <c r="B130" s="26" t="s">
        <v>193</v>
      </c>
      <c r="C130" s="26"/>
      <c r="D130" s="26" t="n">
        <v>6000</v>
      </c>
      <c r="E130" s="27" t="n">
        <f aca="false">E129-D130</f>
        <v>39000</v>
      </c>
      <c r="F130" s="27"/>
      <c r="G130" s="27" t="n">
        <f aca="false">D130-F130</f>
        <v>6000</v>
      </c>
      <c r="H130" s="3"/>
      <c r="I130" s="3"/>
      <c r="J130" s="3"/>
      <c r="K130" s="3"/>
    </row>
    <row r="131" customFormat="false" ht="12.75" hidden="false" customHeight="false" outlineLevel="0" collapsed="false">
      <c r="A131" s="55" t="n">
        <v>44985</v>
      </c>
      <c r="B131" s="112" t="s">
        <v>194</v>
      </c>
      <c r="D131" s="0" t="n">
        <v>6500</v>
      </c>
      <c r="E131" s="3" t="n">
        <f aca="false">E130-D131</f>
        <v>32500</v>
      </c>
      <c r="F131" s="3"/>
      <c r="G131" s="3" t="n">
        <f aca="false">D131-F131</f>
        <v>6500</v>
      </c>
      <c r="H131" s="3"/>
      <c r="I131" s="3"/>
      <c r="J131" s="3"/>
      <c r="K131" s="3"/>
    </row>
    <row r="132" customFormat="false" ht="12.75" hidden="false" customHeight="false" outlineLevel="0" collapsed="false">
      <c r="E132" s="3" t="n">
        <f aca="false">E131-D132</f>
        <v>32500</v>
      </c>
      <c r="F132" s="3"/>
      <c r="G132" s="3" t="n">
        <f aca="false">D132-F132</f>
        <v>0</v>
      </c>
      <c r="H132" s="3"/>
      <c r="I132" s="3"/>
      <c r="J132" s="3"/>
      <c r="K132" s="3"/>
    </row>
    <row r="133" customFormat="false" ht="12.75" hidden="false" customHeight="false" outlineLevel="0" collapsed="false">
      <c r="A133" s="55" t="n">
        <v>45015</v>
      </c>
      <c r="B133" s="112" t="s">
        <v>195</v>
      </c>
      <c r="C133" s="0" t="n">
        <v>6500</v>
      </c>
      <c r="D133" s="0" t="n">
        <v>6500</v>
      </c>
      <c r="E133" s="3" t="n">
        <f aca="false">E132-D133</f>
        <v>26000</v>
      </c>
      <c r="F133" s="3"/>
      <c r="G133" s="3" t="n">
        <f aca="false">D133-F133</f>
        <v>6500</v>
      </c>
      <c r="H133" s="3"/>
      <c r="I133" s="3"/>
      <c r="J133" s="3"/>
      <c r="K133" s="3"/>
    </row>
    <row r="134" customFormat="false" ht="12.75" hidden="false" customHeight="false" outlineLevel="0" collapsed="false">
      <c r="A134" s="55" t="n">
        <v>45046</v>
      </c>
      <c r="B134" s="112" t="s">
        <v>195</v>
      </c>
      <c r="C134" s="0" t="n">
        <v>6500</v>
      </c>
      <c r="D134" s="0" t="n">
        <v>6500</v>
      </c>
      <c r="E134" s="3" t="n">
        <f aca="false">E133-D134</f>
        <v>19500</v>
      </c>
      <c r="F134" s="3"/>
      <c r="G134" s="3" t="n">
        <f aca="false">D134-F134</f>
        <v>6500</v>
      </c>
      <c r="H134" s="3"/>
      <c r="I134" s="3"/>
      <c r="J134" s="3"/>
      <c r="K134" s="3"/>
    </row>
    <row r="135" customFormat="false" ht="12.75" hidden="false" customHeight="false" outlineLevel="0" collapsed="false">
      <c r="A135" s="55" t="n">
        <v>45076</v>
      </c>
      <c r="B135" s="112" t="s">
        <v>195</v>
      </c>
      <c r="C135" s="0" t="n">
        <v>6500</v>
      </c>
      <c r="D135" s="0" t="n">
        <v>6500</v>
      </c>
      <c r="E135" s="3" t="n">
        <f aca="false">E134-D135</f>
        <v>13000</v>
      </c>
      <c r="F135" s="3"/>
      <c r="G135" s="3" t="n">
        <f aca="false">D135-F135</f>
        <v>6500</v>
      </c>
      <c r="H135" s="3"/>
      <c r="I135" s="3"/>
      <c r="J135" s="3"/>
      <c r="K135" s="3"/>
    </row>
    <row r="136" customFormat="false" ht="12.75" hidden="false" customHeight="false" outlineLevel="0" collapsed="false">
      <c r="A136" s="55" t="n">
        <v>45107</v>
      </c>
      <c r="B136" s="112" t="s">
        <v>195</v>
      </c>
      <c r="C136" s="0" t="n">
        <v>6500</v>
      </c>
      <c r="D136" s="0" t="n">
        <v>6500</v>
      </c>
      <c r="E136" s="3" t="n">
        <f aca="false">E135-D136</f>
        <v>6500</v>
      </c>
      <c r="F136" s="3"/>
      <c r="G136" s="3" t="n">
        <f aca="false">D136-F136</f>
        <v>6500</v>
      </c>
      <c r="H136" s="3"/>
      <c r="I136" s="3"/>
      <c r="J136" s="3"/>
      <c r="K136" s="3"/>
    </row>
    <row r="137" customFormat="false" ht="12.75" hidden="false" customHeight="false" outlineLevel="0" collapsed="false">
      <c r="A137" s="55" t="n">
        <v>45137</v>
      </c>
      <c r="B137" s="112" t="s">
        <v>195</v>
      </c>
      <c r="C137" s="0" t="n">
        <v>6500</v>
      </c>
      <c r="D137" s="0" t="n">
        <v>6500</v>
      </c>
      <c r="E137" s="3" t="n">
        <f aca="false">E136-D137</f>
        <v>0</v>
      </c>
      <c r="F137" s="3"/>
      <c r="G137" s="3" t="n">
        <f aca="false">D137-F137</f>
        <v>6500</v>
      </c>
      <c r="H137" s="3"/>
      <c r="I137" s="3"/>
      <c r="J137" s="3"/>
      <c r="K137" s="3"/>
    </row>
    <row r="138" customFormat="false" ht="12.75" hidden="false" customHeight="false" outlineLevel="0" collapsed="false">
      <c r="B138" s="0" t="s">
        <v>196</v>
      </c>
    </row>
  </sheetData>
  <printOptions headings="false" gridLines="false" gridLinesSet="true" horizontalCentered="false" verticalCentered="false"/>
  <pageMargins left="0.629861111111111" right="0.354166666666667" top="0.7875" bottom="0.629861111111111" header="0.511811023622047" footer="0.511811023622047"/>
  <pageSetup paperSize="9" scale="100" fitToWidth="1" fitToHeight="1" pageOrder="overThenDown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59"/>
  <sheetViews>
    <sheetView showFormulas="false" showGridLines="true" showRowColHeaders="true" showZeros="true" rightToLeft="false" tabSelected="false" showOutlineSymbols="true" defaultGridColor="true" view="normal" topLeftCell="A37" colorId="64" zoomScale="205" zoomScaleNormal="205" zoomScalePageLayoutView="100" workbookViewId="0">
      <selection pane="topLeft" activeCell="D20" activeCellId="0" sqref="D20"/>
    </sheetView>
  </sheetViews>
  <sheetFormatPr defaultColWidth="8.66015625" defaultRowHeight="12.75" customHeight="false" zeroHeight="false" outlineLevelRow="0" outlineLevelCol="0"/>
  <cols>
    <col collapsed="false" customWidth="true" hidden="false" outlineLevel="0" max="1" min="1" style="0" width="4.14"/>
    <col collapsed="false" customWidth="true" hidden="false" outlineLevel="0" max="2" min="2" style="130" width="20.57"/>
    <col collapsed="false" customWidth="true" hidden="false" outlineLevel="0" max="3" min="3" style="0" width="28.43"/>
    <col collapsed="false" customWidth="true" hidden="false" outlineLevel="0" max="4" min="4" style="3" width="13"/>
    <col collapsed="false" customWidth="true" hidden="false" outlineLevel="0" max="5" min="5" style="0" width="9.71"/>
    <col collapsed="false" customWidth="true" hidden="false" outlineLevel="0" max="6" min="6" style="0" width="10.43"/>
    <col collapsed="false" customWidth="true" hidden="false" outlineLevel="0" max="7" min="7" style="0" width="8.86"/>
    <col collapsed="false" customWidth="true" hidden="false" outlineLevel="0" max="8" min="8" style="0" width="10.86"/>
    <col collapsed="false" customWidth="true" hidden="false" outlineLevel="0" max="9" min="9" style="0" width="7.71"/>
    <col collapsed="false" customWidth="true" hidden="false" outlineLevel="0" max="10" min="10" style="0" width="10.86"/>
    <col collapsed="false" customWidth="true" hidden="false" outlineLevel="0" max="11" min="11" style="0" width="5.29"/>
    <col collapsed="false" customWidth="true" hidden="false" outlineLevel="0" max="12" min="12" style="0" width="7.43"/>
    <col collapsed="false" customWidth="true" hidden="false" outlineLevel="0" max="13" min="13" style="0" width="6.14"/>
    <col collapsed="false" customWidth="true" hidden="false" outlineLevel="0" max="14" min="14" style="0" width="6.71"/>
    <col collapsed="false" customWidth="true" hidden="false" outlineLevel="0" max="15" min="15" style="0" width="9.14"/>
  </cols>
  <sheetData>
    <row r="1" customFormat="false" ht="12.75" hidden="false" customHeight="false" outlineLevel="0" collapsed="false">
      <c r="B1" s="131" t="s">
        <v>197</v>
      </c>
    </row>
    <row r="2" customFormat="false" ht="12.75" hidden="false" customHeight="false" outlineLevel="0" collapsed="false">
      <c r="B2" s="132"/>
      <c r="C2" s="133"/>
      <c r="D2" s="134"/>
      <c r="E2" s="133"/>
      <c r="F2" s="135"/>
    </row>
    <row r="3" customFormat="false" ht="12.75" hidden="false" customHeight="false" outlineLevel="0" collapsed="false">
      <c r="B3" s="136" t="s">
        <v>198</v>
      </c>
      <c r="F3" s="137" t="s">
        <v>199</v>
      </c>
    </row>
    <row r="4" customFormat="false" ht="12.75" hidden="false" customHeight="false" outlineLevel="0" collapsed="false">
      <c r="B4" s="138" t="s">
        <v>200</v>
      </c>
      <c r="C4" s="139"/>
      <c r="D4" s="140"/>
      <c r="E4" s="139"/>
      <c r="F4" s="141"/>
    </row>
    <row r="5" customFormat="false" ht="12.75" hidden="false" customHeight="false" outlineLevel="0" collapsed="false">
      <c r="B5" s="142" t="s">
        <v>201</v>
      </c>
      <c r="C5" s="139" t="s">
        <v>124</v>
      </c>
      <c r="D5" s="143" t="s">
        <v>158</v>
      </c>
      <c r="E5" s="144" t="s">
        <v>159</v>
      </c>
      <c r="F5" s="145" t="s">
        <v>126</v>
      </c>
    </row>
    <row r="6" customFormat="false" ht="12.75" hidden="false" customHeight="false" outlineLevel="0" collapsed="false">
      <c r="B6" s="146" t="n">
        <v>45168</v>
      </c>
      <c r="C6" s="147" t="s">
        <v>202</v>
      </c>
      <c r="D6" s="3" t="n">
        <v>6500</v>
      </c>
      <c r="E6" s="0" t="n">
        <v>6500</v>
      </c>
      <c r="F6" s="148" t="n">
        <f aca="false">D6-E6</f>
        <v>0</v>
      </c>
      <c r="G6" s="3"/>
    </row>
    <row r="7" customFormat="false" ht="12.75" hidden="false" customHeight="false" outlineLevel="0" collapsed="false">
      <c r="B7" s="146" t="n">
        <v>45199</v>
      </c>
      <c r="C7" s="147" t="s">
        <v>203</v>
      </c>
      <c r="D7" s="3" t="n">
        <v>6500</v>
      </c>
      <c r="E7" s="0" t="n">
        <v>6500</v>
      </c>
      <c r="F7" s="148" t="n">
        <f aca="false">D7-E7+F6</f>
        <v>0</v>
      </c>
    </row>
    <row r="8" customFormat="false" ht="12.75" hidden="false" customHeight="false" outlineLevel="0" collapsed="false">
      <c r="B8" s="146" t="n">
        <v>45229</v>
      </c>
      <c r="C8" s="147" t="s">
        <v>204</v>
      </c>
      <c r="D8" s="3" t="n">
        <v>6500</v>
      </c>
      <c r="E8" s="0" t="n">
        <v>6500</v>
      </c>
      <c r="F8" s="148" t="n">
        <f aca="false">D8-E8+F7</f>
        <v>0</v>
      </c>
    </row>
    <row r="9" customFormat="false" ht="12.75" hidden="false" customHeight="false" outlineLevel="0" collapsed="false">
      <c r="B9" s="146" t="n">
        <v>45260</v>
      </c>
      <c r="C9" s="147" t="s">
        <v>205</v>
      </c>
      <c r="D9" s="3" t="n">
        <v>6500</v>
      </c>
      <c r="E9" s="0" t="n">
        <v>6500</v>
      </c>
      <c r="F9" s="148" t="n">
        <f aca="false">D9-E9+F8</f>
        <v>0</v>
      </c>
    </row>
    <row r="10" customFormat="false" ht="12.75" hidden="false" customHeight="false" outlineLevel="0" collapsed="false">
      <c r="B10" s="146" t="n">
        <v>45290</v>
      </c>
      <c r="C10" s="147" t="s">
        <v>206</v>
      </c>
      <c r="D10" s="3" t="n">
        <v>6500</v>
      </c>
      <c r="E10" s="0" t="n">
        <v>6500</v>
      </c>
      <c r="F10" s="148" t="n">
        <f aca="false">D10-E10+F9</f>
        <v>0</v>
      </c>
    </row>
    <row r="11" customFormat="false" ht="12.75" hidden="false" customHeight="false" outlineLevel="0" collapsed="false">
      <c r="B11" s="146" t="n">
        <v>45321</v>
      </c>
      <c r="C11" s="147" t="s">
        <v>207</v>
      </c>
      <c r="D11" s="3" t="n">
        <v>6500</v>
      </c>
      <c r="E11" s="0" t="n">
        <v>6500</v>
      </c>
      <c r="F11" s="148" t="n">
        <f aca="false">D11-E11+F10</f>
        <v>0</v>
      </c>
    </row>
    <row r="12" customFormat="false" ht="12.75" hidden="false" customHeight="false" outlineLevel="0" collapsed="false">
      <c r="B12" s="146" t="n">
        <v>45351</v>
      </c>
      <c r="C12" s="147" t="s">
        <v>208</v>
      </c>
      <c r="D12" s="3" t="n">
        <v>15000</v>
      </c>
      <c r="E12" s="0" t="n">
        <v>6500</v>
      </c>
      <c r="F12" s="148" t="n">
        <f aca="false">D12-E12+F11</f>
        <v>8500</v>
      </c>
    </row>
    <row r="13" customFormat="false" ht="12.75" hidden="false" customHeight="false" outlineLevel="0" collapsed="false">
      <c r="B13" s="146" t="n">
        <v>45381</v>
      </c>
      <c r="C13" s="147" t="s">
        <v>209</v>
      </c>
      <c r="D13" s="3" t="n">
        <v>15000</v>
      </c>
      <c r="E13" s="0" t="n">
        <v>15000</v>
      </c>
      <c r="F13" s="148" t="n">
        <f aca="false">D13-E13+F12</f>
        <v>8500</v>
      </c>
    </row>
    <row r="14" customFormat="false" ht="12.75" hidden="false" customHeight="false" outlineLevel="0" collapsed="false">
      <c r="B14" s="146" t="n">
        <v>45412</v>
      </c>
      <c r="C14" s="147" t="s">
        <v>210</v>
      </c>
      <c r="D14" s="3" t="n">
        <v>15000</v>
      </c>
      <c r="E14" s="0" t="n">
        <v>15000</v>
      </c>
      <c r="F14" s="148" t="n">
        <f aca="false">D14-E14+F13</f>
        <v>8500</v>
      </c>
    </row>
    <row r="15" customFormat="false" ht="12.75" hidden="false" customHeight="false" outlineLevel="0" collapsed="false">
      <c r="B15" s="146" t="n">
        <v>45442</v>
      </c>
      <c r="C15" s="147" t="s">
        <v>211</v>
      </c>
      <c r="D15" s="3" t="n">
        <v>15000</v>
      </c>
      <c r="F15" s="148" t="n">
        <f aca="false">D15-E15+F14</f>
        <v>23500</v>
      </c>
    </row>
    <row r="16" customFormat="false" ht="12.75" hidden="false" customHeight="false" outlineLevel="0" collapsed="false">
      <c r="B16" s="146" t="n">
        <v>45473</v>
      </c>
      <c r="C16" s="147" t="s">
        <v>212</v>
      </c>
      <c r="D16" s="3" t="n">
        <v>15000</v>
      </c>
      <c r="F16" s="148" t="n">
        <f aca="false">D16-E16+F15</f>
        <v>38500</v>
      </c>
    </row>
    <row r="17" customFormat="false" ht="12.75" hidden="false" customHeight="false" outlineLevel="0" collapsed="false">
      <c r="B17" s="146" t="n">
        <v>45503</v>
      </c>
      <c r="C17" s="147" t="s">
        <v>213</v>
      </c>
      <c r="D17" s="3" t="n">
        <v>15000</v>
      </c>
      <c r="F17" s="148" t="n">
        <f aca="false">D17-E17+F16</f>
        <v>53500</v>
      </c>
    </row>
    <row r="18" customFormat="false" ht="12.75" hidden="false" customHeight="false" outlineLevel="0" collapsed="false">
      <c r="B18" s="146"/>
      <c r="F18" s="148" t="n">
        <f aca="false">D18-E18+F17</f>
        <v>53500</v>
      </c>
    </row>
    <row r="19" customFormat="false" ht="12.75" hidden="false" customHeight="false" outlineLevel="0" collapsed="false">
      <c r="B19" s="146"/>
      <c r="C19" s="149" t="s">
        <v>214</v>
      </c>
      <c r="D19" s="3" t="n">
        <f aca="false">SUM(D6:D18)</f>
        <v>129000</v>
      </c>
      <c r="E19" s="0" t="n">
        <f aca="false">SUM(E6:E18)</f>
        <v>75500</v>
      </c>
      <c r="F19" s="150" t="n">
        <f aca="false">F18</f>
        <v>53500</v>
      </c>
    </row>
    <row r="20" customFormat="false" ht="12.75" hidden="false" customHeight="false" outlineLevel="0" collapsed="false">
      <c r="B20" s="151"/>
      <c r="C20" s="152" t="s">
        <v>215</v>
      </c>
      <c r="D20" s="153" t="n">
        <f aca="false">D19/12</f>
        <v>10750</v>
      </c>
      <c r="E20" s="86"/>
      <c r="F20" s="87"/>
    </row>
    <row r="21" customFormat="false" ht="12.75" hidden="false" customHeight="false" outlineLevel="0" collapsed="false">
      <c r="C21" s="154"/>
      <c r="D21" s="123"/>
    </row>
    <row r="22" customFormat="false" ht="12.75" hidden="false" customHeight="false" outlineLevel="0" collapsed="false">
      <c r="C22" s="147"/>
      <c r="D22" s="123"/>
    </row>
    <row r="23" customFormat="false" ht="12.75" hidden="false" customHeight="false" outlineLevel="0" collapsed="false">
      <c r="B23" s="155"/>
      <c r="C23" s="156"/>
      <c r="D23" s="157"/>
      <c r="E23" s="133"/>
      <c r="F23" s="135"/>
    </row>
    <row r="24" customFormat="false" ht="12.75" hidden="false" customHeight="false" outlineLevel="0" collapsed="false">
      <c r="B24" s="158" t="s">
        <v>216</v>
      </c>
      <c r="C24" s="159" t="s">
        <v>217</v>
      </c>
      <c r="D24" s="123"/>
      <c r="F24" s="137" t="s">
        <v>218</v>
      </c>
    </row>
    <row r="25" customFormat="false" ht="12.75" hidden="false" customHeight="false" outlineLevel="0" collapsed="false">
      <c r="B25" s="160"/>
      <c r="C25" s="161"/>
      <c r="D25" s="162"/>
      <c r="E25" s="139"/>
      <c r="F25" s="141"/>
    </row>
    <row r="26" customFormat="false" ht="12.75" hidden="false" customHeight="false" outlineLevel="0" collapsed="false">
      <c r="B26" s="163" t="s">
        <v>201</v>
      </c>
      <c r="C26" s="139" t="s">
        <v>124</v>
      </c>
      <c r="D26" s="143" t="s">
        <v>158</v>
      </c>
      <c r="E26" s="144" t="s">
        <v>159</v>
      </c>
      <c r="F26" s="145" t="s">
        <v>126</v>
      </c>
    </row>
    <row r="27" customFormat="false" ht="12.75" hidden="false" customHeight="false" outlineLevel="0" collapsed="false">
      <c r="B27" s="164" t="n">
        <v>45534</v>
      </c>
      <c r="C27" s="165" t="s">
        <v>219</v>
      </c>
      <c r="D27" s="134"/>
      <c r="E27" s="133"/>
      <c r="F27" s="166"/>
    </row>
    <row r="28" customFormat="false" ht="12.75" hidden="false" customHeight="false" outlineLevel="0" collapsed="false">
      <c r="B28" s="167" t="n">
        <v>45565</v>
      </c>
      <c r="C28" s="147" t="s">
        <v>220</v>
      </c>
      <c r="F28" s="168"/>
    </row>
    <row r="29" customFormat="false" ht="12.75" hidden="false" customHeight="false" outlineLevel="0" collapsed="false">
      <c r="B29" s="167" t="n">
        <v>45595</v>
      </c>
      <c r="C29" s="147" t="s">
        <v>221</v>
      </c>
      <c r="F29" s="168"/>
    </row>
    <row r="30" customFormat="false" ht="12.75" hidden="false" customHeight="false" outlineLevel="0" collapsed="false">
      <c r="B30" s="167" t="n">
        <v>45626</v>
      </c>
      <c r="C30" s="147" t="s">
        <v>222</v>
      </c>
      <c r="F30" s="168"/>
    </row>
    <row r="31" customFormat="false" ht="12.75" hidden="false" customHeight="false" outlineLevel="0" collapsed="false">
      <c r="B31" s="167" t="n">
        <v>45656</v>
      </c>
      <c r="C31" s="147" t="s">
        <v>223</v>
      </c>
      <c r="F31" s="168"/>
    </row>
    <row r="32" customFormat="false" ht="12.75" hidden="false" customHeight="false" outlineLevel="0" collapsed="false">
      <c r="B32" s="167" t="n">
        <v>45687</v>
      </c>
      <c r="C32" s="147" t="s">
        <v>224</v>
      </c>
      <c r="F32" s="168"/>
    </row>
    <row r="33" customFormat="false" ht="12.75" hidden="false" customHeight="false" outlineLevel="0" collapsed="false">
      <c r="B33" s="167" t="n">
        <v>45716</v>
      </c>
      <c r="C33" s="147" t="s">
        <v>225</v>
      </c>
      <c r="F33" s="168"/>
    </row>
    <row r="34" customFormat="false" ht="12.75" hidden="false" customHeight="false" outlineLevel="0" collapsed="false">
      <c r="B34" s="167" t="n">
        <v>45746</v>
      </c>
      <c r="C34" s="147" t="s">
        <v>226</v>
      </c>
      <c r="F34" s="168"/>
    </row>
    <row r="35" customFormat="false" ht="12.75" hidden="false" customHeight="false" outlineLevel="0" collapsed="false">
      <c r="B35" s="167" t="n">
        <v>45777</v>
      </c>
      <c r="C35" s="147" t="s">
        <v>227</v>
      </c>
      <c r="F35" s="168"/>
    </row>
    <row r="36" customFormat="false" ht="12.75" hidden="false" customHeight="false" outlineLevel="0" collapsed="false">
      <c r="B36" s="167" t="n">
        <v>45807</v>
      </c>
      <c r="C36" s="147" t="s">
        <v>228</v>
      </c>
      <c r="F36" s="168"/>
    </row>
    <row r="37" customFormat="false" ht="12.75" hidden="false" customHeight="false" outlineLevel="0" collapsed="false">
      <c r="B37" s="167" t="n">
        <v>45838</v>
      </c>
      <c r="C37" s="147" t="s">
        <v>229</v>
      </c>
      <c r="F37" s="168"/>
    </row>
    <row r="38" customFormat="false" ht="12.75" hidden="false" customHeight="false" outlineLevel="0" collapsed="false">
      <c r="B38" s="142" t="n">
        <v>45868</v>
      </c>
      <c r="C38" s="169" t="s">
        <v>230</v>
      </c>
      <c r="D38" s="140"/>
      <c r="E38" s="139"/>
      <c r="F38" s="170"/>
    </row>
    <row r="39" customFormat="false" ht="12.75" hidden="false" customHeight="false" outlineLevel="0" collapsed="false">
      <c r="C39" s="147"/>
    </row>
    <row r="40" customFormat="false" ht="12.75" hidden="false" customHeight="false" outlineLevel="0" collapsed="false">
      <c r="C40" s="147"/>
    </row>
    <row r="41" customFormat="false" ht="12.75" hidden="false" customHeight="false" outlineLevel="0" collapsed="false">
      <c r="C41" s="147"/>
    </row>
    <row r="42" customFormat="false" ht="12.75" hidden="false" customHeight="false" outlineLevel="0" collapsed="false">
      <c r="B42" s="155"/>
      <c r="C42" s="156"/>
      <c r="D42" s="157"/>
      <c r="E42" s="133"/>
      <c r="F42" s="135"/>
    </row>
    <row r="43" customFormat="false" ht="14.9" hidden="false" customHeight="false" outlineLevel="0" collapsed="false">
      <c r="B43" s="158" t="s">
        <v>231</v>
      </c>
      <c r="C43" s="171" t="s">
        <v>232</v>
      </c>
      <c r="F43" s="137" t="s">
        <v>218</v>
      </c>
    </row>
    <row r="44" customFormat="false" ht="12.75" hidden="false" customHeight="false" outlineLevel="0" collapsed="false">
      <c r="B44" s="160"/>
      <c r="C44" s="161"/>
      <c r="D44" s="140"/>
      <c r="E44" s="139"/>
      <c r="F44" s="141"/>
    </row>
    <row r="45" customFormat="false" ht="12.75" hidden="false" customHeight="false" outlineLevel="0" collapsed="false">
      <c r="B45" s="163" t="s">
        <v>201</v>
      </c>
      <c r="C45" s="139" t="s">
        <v>124</v>
      </c>
      <c r="D45" s="143" t="s">
        <v>158</v>
      </c>
      <c r="E45" s="144" t="s">
        <v>159</v>
      </c>
      <c r="F45" s="145" t="s">
        <v>126</v>
      </c>
    </row>
    <row r="46" customFormat="false" ht="12.75" hidden="false" customHeight="false" outlineLevel="0" collapsed="false">
      <c r="B46" s="155"/>
      <c r="C46" s="172"/>
      <c r="D46" s="173"/>
      <c r="E46" s="174"/>
      <c r="F46" s="135"/>
    </row>
    <row r="47" customFormat="false" ht="12.75" hidden="false" customHeight="false" outlineLevel="0" collapsed="false">
      <c r="B47" s="158" t="n">
        <v>45534</v>
      </c>
      <c r="C47" s="50" t="s">
        <v>233</v>
      </c>
      <c r="D47" s="123" t="n">
        <v>204024</v>
      </c>
      <c r="F47" s="168"/>
    </row>
    <row r="48" customFormat="false" ht="12.75" hidden="false" customHeight="false" outlineLevel="0" collapsed="false">
      <c r="B48" s="142"/>
      <c r="C48" s="139"/>
      <c r="D48" s="140"/>
      <c r="E48" s="139"/>
      <c r="F48" s="170"/>
    </row>
    <row r="51" customFormat="false" ht="12.75" hidden="false" customHeight="false" outlineLevel="0" collapsed="false">
      <c r="C51" s="50"/>
    </row>
    <row r="52" customFormat="false" ht="12.75" hidden="false" customHeight="false" outlineLevel="0" collapsed="false">
      <c r="B52" s="155"/>
      <c r="C52" s="156"/>
      <c r="D52" s="157"/>
      <c r="E52" s="133"/>
      <c r="F52" s="135"/>
    </row>
    <row r="53" customFormat="false" ht="14.9" hidden="false" customHeight="false" outlineLevel="0" collapsed="false">
      <c r="B53" s="158" t="s">
        <v>234</v>
      </c>
      <c r="C53" s="171" t="s">
        <v>235</v>
      </c>
      <c r="F53" s="137" t="s">
        <v>218</v>
      </c>
    </row>
    <row r="54" customFormat="false" ht="12.75" hidden="false" customHeight="false" outlineLevel="0" collapsed="false">
      <c r="B54" s="160"/>
      <c r="C54" s="161"/>
      <c r="D54" s="140"/>
      <c r="E54" s="139"/>
      <c r="F54" s="141"/>
    </row>
    <row r="55" customFormat="false" ht="12.75" hidden="false" customHeight="false" outlineLevel="0" collapsed="false">
      <c r="B55" s="163" t="s">
        <v>201</v>
      </c>
      <c r="C55" s="139" t="s">
        <v>124</v>
      </c>
      <c r="D55" s="143" t="s">
        <v>158</v>
      </c>
      <c r="E55" s="144" t="s">
        <v>159</v>
      </c>
      <c r="F55" s="145" t="s">
        <v>126</v>
      </c>
    </row>
    <row r="56" customFormat="false" ht="12.75" hidden="false" customHeight="false" outlineLevel="0" collapsed="false">
      <c r="B56" s="155"/>
      <c r="C56" s="172"/>
      <c r="D56" s="173"/>
      <c r="E56" s="174"/>
      <c r="F56" s="135"/>
    </row>
    <row r="57" customFormat="false" ht="12.75" hidden="false" customHeight="false" outlineLevel="0" collapsed="false">
      <c r="B57" s="158" t="n">
        <v>45716</v>
      </c>
      <c r="C57" s="50" t="s">
        <v>236</v>
      </c>
      <c r="D57" s="123"/>
      <c r="F57" s="168"/>
    </row>
    <row r="58" customFormat="false" ht="12.75" hidden="false" customHeight="false" outlineLevel="0" collapsed="false">
      <c r="B58" s="142"/>
      <c r="C58" s="139"/>
      <c r="D58" s="140"/>
      <c r="E58" s="139"/>
      <c r="F58" s="170"/>
    </row>
    <row r="59" customFormat="false" ht="13.5" hidden="false" customHeight="false" outlineLevel="0" collapsed="false"/>
  </sheetData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6"/>
  <sheetViews>
    <sheetView showFormulas="false" showGridLines="true" showRowColHeaders="true" showZeros="true" rightToLeft="false" tabSelected="false" showOutlineSymbols="true" defaultGridColor="true" view="normal" topLeftCell="A53" colorId="64" zoomScale="145" zoomScaleNormal="145" zoomScalePageLayoutView="100" workbookViewId="0">
      <selection pane="topLeft" activeCell="I15" activeCellId="0" sqref="I15"/>
    </sheetView>
  </sheetViews>
  <sheetFormatPr defaultColWidth="8.66015625" defaultRowHeight="12.75" customHeight="false" zeroHeight="false" outlineLevelRow="0" outlineLevelCol="0"/>
  <cols>
    <col collapsed="false" customWidth="true" hidden="false" outlineLevel="0" max="1" min="1" style="0" width="9.14"/>
    <col collapsed="false" customWidth="true" hidden="false" outlineLevel="0" max="2" min="2" style="130" width="10.57"/>
    <col collapsed="false" customWidth="true" hidden="false" outlineLevel="0" max="3" min="3" style="0" width="28.43"/>
    <col collapsed="false" customWidth="true" hidden="false" outlineLevel="0" max="4" min="4" style="3" width="11.14"/>
    <col collapsed="false" customWidth="true" hidden="false" outlineLevel="0" max="5" min="5" style="0" width="11.29"/>
    <col collapsed="false" customWidth="true" hidden="false" outlineLevel="0" max="6" min="6" style="0" width="10.43"/>
    <col collapsed="false" customWidth="true" hidden="false" outlineLevel="0" max="7" min="7" style="0" width="8.86"/>
    <col collapsed="false" customWidth="true" hidden="false" outlineLevel="0" max="9" min="8" style="0" width="10.86"/>
    <col collapsed="false" customWidth="true" hidden="false" outlineLevel="0" max="10" min="10" style="0" width="6.29"/>
    <col collapsed="false" customWidth="true" hidden="false" outlineLevel="0" max="11" min="11" style="0" width="5.14"/>
    <col collapsed="false" customWidth="true" hidden="false" outlineLevel="0" max="12" min="12" style="0" width="10.86"/>
    <col collapsed="false" customWidth="true" hidden="false" outlineLevel="0" max="13" min="13" style="0" width="1.86"/>
    <col collapsed="false" customWidth="true" hidden="false" outlineLevel="0" max="14" min="14" style="0" width="8.86"/>
    <col collapsed="false" customWidth="true" hidden="false" outlineLevel="0" max="15" min="15" style="0" width="11.71"/>
    <col collapsed="false" customWidth="true" hidden="false" outlineLevel="0" max="16" min="16" style="0" width="3.29"/>
    <col collapsed="false" customWidth="true" hidden="false" outlineLevel="0" max="17" min="17" style="0" width="6.71"/>
    <col collapsed="false" customWidth="true" hidden="false" outlineLevel="0" max="18" min="18" style="0" width="8.29"/>
    <col collapsed="false" customWidth="true" hidden="false" outlineLevel="0" max="19" min="19" style="0" width="9.14"/>
  </cols>
  <sheetData>
    <row r="1" customFormat="false" ht="12.75" hidden="false" customHeight="false" outlineLevel="0" collapsed="false">
      <c r="A1" s="175"/>
      <c r="B1" s="176"/>
      <c r="C1" s="175"/>
      <c r="D1" s="177"/>
      <c r="E1" s="175"/>
      <c r="F1" s="175"/>
      <c r="G1" s="175"/>
    </row>
    <row r="2" customFormat="false" ht="12.75" hidden="false" customHeight="false" outlineLevel="0" collapsed="false">
      <c r="B2" s="130" t="n">
        <v>44255</v>
      </c>
      <c r="C2" s="0" t="s">
        <v>237</v>
      </c>
      <c r="G2" s="99" t="s">
        <v>238</v>
      </c>
      <c r="K2" s="178"/>
      <c r="L2" s="3"/>
      <c r="N2" s="179" t="s">
        <v>239</v>
      </c>
      <c r="O2" s="3"/>
      <c r="R2" s="90" t="s">
        <v>240</v>
      </c>
    </row>
    <row r="3" customFormat="false" ht="12.75" hidden="false" customHeight="false" outlineLevel="0" collapsed="false">
      <c r="B3" s="180" t="s">
        <v>123</v>
      </c>
      <c r="C3" s="181" t="s">
        <v>124</v>
      </c>
      <c r="D3" s="182" t="s">
        <v>158</v>
      </c>
      <c r="E3" s="183" t="s">
        <v>159</v>
      </c>
      <c r="F3" s="183" t="s">
        <v>126</v>
      </c>
      <c r="J3" s="184" t="s">
        <v>127</v>
      </c>
      <c r="K3" s="185" t="s">
        <v>129</v>
      </c>
      <c r="L3" s="105" t="s">
        <v>241</v>
      </c>
      <c r="N3" s="105" t="s">
        <v>242</v>
      </c>
      <c r="O3" s="105" t="s">
        <v>243</v>
      </c>
      <c r="Q3" s="105" t="s">
        <v>244</v>
      </c>
      <c r="R3" s="105" t="s">
        <v>131</v>
      </c>
    </row>
    <row r="4" customFormat="false" ht="12.75" hidden="false" customHeight="false" outlineLevel="0" collapsed="false">
      <c r="B4" s="130" t="n">
        <v>44255</v>
      </c>
      <c r="C4" s="0" t="s">
        <v>168</v>
      </c>
      <c r="D4" s="3" t="n">
        <v>2000</v>
      </c>
      <c r="E4" s="3" t="n">
        <v>2000</v>
      </c>
      <c r="F4" s="3" t="n">
        <f aca="false">D4-E4</f>
        <v>0</v>
      </c>
      <c r="I4" s="0" t="n">
        <v>2021</v>
      </c>
      <c r="J4" s="0" t="n">
        <f aca="false">L4/12</f>
        <v>2000</v>
      </c>
      <c r="K4" s="178"/>
      <c r="L4" s="57" t="n">
        <f aca="false">E11</f>
        <v>24000</v>
      </c>
      <c r="N4" s="57"/>
      <c r="O4" s="57" t="n">
        <v>24000</v>
      </c>
      <c r="Q4" s="0" t="n">
        <v>2320</v>
      </c>
      <c r="R4" s="108" t="n">
        <f aca="false">L4/Q4</f>
        <v>10.3448275862069</v>
      </c>
    </row>
    <row r="5" customFormat="false" ht="12.75" hidden="false" customHeight="false" outlineLevel="0" collapsed="false">
      <c r="B5" s="130" t="n">
        <v>44285</v>
      </c>
      <c r="C5" s="0" t="s">
        <v>175</v>
      </c>
      <c r="D5" s="3" t="n">
        <v>2000</v>
      </c>
      <c r="E5" s="3" t="n">
        <v>2000</v>
      </c>
      <c r="F5" s="3" t="n">
        <f aca="false">F4+D5-E5</f>
        <v>0</v>
      </c>
      <c r="I5" s="0" t="n">
        <v>2022</v>
      </c>
      <c r="J5" s="0" t="n">
        <f aca="false">L5/12</f>
        <v>3000</v>
      </c>
      <c r="K5" s="178" t="n">
        <f aca="false">L5/L4-1</f>
        <v>0.5</v>
      </c>
      <c r="L5" s="57" t="n">
        <f aca="false">$E$27</f>
        <v>36000</v>
      </c>
      <c r="N5" s="186" t="n">
        <v>0.2598</v>
      </c>
      <c r="O5" s="57" t="n">
        <f aca="false">(O4+(L4*N5))</f>
        <v>30235.2</v>
      </c>
      <c r="Q5" s="0" t="n">
        <v>2830</v>
      </c>
      <c r="R5" s="108" t="n">
        <f aca="false">L5/Q5</f>
        <v>12.7208480565371</v>
      </c>
    </row>
    <row r="6" customFormat="false" ht="12.75" hidden="false" customHeight="false" outlineLevel="0" collapsed="false">
      <c r="B6" s="130" t="n">
        <v>44316</v>
      </c>
      <c r="C6" s="0" t="s">
        <v>175</v>
      </c>
      <c r="D6" s="3" t="n">
        <v>2000</v>
      </c>
      <c r="E6" s="3" t="n">
        <v>2000</v>
      </c>
      <c r="F6" s="3" t="n">
        <f aca="false">F5+D6-E6</f>
        <v>0</v>
      </c>
      <c r="I6" s="0" t="n">
        <v>2023</v>
      </c>
      <c r="J6" s="0" t="n">
        <f aca="false">L6/12</f>
        <v>5000</v>
      </c>
      <c r="K6" s="178" t="n">
        <f aca="false">L6/L5-1</f>
        <v>0.666666666666667</v>
      </c>
      <c r="L6" s="57" t="n">
        <f aca="false">E43</f>
        <v>60000</v>
      </c>
      <c r="N6" s="186" t="n">
        <v>0.7183</v>
      </c>
      <c r="O6" s="57" t="n">
        <f aca="false">(O5+(L5*N6))</f>
        <v>56094</v>
      </c>
      <c r="Q6" s="0" t="n">
        <v>5500</v>
      </c>
      <c r="R6" s="108" t="n">
        <f aca="false">L6/Q6</f>
        <v>10.9090909090909</v>
      </c>
    </row>
    <row r="7" customFormat="false" ht="12.75" hidden="false" customHeight="false" outlineLevel="0" collapsed="false">
      <c r="B7" s="130" t="n">
        <v>44346</v>
      </c>
      <c r="C7" s="0" t="s">
        <v>175</v>
      </c>
      <c r="D7" s="3" t="n">
        <v>2000</v>
      </c>
      <c r="E7" s="3" t="n">
        <v>1000</v>
      </c>
      <c r="F7" s="3" t="n">
        <f aca="false">F6+D7-E7</f>
        <v>1000</v>
      </c>
      <c r="I7" s="0" t="n">
        <v>2024</v>
      </c>
      <c r="J7" s="0" t="n">
        <f aca="false">L7/12</f>
        <v>10041.6666666667</v>
      </c>
      <c r="K7" s="178" t="n">
        <f aca="false">L7/L6-1</f>
        <v>1.00833333333333</v>
      </c>
      <c r="L7" s="57" t="n">
        <f aca="false">E59</f>
        <v>120500</v>
      </c>
      <c r="N7" s="186" t="n">
        <v>0.5591</v>
      </c>
      <c r="O7" s="57" t="n">
        <f aca="false">(O6+(L6*N7))</f>
        <v>89640</v>
      </c>
      <c r="Q7" s="0" t="n">
        <v>11400</v>
      </c>
      <c r="R7" s="108" t="n">
        <f aca="false">L7/Q7*2</f>
        <v>21.140350877193</v>
      </c>
    </row>
    <row r="8" customFormat="false" ht="12.75" hidden="false" customHeight="false" outlineLevel="0" collapsed="false">
      <c r="B8" s="130" t="n">
        <v>44377</v>
      </c>
      <c r="C8" s="0" t="s">
        <v>175</v>
      </c>
      <c r="D8" s="3" t="n">
        <v>2000</v>
      </c>
      <c r="E8" s="3" t="n">
        <v>3000</v>
      </c>
      <c r="F8" s="3" t="n">
        <f aca="false">F7+D8-E8</f>
        <v>0</v>
      </c>
      <c r="I8" s="0" t="n">
        <v>2025</v>
      </c>
      <c r="J8" s="0" t="n">
        <f aca="false">L8/12</f>
        <v>7500</v>
      </c>
      <c r="K8" s="178" t="n">
        <f aca="false">L8/L7-1</f>
        <v>-0.253112033195021</v>
      </c>
      <c r="L8" s="179" t="n">
        <f aca="false">E76</f>
        <v>90000</v>
      </c>
      <c r="N8" s="186" t="n">
        <v>0.5</v>
      </c>
      <c r="O8" s="57" t="n">
        <f aca="false">(O7+(L7*N8))</f>
        <v>149890</v>
      </c>
      <c r="Q8" s="0" t="n">
        <v>22104</v>
      </c>
      <c r="R8" s="187" t="n">
        <v>12</v>
      </c>
    </row>
    <row r="9" customFormat="false" ht="12.75" hidden="false" customHeight="false" outlineLevel="0" collapsed="false">
      <c r="B9" s="130" t="n">
        <v>44407</v>
      </c>
      <c r="C9" s="0" t="s">
        <v>245</v>
      </c>
      <c r="D9" s="3" t="n">
        <v>14000</v>
      </c>
      <c r="E9" s="3" t="n">
        <v>9000</v>
      </c>
      <c r="F9" s="3" t="n">
        <f aca="false">F8+D9-E9</f>
        <v>5000</v>
      </c>
    </row>
    <row r="10" customFormat="false" ht="12.75" hidden="false" customHeight="false" outlineLevel="0" collapsed="false">
      <c r="B10" s="130" t="n">
        <v>44446</v>
      </c>
      <c r="C10" s="0" t="s">
        <v>166</v>
      </c>
      <c r="E10" s="3" t="n">
        <v>5000</v>
      </c>
      <c r="F10" s="3" t="n">
        <f aca="false">F9+D10-E10</f>
        <v>0</v>
      </c>
      <c r="L10" s="3" t="n">
        <f aca="false">SUM(L4:L7)</f>
        <v>240500</v>
      </c>
      <c r="O10" s="3" t="n">
        <f aca="false">SUM(O4:O7)</f>
        <v>199969.2</v>
      </c>
    </row>
    <row r="11" customFormat="false" ht="12.75" hidden="false" customHeight="false" outlineLevel="0" collapsed="false">
      <c r="A11" s="175"/>
      <c r="B11" s="176"/>
      <c r="C11" s="175"/>
      <c r="D11" s="182" t="s">
        <v>246</v>
      </c>
      <c r="E11" s="188" t="n">
        <f aca="false">SUM(E4:E10)</f>
        <v>24000</v>
      </c>
      <c r="F11" s="175"/>
      <c r="G11" s="175"/>
    </row>
    <row r="12" customFormat="false" ht="12.75" hidden="false" customHeight="false" outlineLevel="0" collapsed="false">
      <c r="C12" s="0" t="s">
        <v>174</v>
      </c>
      <c r="G12" s="99" t="s">
        <v>247</v>
      </c>
      <c r="L12" s="0" t="s">
        <v>248</v>
      </c>
      <c r="O12" s="4" t="n">
        <f aca="false">H76</f>
        <v>99500</v>
      </c>
    </row>
    <row r="13" customFormat="false" ht="12.75" hidden="false" customHeight="false" outlineLevel="0" collapsed="false">
      <c r="B13" s="180" t="s">
        <v>123</v>
      </c>
      <c r="C13" s="181" t="s">
        <v>124</v>
      </c>
      <c r="D13" s="182" t="s">
        <v>158</v>
      </c>
      <c r="E13" s="183" t="s">
        <v>159</v>
      </c>
      <c r="F13" s="183" t="s">
        <v>126</v>
      </c>
    </row>
    <row r="14" customFormat="false" ht="12.75" hidden="false" customHeight="false" outlineLevel="0" collapsed="false">
      <c r="B14" s="130" t="n">
        <v>44438</v>
      </c>
      <c r="C14" s="55" t="s">
        <v>175</v>
      </c>
      <c r="D14" s="3" t="n">
        <v>2000</v>
      </c>
      <c r="E14" s="3" t="n">
        <v>0</v>
      </c>
      <c r="F14" s="3" t="n">
        <f aca="false">D14-E14</f>
        <v>2000</v>
      </c>
    </row>
    <row r="15" customFormat="false" ht="12.75" hidden="false" customHeight="false" outlineLevel="0" collapsed="false">
      <c r="B15" s="130" t="n">
        <v>44469</v>
      </c>
      <c r="C15" s="55" t="s">
        <v>175</v>
      </c>
      <c r="D15" s="3" t="n">
        <v>2000</v>
      </c>
      <c r="E15" s="3" t="n">
        <v>4000</v>
      </c>
      <c r="F15" s="3" t="n">
        <f aca="false">F14+D15-E15</f>
        <v>0</v>
      </c>
      <c r="I15" s="0" t="n">
        <v>2021</v>
      </c>
      <c r="O15" s="0" t="n">
        <v>24000</v>
      </c>
    </row>
    <row r="16" customFormat="false" ht="12.75" hidden="false" customHeight="false" outlineLevel="0" collapsed="false">
      <c r="B16" s="130" t="n">
        <v>44499</v>
      </c>
      <c r="C16" s="0" t="s">
        <v>175</v>
      </c>
      <c r="D16" s="3" t="n">
        <v>2000</v>
      </c>
      <c r="E16" s="3" t="n">
        <v>2000</v>
      </c>
      <c r="F16" s="3" t="n">
        <f aca="false">F15+D16-E16</f>
        <v>0</v>
      </c>
      <c r="I16" s="0" t="n">
        <v>2022</v>
      </c>
      <c r="J16" s="0" t="n">
        <v>1</v>
      </c>
      <c r="L16" s="186" t="n">
        <v>0.2598</v>
      </c>
      <c r="N16" s="0" t="n">
        <f aca="false">O15*L16</f>
        <v>6235.2</v>
      </c>
      <c r="O16" s="0" t="n">
        <f aca="false">O15+N16</f>
        <v>30235.2</v>
      </c>
    </row>
    <row r="17" customFormat="false" ht="12.75" hidden="false" customHeight="false" outlineLevel="0" collapsed="false">
      <c r="B17" s="130" t="n">
        <v>44530</v>
      </c>
      <c r="C17" s="0" t="s">
        <v>176</v>
      </c>
      <c r="D17" s="3" t="n">
        <v>2000</v>
      </c>
      <c r="E17" s="3" t="n">
        <v>2000</v>
      </c>
      <c r="F17" s="3" t="n">
        <f aca="false">F16+D17-E17</f>
        <v>0</v>
      </c>
      <c r="I17" s="0" t="n">
        <v>2023</v>
      </c>
      <c r="J17" s="0" t="n">
        <v>2</v>
      </c>
      <c r="L17" s="186" t="n">
        <v>0.7183</v>
      </c>
      <c r="N17" s="0" t="n">
        <f aca="false">O16*L17</f>
        <v>21717.94416</v>
      </c>
      <c r="O17" s="0" t="n">
        <f aca="false">O16+N17</f>
        <v>51953.14416</v>
      </c>
    </row>
    <row r="18" customFormat="false" ht="12.75" hidden="false" customHeight="false" outlineLevel="0" collapsed="false">
      <c r="B18" s="189" t="n">
        <v>44560</v>
      </c>
      <c r="C18" s="112" t="s">
        <v>177</v>
      </c>
      <c r="D18" s="28" t="n">
        <v>2000</v>
      </c>
      <c r="E18" s="28" t="n">
        <v>2000</v>
      </c>
      <c r="F18" s="3" t="n">
        <f aca="false">F17+D18-E18</f>
        <v>0</v>
      </c>
      <c r="I18" s="0" t="n">
        <v>2024</v>
      </c>
      <c r="J18" s="0" t="n">
        <v>3</v>
      </c>
      <c r="L18" s="186" t="n">
        <v>0.5591</v>
      </c>
      <c r="N18" s="0" t="n">
        <f aca="false">O17*L18</f>
        <v>29047.002899856</v>
      </c>
      <c r="O18" s="0" t="n">
        <f aca="false">O17+N18</f>
        <v>81000.147059856</v>
      </c>
    </row>
    <row r="19" customFormat="false" ht="12.75" hidden="false" customHeight="false" outlineLevel="0" collapsed="false">
      <c r="B19" s="190" t="n">
        <v>44591</v>
      </c>
      <c r="C19" s="112" t="s">
        <v>177</v>
      </c>
      <c r="D19" s="28" t="n">
        <v>2000</v>
      </c>
      <c r="E19" s="28" t="n">
        <v>2000</v>
      </c>
      <c r="F19" s="3" t="n">
        <f aca="false">F18+D19-E19</f>
        <v>0</v>
      </c>
      <c r="I19" s="0" t="n">
        <v>2025</v>
      </c>
      <c r="J19" s="0" t="n">
        <v>4</v>
      </c>
      <c r="L19" s="186" t="n">
        <v>0.5383</v>
      </c>
      <c r="N19" s="0" t="n">
        <f aca="false">O18*L19</f>
        <v>43602.3791623205</v>
      </c>
      <c r="O19" s="0" t="n">
        <f aca="false">O18+N19</f>
        <v>124602.526222177</v>
      </c>
    </row>
    <row r="20" customFormat="false" ht="12.75" hidden="false" customHeight="false" outlineLevel="0" collapsed="false">
      <c r="B20" s="190" t="n">
        <v>44620</v>
      </c>
      <c r="C20" s="112" t="s">
        <v>178</v>
      </c>
      <c r="D20" s="28" t="n">
        <v>3000</v>
      </c>
      <c r="E20" s="28" t="n">
        <v>3000</v>
      </c>
      <c r="F20" s="3" t="n">
        <f aca="false">F19+D20-E20</f>
        <v>0</v>
      </c>
      <c r="J20" s="0" t="n">
        <v>5</v>
      </c>
    </row>
    <row r="21" customFormat="false" ht="12.75" hidden="false" customHeight="false" outlineLevel="0" collapsed="false">
      <c r="B21" s="190" t="n">
        <v>44650</v>
      </c>
      <c r="C21" s="112" t="s">
        <v>178</v>
      </c>
      <c r="D21" s="28" t="n">
        <v>3000</v>
      </c>
      <c r="E21" s="191" t="n">
        <v>3000</v>
      </c>
      <c r="F21" s="3" t="n">
        <f aca="false">F20+D21-E21</f>
        <v>0</v>
      </c>
    </row>
    <row r="22" customFormat="false" ht="12.75" hidden="false" customHeight="false" outlineLevel="0" collapsed="false">
      <c r="B22" s="190" t="n">
        <v>44681</v>
      </c>
      <c r="C22" s="112" t="s">
        <v>179</v>
      </c>
      <c r="D22" s="28" t="n">
        <v>3000</v>
      </c>
      <c r="E22" s="28" t="n">
        <v>5000</v>
      </c>
      <c r="F22" s="3" t="n">
        <f aca="false">F21+D22-E22</f>
        <v>-2000</v>
      </c>
      <c r="O22" s="0" t="n">
        <f aca="false">SUM(O15:O21)</f>
        <v>311791.017442033</v>
      </c>
    </row>
    <row r="23" customFormat="false" ht="12.75" hidden="false" customHeight="false" outlineLevel="0" collapsed="false">
      <c r="B23" s="190" t="n">
        <v>44711</v>
      </c>
      <c r="C23" s="112" t="s">
        <v>180</v>
      </c>
      <c r="D23" s="28" t="n">
        <v>5000</v>
      </c>
      <c r="E23" s="28" t="n">
        <v>3000</v>
      </c>
      <c r="F23" s="3" t="n">
        <f aca="false">F22+D23-E23</f>
        <v>0</v>
      </c>
    </row>
    <row r="24" customFormat="false" ht="12.75" hidden="false" customHeight="false" outlineLevel="0" collapsed="false">
      <c r="B24" s="190" t="n">
        <v>44742</v>
      </c>
      <c r="C24" s="112" t="s">
        <v>181</v>
      </c>
      <c r="D24" s="28" t="n">
        <v>5000</v>
      </c>
      <c r="E24" s="28" t="n">
        <v>4000</v>
      </c>
      <c r="F24" s="3" t="n">
        <f aca="false">F23+D24-E24</f>
        <v>1000</v>
      </c>
      <c r="H24" s="0" t="n">
        <v>4000</v>
      </c>
    </row>
    <row r="25" customFormat="false" ht="12.75" hidden="false" customHeight="false" outlineLevel="0" collapsed="false">
      <c r="B25" s="190" t="n">
        <v>44772</v>
      </c>
      <c r="C25" s="112" t="s">
        <v>182</v>
      </c>
      <c r="D25" s="28" t="n">
        <v>5000</v>
      </c>
      <c r="E25" s="28" t="n">
        <v>5000</v>
      </c>
      <c r="F25" s="3" t="n">
        <f aca="false">F24+D25-E25</f>
        <v>1000</v>
      </c>
      <c r="H25" s="0" t="n">
        <v>5000</v>
      </c>
      <c r="L25" s="192"/>
    </row>
    <row r="26" customFormat="false" ht="12.75" hidden="false" customHeight="false" outlineLevel="0" collapsed="false">
      <c r="B26" s="190" t="n">
        <v>44803</v>
      </c>
      <c r="C26" s="112" t="s">
        <v>166</v>
      </c>
      <c r="D26" s="28"/>
      <c r="E26" s="28" t="n">
        <v>1000</v>
      </c>
      <c r="F26" s="3" t="n">
        <f aca="false">F25+D26-E26</f>
        <v>0</v>
      </c>
      <c r="L26" s="192"/>
    </row>
    <row r="27" customFormat="false" ht="12.75" hidden="false" customHeight="false" outlineLevel="0" collapsed="false">
      <c r="A27" s="175"/>
      <c r="B27" s="176"/>
      <c r="C27" s="175"/>
      <c r="D27" s="182" t="s">
        <v>246</v>
      </c>
      <c r="E27" s="188" t="n">
        <f aca="false">SUM(E14:E26)</f>
        <v>36000</v>
      </c>
      <c r="F27" s="175"/>
      <c r="G27" s="175"/>
      <c r="L27" s="192"/>
    </row>
    <row r="28" customFormat="false" ht="12.75" hidden="false" customHeight="false" outlineLevel="0" collapsed="false">
      <c r="C28" s="0" t="s">
        <v>249</v>
      </c>
      <c r="D28" s="193"/>
      <c r="G28" s="99" t="s">
        <v>250</v>
      </c>
      <c r="L28" s="192"/>
    </row>
    <row r="29" customFormat="false" ht="12.75" hidden="false" customHeight="false" outlineLevel="0" collapsed="false">
      <c r="C29" s="0" t="s">
        <v>191</v>
      </c>
      <c r="E29" s="0" t="n">
        <v>2280</v>
      </c>
      <c r="F29" s="3"/>
      <c r="L29" s="194"/>
    </row>
    <row r="30" customFormat="false" ht="12.75" hidden="false" customHeight="false" outlineLevel="0" collapsed="false">
      <c r="B30" s="180" t="s">
        <v>123</v>
      </c>
      <c r="C30" s="181" t="s">
        <v>124</v>
      </c>
      <c r="D30" s="182" t="s">
        <v>158</v>
      </c>
      <c r="E30" s="183" t="s">
        <v>159</v>
      </c>
      <c r="F30" s="183" t="s">
        <v>126</v>
      </c>
    </row>
    <row r="31" customFormat="false" ht="12.75" hidden="false" customHeight="false" outlineLevel="0" collapsed="false">
      <c r="B31" s="189" t="n">
        <v>45167</v>
      </c>
      <c r="C31" s="112" t="s">
        <v>178</v>
      </c>
      <c r="D31" s="3" t="n">
        <v>3000</v>
      </c>
      <c r="E31" s="0" t="n">
        <v>3000</v>
      </c>
      <c r="F31" s="3" t="n">
        <f aca="false">D31-E31</f>
        <v>0</v>
      </c>
    </row>
    <row r="32" customFormat="false" ht="12.75" hidden="false" customHeight="false" outlineLevel="0" collapsed="false">
      <c r="B32" s="190" t="n">
        <v>44834</v>
      </c>
      <c r="C32" s="112" t="s">
        <v>178</v>
      </c>
      <c r="D32" s="3" t="n">
        <v>3000</v>
      </c>
      <c r="E32" s="0" t="n">
        <v>3000</v>
      </c>
      <c r="F32" s="3" t="n">
        <f aca="false">F31+D32-E32</f>
        <v>0</v>
      </c>
      <c r="G32" s="3"/>
      <c r="H32" s="3"/>
      <c r="I32" s="3"/>
    </row>
    <row r="33" customFormat="false" ht="12.75" hidden="false" customHeight="false" outlineLevel="0" collapsed="false">
      <c r="B33" s="190" t="n">
        <v>44865</v>
      </c>
      <c r="C33" s="112" t="s">
        <v>178</v>
      </c>
      <c r="D33" s="3" t="n">
        <v>3000</v>
      </c>
      <c r="E33" s="0" t="n">
        <v>3000</v>
      </c>
      <c r="F33" s="3" t="n">
        <f aca="false">F32+D33-E33</f>
        <v>0</v>
      </c>
      <c r="G33" s="3"/>
      <c r="H33" s="3"/>
      <c r="I33" s="3"/>
    </row>
    <row r="34" customFormat="false" ht="12.75" hidden="false" customHeight="false" outlineLevel="0" collapsed="false">
      <c r="B34" s="190" t="n">
        <v>44895</v>
      </c>
      <c r="C34" s="112" t="s">
        <v>178</v>
      </c>
      <c r="D34" s="3" t="n">
        <v>3000</v>
      </c>
      <c r="E34" s="0" t="n">
        <v>3000</v>
      </c>
      <c r="F34" s="3" t="n">
        <f aca="false">F33+D34-E34</f>
        <v>0</v>
      </c>
      <c r="G34" s="3"/>
      <c r="H34" s="3"/>
      <c r="I34" s="3"/>
    </row>
    <row r="35" customFormat="false" ht="12.75" hidden="false" customHeight="false" outlineLevel="0" collapsed="false">
      <c r="B35" s="190" t="n">
        <v>44925</v>
      </c>
      <c r="C35" s="112" t="s">
        <v>192</v>
      </c>
      <c r="D35" s="3" t="n">
        <v>3000</v>
      </c>
      <c r="E35" s="0" t="n">
        <v>3000</v>
      </c>
      <c r="F35" s="3" t="n">
        <f aca="false">F34+D35-E35</f>
        <v>0</v>
      </c>
      <c r="G35" s="3"/>
      <c r="H35" s="3" t="n">
        <v>3000</v>
      </c>
      <c r="I35" s="3"/>
    </row>
    <row r="36" customFormat="false" ht="12.75" hidden="false" customHeight="false" outlineLevel="0" collapsed="false">
      <c r="B36" s="189" t="n">
        <v>44956</v>
      </c>
      <c r="C36" s="112" t="s">
        <v>193</v>
      </c>
      <c r="D36" s="3" t="n">
        <v>6000</v>
      </c>
      <c r="E36" s="0" t="n">
        <v>6000</v>
      </c>
      <c r="F36" s="3" t="n">
        <f aca="false">F35+D36-E36</f>
        <v>0</v>
      </c>
      <c r="G36" s="3"/>
      <c r="H36" s="3" t="n">
        <v>6000</v>
      </c>
      <c r="I36" s="3"/>
    </row>
    <row r="37" customFormat="false" ht="12.75" hidden="false" customHeight="false" outlineLevel="0" collapsed="false">
      <c r="B37" s="189" t="n">
        <v>44985</v>
      </c>
      <c r="C37" s="112" t="s">
        <v>194</v>
      </c>
      <c r="D37" s="3" t="n">
        <v>6500</v>
      </c>
      <c r="E37" s="0" t="n">
        <v>6500</v>
      </c>
      <c r="F37" s="3" t="n">
        <f aca="false">F36+D37-E37</f>
        <v>0</v>
      </c>
      <c r="G37" s="3"/>
      <c r="H37" s="3"/>
      <c r="I37" s="3"/>
    </row>
    <row r="38" customFormat="false" ht="12.75" hidden="false" customHeight="false" outlineLevel="0" collapsed="false">
      <c r="B38" s="130" t="n">
        <v>45015</v>
      </c>
      <c r="C38" s="112" t="s">
        <v>195</v>
      </c>
      <c r="D38" s="3" t="n">
        <v>6500</v>
      </c>
      <c r="E38" s="0" t="n">
        <v>6500</v>
      </c>
      <c r="F38" s="3" t="n">
        <f aca="false">F37+D38-E38</f>
        <v>0</v>
      </c>
      <c r="G38" s="3"/>
      <c r="H38" s="3"/>
      <c r="I38" s="3"/>
    </row>
    <row r="39" customFormat="false" ht="12.75" hidden="false" customHeight="false" outlineLevel="0" collapsed="false">
      <c r="B39" s="130" t="n">
        <v>45046</v>
      </c>
      <c r="C39" s="112" t="s">
        <v>195</v>
      </c>
      <c r="D39" s="3" t="n">
        <v>6500</v>
      </c>
      <c r="E39" s="0" t="n">
        <v>6500</v>
      </c>
      <c r="F39" s="3" t="n">
        <f aca="false">F38+D39-E39</f>
        <v>0</v>
      </c>
      <c r="G39" s="3"/>
      <c r="H39" s="3"/>
      <c r="I39" s="3"/>
    </row>
    <row r="40" customFormat="false" ht="12.75" hidden="false" customHeight="false" outlineLevel="0" collapsed="false">
      <c r="B40" s="130" t="n">
        <v>45076</v>
      </c>
      <c r="C40" s="112" t="s">
        <v>195</v>
      </c>
      <c r="D40" s="3" t="n">
        <v>6500</v>
      </c>
      <c r="E40" s="0" t="n">
        <v>6500</v>
      </c>
      <c r="F40" s="3" t="n">
        <f aca="false">F39+D40-E40</f>
        <v>0</v>
      </c>
      <c r="G40" s="3"/>
      <c r="H40" s="3"/>
      <c r="I40" s="3"/>
    </row>
    <row r="41" customFormat="false" ht="12.75" hidden="false" customHeight="false" outlineLevel="0" collapsed="false">
      <c r="B41" s="130" t="n">
        <v>45107</v>
      </c>
      <c r="C41" s="112" t="s">
        <v>195</v>
      </c>
      <c r="D41" s="3" t="n">
        <v>6500</v>
      </c>
      <c r="E41" s="0" t="n">
        <v>6500</v>
      </c>
      <c r="F41" s="3" t="n">
        <f aca="false">F40+D41-E41</f>
        <v>0</v>
      </c>
      <c r="G41" s="3"/>
      <c r="H41" s="3"/>
      <c r="I41" s="3"/>
    </row>
    <row r="42" customFormat="false" ht="12.75" hidden="false" customHeight="false" outlineLevel="0" collapsed="false">
      <c r="B42" s="130" t="n">
        <v>45137</v>
      </c>
      <c r="C42" s="112" t="s">
        <v>195</v>
      </c>
      <c r="D42" s="3" t="n">
        <v>6500</v>
      </c>
      <c r="E42" s="0" t="n">
        <v>6500</v>
      </c>
      <c r="F42" s="3" t="n">
        <f aca="false">F41+D42-E42</f>
        <v>0</v>
      </c>
      <c r="G42" s="3"/>
      <c r="H42" s="3"/>
      <c r="I42" s="3"/>
    </row>
    <row r="43" customFormat="false" ht="12.75" hidden="false" customHeight="false" outlineLevel="0" collapsed="false">
      <c r="A43" s="175"/>
      <c r="B43" s="176"/>
      <c r="C43" s="175"/>
      <c r="D43" s="182" t="s">
        <v>246</v>
      </c>
      <c r="E43" s="188" t="n">
        <f aca="false">SUM(E31:E42)</f>
        <v>60000</v>
      </c>
      <c r="F43" s="175"/>
      <c r="G43" s="175"/>
    </row>
    <row r="44" customFormat="false" ht="12.75" hidden="false" customHeight="false" outlineLevel="0" collapsed="false">
      <c r="C44" s="0" t="s">
        <v>251</v>
      </c>
      <c r="G44" s="99" t="s">
        <v>252</v>
      </c>
    </row>
    <row r="45" customFormat="false" ht="12.75" hidden="false" customHeight="false" outlineLevel="0" collapsed="false">
      <c r="B45" s="180" t="s">
        <v>123</v>
      </c>
      <c r="C45" s="181" t="s">
        <v>124</v>
      </c>
      <c r="D45" s="182" t="s">
        <v>158</v>
      </c>
      <c r="E45" s="183" t="s">
        <v>159</v>
      </c>
      <c r="F45" s="183" t="s">
        <v>126</v>
      </c>
    </row>
    <row r="46" customFormat="false" ht="12.75" hidden="false" customHeight="false" outlineLevel="0" collapsed="false">
      <c r="B46" s="130" t="n">
        <v>45168</v>
      </c>
      <c r="C46" s="112" t="s">
        <v>166</v>
      </c>
      <c r="D46" s="3" t="n">
        <v>6500</v>
      </c>
      <c r="E46" s="0" t="n">
        <v>6500</v>
      </c>
      <c r="F46" s="3" t="n">
        <f aca="false">D46-E46</f>
        <v>0</v>
      </c>
      <c r="G46" s="3"/>
      <c r="H46" s="3"/>
      <c r="I46" s="3"/>
    </row>
    <row r="47" customFormat="false" ht="12.75" hidden="false" customHeight="false" outlineLevel="0" collapsed="false">
      <c r="B47" s="130" t="n">
        <v>45199</v>
      </c>
      <c r="C47" s="0" t="s">
        <v>167</v>
      </c>
      <c r="D47" s="3" t="n">
        <v>6500</v>
      </c>
      <c r="E47" s="0" t="n">
        <v>6500</v>
      </c>
      <c r="F47" s="3" t="n">
        <f aca="false">D47-E47+F46</f>
        <v>0</v>
      </c>
      <c r="H47" s="3" t="n">
        <v>6500</v>
      </c>
      <c r="I47" s="3"/>
    </row>
    <row r="48" customFormat="false" ht="12.75" hidden="false" customHeight="false" outlineLevel="0" collapsed="false">
      <c r="B48" s="130" t="n">
        <v>45229</v>
      </c>
      <c r="C48" s="0" t="s">
        <v>168</v>
      </c>
      <c r="D48" s="3" t="n">
        <v>6500</v>
      </c>
      <c r="E48" s="0" t="n">
        <v>6500</v>
      </c>
      <c r="F48" s="3" t="n">
        <f aca="false">D48-E48+F47</f>
        <v>0</v>
      </c>
      <c r="H48" s="3"/>
      <c r="I48" s="3"/>
    </row>
    <row r="49" customFormat="false" ht="12.75" hidden="false" customHeight="false" outlineLevel="0" collapsed="false">
      <c r="B49" s="130" t="n">
        <v>45260</v>
      </c>
      <c r="C49" s="0" t="s">
        <v>168</v>
      </c>
      <c r="D49" s="3" t="n">
        <v>6500</v>
      </c>
      <c r="E49" s="0" t="n">
        <v>6500</v>
      </c>
      <c r="F49" s="3" t="n">
        <f aca="false">D49-E49+F48</f>
        <v>0</v>
      </c>
      <c r="H49" s="3"/>
      <c r="I49" s="3"/>
    </row>
    <row r="50" customFormat="false" ht="12.75" hidden="false" customHeight="false" outlineLevel="0" collapsed="false">
      <c r="B50" s="130" t="n">
        <v>45290</v>
      </c>
      <c r="C50" s="0" t="s">
        <v>168</v>
      </c>
      <c r="D50" s="3" t="n">
        <v>6500</v>
      </c>
      <c r="E50" s="0" t="n">
        <v>6500</v>
      </c>
      <c r="F50" s="3" t="n">
        <f aca="false">D50-E50+F49</f>
        <v>0</v>
      </c>
      <c r="H50" s="3"/>
      <c r="I50" s="3"/>
    </row>
    <row r="51" customFormat="false" ht="12.75" hidden="false" customHeight="false" outlineLevel="0" collapsed="false">
      <c r="B51" s="130" t="n">
        <v>45321</v>
      </c>
      <c r="C51" s="0" t="s">
        <v>166</v>
      </c>
      <c r="D51" s="3" t="n">
        <v>6500</v>
      </c>
      <c r="E51" s="0" t="n">
        <v>6500</v>
      </c>
      <c r="F51" s="3" t="n">
        <f aca="false">D51-E51+F50</f>
        <v>0</v>
      </c>
      <c r="H51" s="3"/>
      <c r="I51" s="3"/>
    </row>
    <row r="52" customFormat="false" ht="12.75" hidden="false" customHeight="false" outlineLevel="0" collapsed="false">
      <c r="B52" s="130" t="n">
        <v>45351</v>
      </c>
      <c r="C52" s="0" t="s">
        <v>166</v>
      </c>
      <c r="D52" s="3" t="n">
        <v>15000</v>
      </c>
      <c r="E52" s="0" t="n">
        <v>6500</v>
      </c>
      <c r="F52" s="3" t="n">
        <f aca="false">D52-E52+F51</f>
        <v>8500</v>
      </c>
      <c r="H52" s="3"/>
      <c r="I52" s="3"/>
    </row>
    <row r="53" customFormat="false" ht="12.75" hidden="false" customHeight="false" outlineLevel="0" collapsed="false">
      <c r="B53" s="130" t="n">
        <v>45381</v>
      </c>
      <c r="C53" s="0" t="s">
        <v>166</v>
      </c>
      <c r="D53" s="3" t="n">
        <v>15000</v>
      </c>
      <c r="E53" s="0" t="n">
        <v>15000</v>
      </c>
      <c r="F53" s="3" t="n">
        <f aca="false">D53-E53+F52</f>
        <v>8500</v>
      </c>
      <c r="H53" s="3"/>
      <c r="I53" s="3"/>
    </row>
    <row r="54" customFormat="false" ht="12.75" hidden="false" customHeight="false" outlineLevel="0" collapsed="false">
      <c r="B54" s="130" t="n">
        <v>45411</v>
      </c>
      <c r="D54" s="3" t="n">
        <v>15000</v>
      </c>
      <c r="E54" s="0" t="n">
        <v>15000</v>
      </c>
      <c r="F54" s="3" t="n">
        <f aca="false">D54-E54+F53</f>
        <v>8500</v>
      </c>
      <c r="H54" s="3"/>
      <c r="I54" s="3"/>
    </row>
    <row r="55" customFormat="false" ht="12.75" hidden="false" customHeight="false" outlineLevel="0" collapsed="false">
      <c r="B55" s="130" t="n">
        <v>45441</v>
      </c>
      <c r="D55" s="3" t="n">
        <v>15000</v>
      </c>
      <c r="E55" s="0" t="n">
        <v>15000</v>
      </c>
      <c r="F55" s="3" t="n">
        <f aca="false">D55-E55+F54</f>
        <v>8500</v>
      </c>
      <c r="H55" s="3"/>
      <c r="I55" s="3"/>
    </row>
    <row r="56" customFormat="false" ht="12.75" hidden="false" customHeight="false" outlineLevel="0" collapsed="false">
      <c r="B56" s="130" t="n">
        <v>45471</v>
      </c>
      <c r="C56" s="0" t="s">
        <v>253</v>
      </c>
      <c r="D56" s="3" t="n">
        <v>15000</v>
      </c>
      <c r="E56" s="0" t="n">
        <v>15000</v>
      </c>
      <c r="F56" s="3" t="n">
        <f aca="false">D56-E56+F55</f>
        <v>8500</v>
      </c>
      <c r="H56" s="3" t="n">
        <v>15000</v>
      </c>
      <c r="I56" s="3"/>
    </row>
    <row r="57" customFormat="false" ht="12.75" hidden="false" customHeight="false" outlineLevel="0" collapsed="false">
      <c r="B57" s="130" t="n">
        <v>45501</v>
      </c>
      <c r="D57" s="3" t="n">
        <v>15000</v>
      </c>
      <c r="E57" s="0" t="n">
        <v>15000</v>
      </c>
      <c r="F57" s="3" t="n">
        <f aca="false">D57-E57+F56</f>
        <v>8500</v>
      </c>
      <c r="H57" s="3"/>
      <c r="I57" s="3"/>
    </row>
    <row r="58" customFormat="false" ht="12.75" hidden="false" customHeight="false" outlineLevel="0" collapsed="false">
      <c r="F58" s="3"/>
      <c r="H58" s="3"/>
      <c r="I58" s="3"/>
    </row>
    <row r="59" customFormat="false" ht="12.75" hidden="false" customHeight="false" outlineLevel="0" collapsed="false">
      <c r="A59" s="175"/>
      <c r="B59" s="176"/>
      <c r="C59" s="175"/>
      <c r="D59" s="182" t="s">
        <v>246</v>
      </c>
      <c r="E59" s="188" t="n">
        <f aca="false">SUM(E46:E57)</f>
        <v>120500</v>
      </c>
      <c r="F59" s="175"/>
      <c r="G59" s="175"/>
    </row>
    <row r="61" customFormat="false" ht="12.75" hidden="false" customHeight="false" outlineLevel="0" collapsed="false">
      <c r="C61" s="0" t="s">
        <v>254</v>
      </c>
      <c r="G61" s="99" t="s">
        <v>255</v>
      </c>
    </row>
    <row r="62" customFormat="false" ht="12.75" hidden="false" customHeight="false" outlineLevel="0" collapsed="false">
      <c r="B62" s="180" t="s">
        <v>123</v>
      </c>
      <c r="C62" s="181" t="s">
        <v>124</v>
      </c>
      <c r="D62" s="182" t="s">
        <v>158</v>
      </c>
      <c r="E62" s="183" t="s">
        <v>159</v>
      </c>
      <c r="F62" s="183" t="s">
        <v>126</v>
      </c>
    </row>
    <row r="63" customFormat="false" ht="12.75" hidden="false" customHeight="false" outlineLevel="0" collapsed="false">
      <c r="B63" s="130" t="n">
        <v>45534</v>
      </c>
      <c r="C63" s="112" t="s">
        <v>256</v>
      </c>
      <c r="D63" s="3" t="n">
        <v>22104</v>
      </c>
      <c r="E63" s="0" t="n">
        <v>15000</v>
      </c>
      <c r="F63" s="3" t="n">
        <f aca="false">D63-E63</f>
        <v>7104</v>
      </c>
      <c r="G63" s="3"/>
      <c r="H63" s="3" t="n">
        <v>15000</v>
      </c>
    </row>
    <row r="64" customFormat="false" ht="12.75" hidden="false" customHeight="false" outlineLevel="0" collapsed="false">
      <c r="B64" s="130" t="n">
        <v>45565</v>
      </c>
      <c r="C64" s="0" t="s">
        <v>257</v>
      </c>
      <c r="D64" s="3" t="n">
        <f aca="false">D63</f>
        <v>22104</v>
      </c>
      <c r="E64" s="0" t="n">
        <v>15000</v>
      </c>
      <c r="F64" s="3" t="n">
        <f aca="false">D64-E64+F63</f>
        <v>14208</v>
      </c>
      <c r="H64" s="3" t="n">
        <v>15000</v>
      </c>
    </row>
    <row r="65" customFormat="false" ht="12.75" hidden="false" customHeight="false" outlineLevel="0" collapsed="false">
      <c r="B65" s="130" t="n">
        <v>45595</v>
      </c>
      <c r="C65" s="0" t="s">
        <v>258</v>
      </c>
      <c r="D65" s="3" t="n">
        <f aca="false">D64</f>
        <v>22104</v>
      </c>
      <c r="E65" s="0" t="n">
        <v>15000</v>
      </c>
      <c r="F65" s="3" t="n">
        <f aca="false">D65-E65+F64</f>
        <v>21312</v>
      </c>
      <c r="H65" s="3" t="n">
        <v>15000</v>
      </c>
    </row>
    <row r="66" customFormat="false" ht="12.75" hidden="false" customHeight="false" outlineLevel="0" collapsed="false">
      <c r="B66" s="130" t="n">
        <v>45626</v>
      </c>
      <c r="C66" s="0" t="s">
        <v>259</v>
      </c>
      <c r="D66" s="3" t="n">
        <f aca="false">D65</f>
        <v>22104</v>
      </c>
      <c r="E66" s="0" t="n">
        <v>15000</v>
      </c>
      <c r="F66" s="3" t="n">
        <f aca="false">D66-E66+F65</f>
        <v>28416</v>
      </c>
      <c r="H66" s="3" t="n">
        <v>15000</v>
      </c>
    </row>
    <row r="67" customFormat="false" ht="12.75" hidden="false" customHeight="false" outlineLevel="0" collapsed="false">
      <c r="B67" s="130" t="n">
        <v>45656</v>
      </c>
      <c r="D67" s="3" t="n">
        <f aca="false">D66</f>
        <v>22104</v>
      </c>
      <c r="E67" s="0" t="n">
        <v>15000</v>
      </c>
      <c r="F67" s="3" t="n">
        <f aca="false">D67-E67+F66</f>
        <v>35520</v>
      </c>
    </row>
    <row r="68" customFormat="false" ht="12.75" hidden="false" customHeight="false" outlineLevel="0" collapsed="false">
      <c r="B68" s="130" t="n">
        <v>45687</v>
      </c>
      <c r="D68" s="3" t="n">
        <f aca="false">D67</f>
        <v>22104</v>
      </c>
      <c r="E68" s="0" t="n">
        <v>15000</v>
      </c>
      <c r="F68" s="3" t="n">
        <f aca="false">D68-E68+F67</f>
        <v>42624</v>
      </c>
    </row>
    <row r="69" customFormat="false" ht="12.75" hidden="false" customHeight="false" outlineLevel="0" collapsed="false">
      <c r="B69" s="130" t="s">
        <v>260</v>
      </c>
      <c r="D69" s="3" t="n">
        <f aca="false">D68</f>
        <v>22104</v>
      </c>
      <c r="F69" s="3" t="n">
        <f aca="false">D69-E69+F68</f>
        <v>64728</v>
      </c>
    </row>
    <row r="70" customFormat="false" ht="12.75" hidden="false" customHeight="false" outlineLevel="0" collapsed="false">
      <c r="B70" s="130" t="n">
        <v>45746</v>
      </c>
      <c r="D70" s="3" t="n">
        <f aca="false">D69</f>
        <v>22104</v>
      </c>
      <c r="F70" s="3" t="n">
        <f aca="false">D70-E70+F69</f>
        <v>86832</v>
      </c>
    </row>
    <row r="71" customFormat="false" ht="12.75" hidden="false" customHeight="false" outlineLevel="0" collapsed="false">
      <c r="B71" s="130" t="n">
        <v>45776</v>
      </c>
      <c r="D71" s="3" t="n">
        <f aca="false">D70</f>
        <v>22104</v>
      </c>
      <c r="F71" s="3" t="n">
        <f aca="false">D71-E71+F70</f>
        <v>108936</v>
      </c>
    </row>
    <row r="72" customFormat="false" ht="12.75" hidden="false" customHeight="false" outlineLevel="0" collapsed="false">
      <c r="B72" s="130" t="n">
        <v>45806</v>
      </c>
      <c r="D72" s="3" t="n">
        <f aca="false">D71</f>
        <v>22104</v>
      </c>
      <c r="F72" s="3" t="n">
        <f aca="false">D72-E72+F71</f>
        <v>131040</v>
      </c>
    </row>
    <row r="73" customFormat="false" ht="12.75" hidden="false" customHeight="false" outlineLevel="0" collapsed="false">
      <c r="B73" s="130" t="n">
        <v>45836</v>
      </c>
      <c r="D73" s="3" t="n">
        <f aca="false">D72</f>
        <v>22104</v>
      </c>
      <c r="F73" s="3" t="n">
        <f aca="false">D73-E73+F72</f>
        <v>153144</v>
      </c>
    </row>
    <row r="74" customFormat="false" ht="12.75" hidden="false" customHeight="false" outlineLevel="0" collapsed="false">
      <c r="B74" s="130" t="n">
        <v>45866</v>
      </c>
      <c r="D74" s="3" t="n">
        <f aca="false">D73</f>
        <v>22104</v>
      </c>
      <c r="F74" s="3" t="n">
        <f aca="false">D74-E74+F73</f>
        <v>175248</v>
      </c>
    </row>
    <row r="75" customFormat="false" ht="12.75" hidden="false" customHeight="false" outlineLevel="0" collapsed="false">
      <c r="F75" s="3"/>
    </row>
    <row r="76" customFormat="false" ht="12.75" hidden="false" customHeight="false" outlineLevel="0" collapsed="false">
      <c r="A76" s="175"/>
      <c r="B76" s="176"/>
      <c r="C76" s="175"/>
      <c r="D76" s="182" t="s">
        <v>246</v>
      </c>
      <c r="E76" s="188" t="n">
        <f aca="false">SUM(E61:E74)</f>
        <v>90000</v>
      </c>
      <c r="F76" s="175"/>
      <c r="G76" s="175"/>
      <c r="H76" s="0" t="n">
        <f aca="false">SUM(H4:H75)</f>
        <v>99500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015625" defaultRowHeight="12.75" customHeight="false" zeroHeight="false" outlineLevelRow="0" outlineLevelCol="0"/>
  <cols>
    <col collapsed="false" customWidth="true" hidden="false" outlineLevel="0" max="1" min="1" style="0" width="10.71"/>
    <col collapsed="false" customWidth="true" hidden="false" outlineLevel="0" max="2" min="2" style="0" width="20.71"/>
    <col collapsed="false" customWidth="true" hidden="false" outlineLevel="0" max="3" min="3" style="0" width="11.14"/>
    <col collapsed="false" customWidth="true" hidden="false" outlineLevel="0" max="4" min="4" style="0" width="11.71"/>
    <col collapsed="false" customWidth="true" hidden="false" outlineLevel="0" max="5" min="5" style="0" width="10.43"/>
    <col collapsed="false" customWidth="true" hidden="false" outlineLevel="0" max="6" min="6" style="0" width="8.86"/>
    <col collapsed="false" customWidth="true" hidden="false" outlineLevel="0" max="7" min="7" style="0" width="10.86"/>
    <col collapsed="false" customWidth="true" hidden="false" outlineLevel="0" max="8" min="8" style="0" width="9.14"/>
  </cols>
  <sheetData>
    <row r="1" customFormat="false" ht="12.75" hidden="false" customHeight="false" outlineLevel="0" collapsed="false">
      <c r="A1" s="101"/>
      <c r="B1" s="50"/>
      <c r="C1" s="3"/>
      <c r="D1" s="3"/>
      <c r="E1" s="3"/>
      <c r="F1" s="3"/>
      <c r="G1" s="3"/>
    </row>
    <row r="2" customFormat="false" ht="12.75" hidden="false" customHeight="false" outlineLevel="0" collapsed="false">
      <c r="A2" s="101"/>
      <c r="B2" s="50"/>
      <c r="C2" s="3"/>
      <c r="D2" s="3"/>
      <c r="E2" s="3"/>
      <c r="F2" s="3"/>
      <c r="G2" s="3"/>
    </row>
    <row r="3" customFormat="false" ht="12.75" hidden="false" customHeight="false" outlineLevel="0" collapsed="false">
      <c r="A3" s="101"/>
      <c r="B3" s="50" t="s">
        <v>261</v>
      </c>
      <c r="C3" s="3"/>
      <c r="D3" s="3"/>
      <c r="E3" s="3"/>
      <c r="F3" s="3"/>
      <c r="G3" s="3"/>
    </row>
    <row r="4" customFormat="false" ht="12.75" hidden="false" customHeight="false" outlineLevel="0" collapsed="false">
      <c r="A4" s="101"/>
      <c r="C4" s="3"/>
      <c r="D4" s="3"/>
      <c r="E4" s="3"/>
      <c r="F4" s="3"/>
      <c r="G4" s="3"/>
    </row>
    <row r="5" customFormat="false" ht="12.75" hidden="false" customHeight="false" outlineLevel="0" collapsed="false">
      <c r="A5" s="101"/>
      <c r="C5" s="3"/>
      <c r="D5" s="3"/>
      <c r="E5" s="3"/>
      <c r="F5" s="3"/>
      <c r="G5" s="3"/>
    </row>
    <row r="6" customFormat="false" ht="12.75" hidden="false" customHeight="false" outlineLevel="0" collapsed="false">
      <c r="A6" s="103" t="s">
        <v>123</v>
      </c>
      <c r="B6" s="104" t="s">
        <v>124</v>
      </c>
      <c r="C6" s="105" t="s">
        <v>169</v>
      </c>
      <c r="D6" s="105" t="s">
        <v>33</v>
      </c>
      <c r="E6" s="105" t="s">
        <v>126</v>
      </c>
      <c r="F6" s="105" t="s">
        <v>170</v>
      </c>
      <c r="G6" s="105" t="s">
        <v>262</v>
      </c>
    </row>
    <row r="7" customFormat="false" ht="12.75" hidden="false" customHeight="false" outlineLevel="0" collapsed="false">
      <c r="A7" s="103"/>
      <c r="B7" s="104"/>
      <c r="C7" s="105"/>
      <c r="D7" s="105"/>
      <c r="E7" s="105"/>
      <c r="F7" s="105"/>
      <c r="G7" s="105"/>
    </row>
    <row r="8" customFormat="false" ht="12.75" hidden="false" customHeight="false" outlineLevel="0" collapsed="false">
      <c r="A8" s="109" t="n">
        <v>44946</v>
      </c>
      <c r="B8" s="0" t="s">
        <v>263</v>
      </c>
      <c r="C8" s="3" t="n">
        <v>1650</v>
      </c>
      <c r="D8" s="3" t="n">
        <v>1650</v>
      </c>
      <c r="E8" s="3" t="n">
        <f aca="false">C8-D8</f>
        <v>0</v>
      </c>
      <c r="F8" s="3"/>
      <c r="G8" s="3" t="n">
        <f aca="false">D8-F8</f>
        <v>1650</v>
      </c>
    </row>
    <row r="9" customFormat="false" ht="12.75" hidden="false" customHeight="false" outlineLevel="0" collapsed="false">
      <c r="A9" s="109" t="n">
        <v>44977</v>
      </c>
      <c r="B9" s="0" t="s">
        <v>263</v>
      </c>
      <c r="C9" s="3" t="n">
        <v>1650</v>
      </c>
      <c r="D9" s="3" t="n">
        <v>1650</v>
      </c>
      <c r="E9" s="3" t="n">
        <f aca="false">E8-D9+C9</f>
        <v>0</v>
      </c>
      <c r="F9" s="3"/>
      <c r="G9" s="3" t="n">
        <f aca="false">D9-F9</f>
        <v>1650</v>
      </c>
    </row>
    <row r="10" customFormat="false" ht="12.75" hidden="false" customHeight="false" outlineLevel="0" collapsed="false">
      <c r="A10" s="109" t="n">
        <v>45005</v>
      </c>
      <c r="B10" s="55"/>
      <c r="C10" s="3" t="n">
        <v>1650</v>
      </c>
      <c r="D10" s="3" t="n">
        <v>1650</v>
      </c>
      <c r="E10" s="3" t="n">
        <f aca="false">E9-D10+C10</f>
        <v>0</v>
      </c>
      <c r="F10" s="3"/>
      <c r="G10" s="3" t="n">
        <f aca="false">D10-F10</f>
        <v>1650</v>
      </c>
    </row>
    <row r="11" customFormat="false" ht="12.75" hidden="false" customHeight="false" outlineLevel="0" collapsed="false">
      <c r="A11" s="101"/>
      <c r="B11" s="0" t="s">
        <v>264</v>
      </c>
      <c r="C11" s="3"/>
      <c r="D11" s="3"/>
      <c r="E11" s="3" t="n">
        <f aca="false">E10-D11+C11</f>
        <v>0</v>
      </c>
      <c r="F11" s="3"/>
      <c r="G11" s="3" t="n">
        <f aca="false">D11-F11</f>
        <v>0</v>
      </c>
    </row>
    <row r="12" customFormat="false" ht="12.75" hidden="false" customHeight="false" outlineLevel="0" collapsed="false">
      <c r="A12" s="109" t="n">
        <v>44671</v>
      </c>
      <c r="B12" s="0" t="s">
        <v>265</v>
      </c>
      <c r="C12" s="3"/>
      <c r="D12" s="3"/>
      <c r="E12" s="3" t="n">
        <f aca="false">E11-D12+C12</f>
        <v>0</v>
      </c>
      <c r="F12" s="3"/>
      <c r="G12" s="3" t="n">
        <f aca="false">D12-F12</f>
        <v>0</v>
      </c>
    </row>
    <row r="13" customFormat="false" ht="12.75" hidden="false" customHeight="false" outlineLevel="0" collapsed="false">
      <c r="A13" s="109"/>
      <c r="B13" s="0" t="s">
        <v>266</v>
      </c>
      <c r="C13" s="3"/>
      <c r="D13" s="3"/>
      <c r="E13" s="3" t="n">
        <f aca="false">E12-D13+C13</f>
        <v>0</v>
      </c>
      <c r="F13" s="3"/>
      <c r="G13" s="3" t="n">
        <f aca="false">D13-F13</f>
        <v>0</v>
      </c>
    </row>
    <row r="14" customFormat="false" ht="12.75" hidden="false" customHeight="false" outlineLevel="0" collapsed="false">
      <c r="A14" s="109" t="n">
        <v>45036</v>
      </c>
      <c r="B14" s="55"/>
      <c r="C14" s="3" t="n">
        <v>2800</v>
      </c>
      <c r="D14" s="3" t="n">
        <v>2800</v>
      </c>
      <c r="E14" s="3" t="n">
        <f aca="false">E13-D14+C14</f>
        <v>0</v>
      </c>
      <c r="F14" s="3"/>
      <c r="G14" s="3" t="n">
        <f aca="false">D14-F14</f>
        <v>2800</v>
      </c>
    </row>
    <row r="15" customFormat="false" ht="12.75" hidden="false" customHeight="false" outlineLevel="0" collapsed="false">
      <c r="A15" s="109" t="n">
        <v>45066</v>
      </c>
      <c r="C15" s="3" t="n">
        <v>2800</v>
      </c>
      <c r="D15" s="3" t="n">
        <v>2800</v>
      </c>
      <c r="E15" s="3" t="n">
        <f aca="false">E14-D15+C15</f>
        <v>0</v>
      </c>
      <c r="F15" s="3"/>
      <c r="G15" s="3" t="n">
        <f aca="false">D15-F15</f>
        <v>2800</v>
      </c>
    </row>
    <row r="16" customFormat="false" ht="12.75" hidden="false" customHeight="false" outlineLevel="0" collapsed="false">
      <c r="A16" s="109" t="n">
        <v>45097</v>
      </c>
      <c r="B16" s="55"/>
      <c r="C16" s="3" t="n">
        <v>2800</v>
      </c>
      <c r="D16" s="3" t="n">
        <v>2800</v>
      </c>
      <c r="E16" s="3" t="n">
        <f aca="false">E15-D16+C16</f>
        <v>0</v>
      </c>
      <c r="F16" s="3"/>
      <c r="G16" s="3" t="n">
        <f aca="false">D16-F16</f>
        <v>2800</v>
      </c>
    </row>
    <row r="17" customFormat="false" ht="12.75" hidden="false" customHeight="false" outlineLevel="0" collapsed="false">
      <c r="A17" s="109" t="n">
        <v>45127</v>
      </c>
      <c r="B17" s="55"/>
      <c r="C17" s="3" t="n">
        <v>2800</v>
      </c>
      <c r="D17" s="3" t="n">
        <v>2800</v>
      </c>
      <c r="E17" s="3" t="n">
        <f aca="false">E16-D17+C17</f>
        <v>0</v>
      </c>
      <c r="F17" s="3"/>
      <c r="G17" s="3" t="n">
        <f aca="false">D17-F17</f>
        <v>2800</v>
      </c>
    </row>
    <row r="18" customFormat="false" ht="12.75" hidden="false" customHeight="false" outlineLevel="0" collapsed="false">
      <c r="A18" s="109" t="n">
        <v>45158</v>
      </c>
      <c r="B18" s="55"/>
      <c r="C18" s="3" t="n">
        <v>2800</v>
      </c>
      <c r="D18" s="3" t="n">
        <v>2800</v>
      </c>
      <c r="E18" s="3" t="n">
        <f aca="false">E17-D18+C18</f>
        <v>0</v>
      </c>
      <c r="F18" s="3"/>
      <c r="G18" s="3" t="n">
        <f aca="false">D18-F18</f>
        <v>2800</v>
      </c>
    </row>
    <row r="19" customFormat="false" ht="12.75" hidden="false" customHeight="false" outlineLevel="0" collapsed="false">
      <c r="A19" s="109" t="n">
        <v>45189</v>
      </c>
      <c r="B19" s="55"/>
      <c r="C19" s="3" t="n">
        <v>2800</v>
      </c>
      <c r="D19" s="3" t="n">
        <v>2800</v>
      </c>
      <c r="E19" s="3" t="n">
        <f aca="false">E18-D19+C19</f>
        <v>0</v>
      </c>
      <c r="F19" s="3"/>
      <c r="G19" s="3" t="n">
        <f aca="false">D19-F19</f>
        <v>2800</v>
      </c>
    </row>
    <row r="20" customFormat="false" ht="12.75" hidden="false" customHeight="false" outlineLevel="0" collapsed="false">
      <c r="A20" s="109" t="n">
        <v>45232</v>
      </c>
      <c r="B20" s="55" t="s">
        <v>267</v>
      </c>
      <c r="C20" s="3" t="n">
        <v>2800</v>
      </c>
      <c r="D20" s="3" t="n">
        <v>2800</v>
      </c>
      <c r="E20" s="3" t="n">
        <f aca="false">E19-D20+C20</f>
        <v>0</v>
      </c>
      <c r="F20" s="3"/>
      <c r="G20" s="3" t="n">
        <f aca="false">D20-F20</f>
        <v>2800</v>
      </c>
    </row>
    <row r="21" customFormat="false" ht="12.75" hidden="false" customHeight="false" outlineLevel="0" collapsed="false">
      <c r="A21" s="109" t="n">
        <v>45250</v>
      </c>
      <c r="B21" s="55" t="s">
        <v>268</v>
      </c>
      <c r="C21" s="3" t="n">
        <v>2800</v>
      </c>
      <c r="D21" s="3" t="n">
        <v>2800</v>
      </c>
      <c r="E21" s="3" t="n">
        <f aca="false">E20-D21+C21</f>
        <v>0</v>
      </c>
      <c r="F21" s="3"/>
      <c r="G21" s="3" t="n">
        <f aca="false">D21-F21</f>
        <v>2800</v>
      </c>
    </row>
    <row r="22" customFormat="false" ht="12.75" hidden="false" customHeight="false" outlineLevel="0" collapsed="false">
      <c r="A22" s="109" t="n">
        <v>45280</v>
      </c>
      <c r="B22" s="55"/>
      <c r="C22" s="3" t="n">
        <v>2800</v>
      </c>
      <c r="D22" s="3" t="n">
        <v>2800</v>
      </c>
      <c r="E22" s="3" t="n">
        <f aca="false">E21-D22+C22</f>
        <v>0</v>
      </c>
      <c r="F22" s="3"/>
      <c r="G22" s="3" t="n">
        <f aca="false">D22-F22</f>
        <v>2800</v>
      </c>
    </row>
    <row r="23" customFormat="false" ht="12.75" hidden="false" customHeight="false" outlineLevel="0" collapsed="false">
      <c r="A23" s="55" t="n">
        <v>45311</v>
      </c>
      <c r="C23" s="3" t="n">
        <v>2800</v>
      </c>
      <c r="D23" s="3" t="n">
        <v>2800</v>
      </c>
      <c r="E23" s="3" t="n">
        <f aca="false">E22-D23+C23</f>
        <v>0</v>
      </c>
      <c r="G23" s="3" t="n">
        <f aca="false">D23-F23</f>
        <v>2800</v>
      </c>
    </row>
    <row r="24" customFormat="false" ht="12.75" hidden="false" customHeight="false" outlineLevel="0" collapsed="false">
      <c r="A24" s="55" t="n">
        <v>45342</v>
      </c>
      <c r="C24" s="3" t="n">
        <v>2800</v>
      </c>
      <c r="D24" s="3" t="n">
        <v>2800</v>
      </c>
      <c r="E24" s="3" t="n">
        <f aca="false">E23-D24+C24</f>
        <v>0</v>
      </c>
      <c r="G24" s="3" t="n">
        <f aca="false">D24-F24</f>
        <v>2800</v>
      </c>
    </row>
    <row r="25" customFormat="false" ht="12.75" hidden="false" customHeight="false" outlineLevel="0" collapsed="false">
      <c r="A25" s="55" t="n">
        <v>45371</v>
      </c>
      <c r="C25" s="3" t="n">
        <v>2800</v>
      </c>
      <c r="D25" s="3" t="n">
        <v>2800</v>
      </c>
      <c r="E25" s="3" t="n">
        <f aca="false">E24-D25+C25</f>
        <v>0</v>
      </c>
      <c r="G25" s="3" t="n">
        <f aca="false">D25-F25</f>
        <v>2800</v>
      </c>
    </row>
    <row r="26" customFormat="false" ht="12.75" hidden="false" customHeight="false" outlineLevel="0" collapsed="false">
      <c r="A26" s="101"/>
      <c r="C26" s="3"/>
      <c r="D26" s="3"/>
      <c r="E26" s="3"/>
      <c r="F26" s="3"/>
      <c r="G26" s="3"/>
    </row>
    <row r="27" customFormat="false" ht="12.75" hidden="false" customHeight="false" outlineLevel="0" collapsed="false">
      <c r="A27" s="101"/>
      <c r="B27" s="50" t="s">
        <v>184</v>
      </c>
      <c r="C27" s="123" t="n">
        <f aca="false">SUM(C8:C26)</f>
        <v>38550</v>
      </c>
      <c r="D27" s="123" t="n">
        <f aca="false">SUM(D8:D26)</f>
        <v>38550</v>
      </c>
      <c r="E27" s="3" t="n">
        <f aca="false">E22</f>
        <v>0</v>
      </c>
      <c r="F27" s="123" t="n">
        <f aca="false">SUM(F12:F26)</f>
        <v>0</v>
      </c>
      <c r="G27" s="123" t="n">
        <f aca="false">D27-F27</f>
        <v>38550</v>
      </c>
    </row>
    <row r="28" customFormat="false" ht="12.75" hidden="false" customHeight="false" outlineLevel="0" collapsed="false">
      <c r="A28" s="101"/>
      <c r="C28" s="3"/>
      <c r="D28" s="3"/>
      <c r="E28" s="3"/>
      <c r="F28" s="3"/>
    </row>
    <row r="29" customFormat="false" ht="12.75" hidden="false" customHeight="false" outlineLevel="0" collapsed="false">
      <c r="A29" s="101"/>
      <c r="D29" s="3"/>
      <c r="E29" s="99" t="s">
        <v>269</v>
      </c>
      <c r="G29" s="123" t="n">
        <f aca="false">G27</f>
        <v>38550</v>
      </c>
    </row>
    <row r="30" customFormat="false" ht="12.75" hidden="false" customHeight="false" outlineLevel="0" collapsed="false">
      <c r="A30" s="101"/>
      <c r="D30" s="3"/>
      <c r="E30" s="50"/>
      <c r="G30" s="123"/>
    </row>
    <row r="31" customFormat="false" ht="12.75" hidden="false" customHeight="false" outlineLevel="0" collapsed="false">
      <c r="A31" s="101"/>
      <c r="E31" s="50" t="s">
        <v>186</v>
      </c>
      <c r="F31" s="125" t="n">
        <v>1</v>
      </c>
      <c r="G31" s="123" t="n">
        <f aca="false">G29*$F$31</f>
        <v>38550</v>
      </c>
    </row>
    <row r="37" customFormat="false" ht="12.75" hidden="false" customHeight="false" outlineLevel="0" collapsed="false">
      <c r="B37" s="50" t="n">
        <v>2022</v>
      </c>
    </row>
    <row r="39" customFormat="false" ht="12.75" hidden="false" customHeight="false" outlineLevel="0" collapsed="false">
      <c r="A39" s="101"/>
      <c r="B39" s="50" t="s">
        <v>261</v>
      </c>
      <c r="C39" s="3"/>
      <c r="D39" s="3"/>
      <c r="E39" s="3"/>
      <c r="F39" s="3"/>
      <c r="G39" s="3"/>
    </row>
    <row r="40" customFormat="false" ht="12.75" hidden="false" customHeight="false" outlineLevel="0" collapsed="false">
      <c r="A40" s="101"/>
      <c r="C40" s="3"/>
      <c r="D40" s="3"/>
      <c r="E40" s="3"/>
      <c r="F40" s="3"/>
      <c r="G40" s="3"/>
    </row>
    <row r="41" customFormat="false" ht="12.75" hidden="false" customHeight="false" outlineLevel="0" collapsed="false">
      <c r="A41" s="101"/>
      <c r="C41" s="3"/>
      <c r="D41" s="3"/>
      <c r="E41" s="3"/>
      <c r="F41" s="3"/>
      <c r="G41" s="3"/>
    </row>
    <row r="42" customFormat="false" ht="12.75" hidden="false" customHeight="false" outlineLevel="0" collapsed="false">
      <c r="A42" s="103" t="s">
        <v>123</v>
      </c>
      <c r="B42" s="104" t="s">
        <v>124</v>
      </c>
      <c r="C42" s="105" t="s">
        <v>169</v>
      </c>
      <c r="D42" s="105" t="s">
        <v>33</v>
      </c>
      <c r="E42" s="105" t="s">
        <v>126</v>
      </c>
      <c r="F42" s="105" t="s">
        <v>170</v>
      </c>
      <c r="G42" s="105" t="s">
        <v>262</v>
      </c>
    </row>
    <row r="43" customFormat="false" ht="12.75" hidden="false" customHeight="false" outlineLevel="0" collapsed="false">
      <c r="A43" s="103"/>
      <c r="B43" s="104"/>
      <c r="C43" s="105"/>
      <c r="D43" s="105"/>
      <c r="E43" s="105"/>
      <c r="F43" s="105"/>
      <c r="G43" s="105"/>
    </row>
    <row r="44" customFormat="false" ht="12.75" hidden="false" customHeight="false" outlineLevel="0" collapsed="false">
      <c r="A44" s="109" t="n">
        <v>44581</v>
      </c>
      <c r="B44" s="55" t="s">
        <v>270</v>
      </c>
      <c r="C44" s="3" t="n">
        <v>3000</v>
      </c>
      <c r="D44" s="3"/>
      <c r="E44" s="3" t="n">
        <f aca="false">C44-D44</f>
        <v>3000</v>
      </c>
      <c r="F44" s="3"/>
      <c r="G44" s="3" t="n">
        <f aca="false">D44-F44</f>
        <v>0</v>
      </c>
    </row>
    <row r="45" customFormat="false" ht="12.75" hidden="false" customHeight="false" outlineLevel="0" collapsed="false">
      <c r="A45" s="109" t="n">
        <v>44612</v>
      </c>
      <c r="B45" s="55"/>
      <c r="C45" s="3"/>
      <c r="D45" s="3" t="n">
        <v>3000</v>
      </c>
      <c r="E45" s="3" t="n">
        <f aca="false">E44-D45</f>
        <v>0</v>
      </c>
      <c r="F45" s="3"/>
      <c r="G45" s="3" t="n">
        <f aca="false">D45-F45</f>
        <v>3000</v>
      </c>
    </row>
    <row r="46" customFormat="false" ht="12.75" hidden="false" customHeight="false" outlineLevel="0" collapsed="false">
      <c r="A46" s="109" t="n">
        <v>44640</v>
      </c>
      <c r="B46" s="55"/>
      <c r="C46" s="3"/>
      <c r="D46" s="3"/>
      <c r="E46" s="3" t="n">
        <f aca="false">E45-D46</f>
        <v>0</v>
      </c>
      <c r="F46" s="3"/>
      <c r="G46" s="3" t="n">
        <f aca="false">D46-F46</f>
        <v>0</v>
      </c>
    </row>
    <row r="47" customFormat="false" ht="12.75" hidden="false" customHeight="false" outlineLevel="0" collapsed="false">
      <c r="A47" s="101"/>
      <c r="B47" s="0" t="s">
        <v>271</v>
      </c>
      <c r="C47" s="3"/>
      <c r="D47" s="3"/>
      <c r="E47" s="3" t="n">
        <f aca="false">E46-D47</f>
        <v>0</v>
      </c>
      <c r="F47" s="3"/>
      <c r="G47" s="3" t="n">
        <f aca="false">D47-F47</f>
        <v>0</v>
      </c>
    </row>
    <row r="48" customFormat="false" ht="12.75" hidden="false" customHeight="false" outlineLevel="0" collapsed="false">
      <c r="A48" s="109" t="n">
        <v>44671</v>
      </c>
      <c r="B48" s="0" t="s">
        <v>265</v>
      </c>
      <c r="C48" s="3"/>
      <c r="D48" s="3"/>
      <c r="E48" s="3" t="n">
        <f aca="false">E47-D48</f>
        <v>0</v>
      </c>
      <c r="F48" s="3"/>
      <c r="G48" s="3" t="n">
        <f aca="false">D48-F48</f>
        <v>0</v>
      </c>
    </row>
    <row r="49" customFormat="false" ht="12.75" hidden="false" customHeight="false" outlineLevel="0" collapsed="false">
      <c r="A49" s="109"/>
      <c r="B49" s="0" t="s">
        <v>272</v>
      </c>
      <c r="C49" s="3"/>
      <c r="D49" s="3"/>
      <c r="E49" s="3" t="n">
        <f aca="false">E48-D49</f>
        <v>0</v>
      </c>
      <c r="F49" s="3"/>
      <c r="G49" s="3" t="n">
        <f aca="false">D49-F49</f>
        <v>0</v>
      </c>
    </row>
    <row r="50" customFormat="false" ht="12.75" hidden="false" customHeight="false" outlineLevel="0" collapsed="false">
      <c r="A50" s="109" t="n">
        <v>44671</v>
      </c>
      <c r="B50" s="55" t="s">
        <v>273</v>
      </c>
      <c r="C50" s="3" t="n">
        <v>1650</v>
      </c>
      <c r="D50" s="3" t="n">
        <v>1600</v>
      </c>
      <c r="E50" s="3" t="n">
        <f aca="false">C50-D50+E49</f>
        <v>50</v>
      </c>
      <c r="F50" s="3"/>
      <c r="G50" s="3" t="n">
        <f aca="false">D50-F50</f>
        <v>1600</v>
      </c>
    </row>
    <row r="51" customFormat="false" ht="12.75" hidden="false" customHeight="false" outlineLevel="0" collapsed="false">
      <c r="A51" s="109" t="n">
        <v>44701</v>
      </c>
      <c r="C51" s="3" t="n">
        <v>1650</v>
      </c>
      <c r="D51" s="3" t="n">
        <v>1650</v>
      </c>
      <c r="E51" s="3" t="n">
        <f aca="false">E50+C51-D51</f>
        <v>50</v>
      </c>
      <c r="F51" s="3"/>
      <c r="G51" s="3" t="n">
        <f aca="false">D51-F51</f>
        <v>1650</v>
      </c>
    </row>
    <row r="52" customFormat="false" ht="12.75" hidden="false" customHeight="false" outlineLevel="0" collapsed="false">
      <c r="A52" s="109" t="n">
        <v>44732</v>
      </c>
      <c r="B52" s="55"/>
      <c r="C52" s="3" t="n">
        <v>1650</v>
      </c>
      <c r="D52" s="3" t="n">
        <v>1650</v>
      </c>
      <c r="E52" s="3" t="n">
        <f aca="false">E51+C52-D52</f>
        <v>50</v>
      </c>
      <c r="F52" s="3"/>
      <c r="G52" s="3" t="n">
        <f aca="false">D52-F52</f>
        <v>1650</v>
      </c>
    </row>
    <row r="53" customFormat="false" ht="12.75" hidden="false" customHeight="false" outlineLevel="0" collapsed="false">
      <c r="A53" s="109" t="n">
        <v>44762</v>
      </c>
      <c r="B53" s="55"/>
      <c r="C53" s="3" t="n">
        <v>1650</v>
      </c>
      <c r="D53" s="3" t="n">
        <v>1650</v>
      </c>
      <c r="E53" s="3" t="n">
        <f aca="false">E52+C53-D53</f>
        <v>50</v>
      </c>
      <c r="F53" s="3"/>
      <c r="G53" s="3" t="n">
        <f aca="false">D53-F53</f>
        <v>1650</v>
      </c>
    </row>
    <row r="54" customFormat="false" ht="12.75" hidden="false" customHeight="false" outlineLevel="0" collapsed="false">
      <c r="A54" s="109" t="n">
        <v>44793</v>
      </c>
      <c r="B54" s="55"/>
      <c r="C54" s="3" t="n">
        <v>1650</v>
      </c>
      <c r="D54" s="3" t="n">
        <v>1650</v>
      </c>
      <c r="E54" s="3" t="n">
        <f aca="false">E53+C54-D54</f>
        <v>50</v>
      </c>
      <c r="F54" s="3"/>
      <c r="G54" s="3" t="n">
        <f aca="false">D54-F54</f>
        <v>1650</v>
      </c>
    </row>
    <row r="55" customFormat="false" ht="12.75" hidden="false" customHeight="false" outlineLevel="0" collapsed="false">
      <c r="A55" s="109" t="n">
        <v>44824</v>
      </c>
      <c r="B55" s="55"/>
      <c r="C55" s="3" t="n">
        <v>1650</v>
      </c>
      <c r="D55" s="3" t="n">
        <v>1650</v>
      </c>
      <c r="E55" s="3" t="n">
        <f aca="false">E54+C55-D55</f>
        <v>50</v>
      </c>
      <c r="F55" s="3"/>
      <c r="G55" s="3" t="n">
        <f aca="false">D55-F55</f>
        <v>1650</v>
      </c>
    </row>
    <row r="56" customFormat="false" ht="12.75" hidden="false" customHeight="false" outlineLevel="0" collapsed="false">
      <c r="A56" s="109" t="n">
        <v>44854</v>
      </c>
      <c r="B56" s="55"/>
      <c r="C56" s="3" t="n">
        <v>1650</v>
      </c>
      <c r="D56" s="3" t="n">
        <v>1650</v>
      </c>
      <c r="E56" s="3" t="n">
        <f aca="false">E55+C56-D56</f>
        <v>50</v>
      </c>
      <c r="F56" s="3"/>
      <c r="G56" s="3" t="n">
        <f aca="false">D56-F56</f>
        <v>1650</v>
      </c>
    </row>
    <row r="57" customFormat="false" ht="12.75" hidden="false" customHeight="false" outlineLevel="0" collapsed="false">
      <c r="A57" s="109" t="n">
        <v>44885</v>
      </c>
      <c r="B57" s="55"/>
      <c r="C57" s="3" t="n">
        <v>1650</v>
      </c>
      <c r="D57" s="3" t="n">
        <v>1650</v>
      </c>
      <c r="E57" s="3" t="n">
        <f aca="false">E56+C57-D57</f>
        <v>50</v>
      </c>
      <c r="F57" s="3"/>
      <c r="G57" s="3" t="n">
        <f aca="false">D57-F57</f>
        <v>1650</v>
      </c>
    </row>
    <row r="58" customFormat="false" ht="12.75" hidden="false" customHeight="false" outlineLevel="0" collapsed="false">
      <c r="A58" s="109" t="n">
        <v>44915</v>
      </c>
      <c r="B58" s="55" t="n">
        <v>44912</v>
      </c>
      <c r="C58" s="3" t="n">
        <v>1650</v>
      </c>
      <c r="D58" s="3" t="n">
        <v>1650</v>
      </c>
      <c r="E58" s="3" t="n">
        <f aca="false">E57+C58-D58</f>
        <v>50</v>
      </c>
      <c r="F58" s="3"/>
      <c r="G58" s="3" t="n">
        <f aca="false">D58-F58</f>
        <v>1650</v>
      </c>
    </row>
    <row r="59" customFormat="false" ht="12.75" hidden="false" customHeight="false" outlineLevel="0" collapsed="false">
      <c r="A59" s="55" t="n">
        <v>44946</v>
      </c>
      <c r="B59" s="0" t="s">
        <v>263</v>
      </c>
      <c r="C59" s="3" t="n">
        <v>1650</v>
      </c>
      <c r="D59" s="0" t="n">
        <v>1650</v>
      </c>
      <c r="E59" s="3" t="n">
        <f aca="false">E58+C59-D59</f>
        <v>50</v>
      </c>
      <c r="G59" s="3" t="n">
        <f aca="false">D59-F59</f>
        <v>1650</v>
      </c>
    </row>
    <row r="60" customFormat="false" ht="12.75" hidden="false" customHeight="false" outlineLevel="0" collapsed="false">
      <c r="A60" s="55" t="n">
        <v>44612</v>
      </c>
      <c r="B60" s="0" t="s">
        <v>263</v>
      </c>
      <c r="C60" s="3" t="n">
        <v>1650</v>
      </c>
      <c r="D60" s="0" t="n">
        <v>1650</v>
      </c>
      <c r="E60" s="3" t="n">
        <f aca="false">E59+C60-D60</f>
        <v>50</v>
      </c>
      <c r="G60" s="3" t="n">
        <f aca="false">D60-F60</f>
        <v>1650</v>
      </c>
    </row>
    <row r="61" customFormat="false" ht="12.75" hidden="false" customHeight="false" outlineLevel="0" collapsed="false">
      <c r="A61" s="55" t="n">
        <v>44640</v>
      </c>
      <c r="C61" s="3" t="n">
        <v>1650</v>
      </c>
      <c r="E61" s="3" t="n">
        <f aca="false">E60+C61-D61</f>
        <v>1700</v>
      </c>
      <c r="G61" s="3" t="n">
        <f aca="false">D61-F61</f>
        <v>0</v>
      </c>
    </row>
    <row r="62" customFormat="false" ht="12.75" hidden="false" customHeight="false" outlineLevel="0" collapsed="false">
      <c r="A62" s="101"/>
      <c r="C62" s="3"/>
      <c r="D62" s="3"/>
      <c r="E62" s="3"/>
      <c r="F62" s="3"/>
      <c r="G62" s="3"/>
    </row>
    <row r="63" customFormat="false" ht="12.75" hidden="false" customHeight="false" outlineLevel="0" collapsed="false">
      <c r="A63" s="101"/>
      <c r="B63" s="50" t="s">
        <v>184</v>
      </c>
      <c r="C63" s="123" t="n">
        <f aca="false">SUM(C44:C62)</f>
        <v>22800</v>
      </c>
      <c r="D63" s="123" t="n">
        <f aca="false">SUM(D44:D62)</f>
        <v>21100</v>
      </c>
      <c r="E63" s="3" t="n">
        <f aca="false">E58</f>
        <v>50</v>
      </c>
      <c r="F63" s="123" t="n">
        <f aca="false">SUM(F48:F62)</f>
        <v>0</v>
      </c>
      <c r="G63" s="123" t="n">
        <f aca="false">D63-F63</f>
        <v>21100</v>
      </c>
    </row>
    <row r="64" customFormat="false" ht="12.75" hidden="false" customHeight="false" outlineLevel="0" collapsed="false">
      <c r="A64" s="101"/>
      <c r="C64" s="3"/>
      <c r="D64" s="3"/>
      <c r="E64" s="3"/>
      <c r="F64" s="3"/>
    </row>
    <row r="65" customFormat="false" ht="12.75" hidden="false" customHeight="false" outlineLevel="0" collapsed="false">
      <c r="A65" s="101"/>
      <c r="D65" s="3"/>
      <c r="E65" s="99" t="s">
        <v>269</v>
      </c>
      <c r="G65" s="123" t="n">
        <f aca="false">G63</f>
        <v>21100</v>
      </c>
    </row>
    <row r="66" customFormat="false" ht="12.75" hidden="false" customHeight="false" outlineLevel="0" collapsed="false">
      <c r="A66" s="101"/>
      <c r="D66" s="3"/>
      <c r="E66" s="50"/>
      <c r="G66" s="123"/>
    </row>
    <row r="67" customFormat="false" ht="12.75" hidden="false" customHeight="false" outlineLevel="0" collapsed="false">
      <c r="A67" s="101"/>
      <c r="E67" s="50" t="s">
        <v>186</v>
      </c>
      <c r="F67" s="125" t="n">
        <v>1</v>
      </c>
      <c r="G67" s="123" t="n">
        <f aca="false">G65*$F$31</f>
        <v>21100</v>
      </c>
    </row>
  </sheetData>
  <printOptions headings="false" gridLines="false" gridLinesSet="true" horizontalCentered="false" verticalCentered="false"/>
  <pageMargins left="0.629861111111111" right="0.354166666666667" top="0.7875" bottom="0.629861111111111" header="0.511811023622047" footer="0.511811023622047"/>
  <pageSetup paperSize="9" scale="100" fitToWidth="1" fitToHeight="1" pageOrder="overThenDown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4"/>
  <sheetViews>
    <sheetView showFormulas="false" showGridLines="true" showRowColHeaders="true" showZeros="true" rightToLeft="false" tabSelected="false" showOutlineSymbols="true" defaultGridColor="true" view="normal" topLeftCell="A129" colorId="64" zoomScale="205" zoomScaleNormal="205" zoomScalePageLayoutView="100" workbookViewId="0">
      <selection pane="topLeft" activeCell="D154" activeCellId="0" sqref="D154"/>
    </sheetView>
  </sheetViews>
  <sheetFormatPr defaultColWidth="8.66015625" defaultRowHeight="11.25" customHeight="true" zeroHeight="false" outlineLevelRow="0" outlineLevelCol="0"/>
  <cols>
    <col collapsed="false" customWidth="true" hidden="false" outlineLevel="0" max="1" min="1" style="195" width="10.57"/>
    <col collapsed="false" customWidth="true" hidden="false" outlineLevel="0" max="2" min="2" style="195" width="21.71"/>
    <col collapsed="false" customWidth="true" hidden="false" outlineLevel="0" max="3" min="3" style="195" width="13.86"/>
    <col collapsed="false" customWidth="true" hidden="false" outlineLevel="0" max="4" min="4" style="195" width="12.57"/>
    <col collapsed="false" customWidth="true" hidden="false" outlineLevel="0" max="6" min="5" style="195" width="16.29"/>
    <col collapsed="false" customWidth="true" hidden="false" outlineLevel="0" max="1023" min="7" style="195" width="12.29"/>
    <col collapsed="false" customWidth="true" hidden="false" outlineLevel="0" max="1024" min="1024" style="195" width="9.14"/>
    <col collapsed="false" customWidth="true" hidden="false" outlineLevel="0" max="1025" min="1025" style="0" width="9.14"/>
  </cols>
  <sheetData>
    <row r="1" customFormat="false" ht="11.25" hidden="false" customHeight="true" outlineLevel="0" collapsed="false">
      <c r="D1" s="196"/>
      <c r="E1" s="197" t="n">
        <v>45233</v>
      </c>
      <c r="F1" s="197"/>
    </row>
    <row r="2" customFormat="false" ht="11.25" hidden="false" customHeight="true" outlineLevel="0" collapsed="false">
      <c r="B2" s="198" t="s">
        <v>274</v>
      </c>
      <c r="D2" s="196"/>
      <c r="E2" s="199"/>
      <c r="F2" s="196"/>
    </row>
    <row r="3" customFormat="false" ht="11.25" hidden="false" customHeight="true" outlineLevel="0" collapsed="false">
      <c r="A3" s="200" t="s">
        <v>275</v>
      </c>
      <c r="B3" s="201"/>
      <c r="C3" s="200" t="s">
        <v>276</v>
      </c>
      <c r="D3" s="202" t="s">
        <v>277</v>
      </c>
      <c r="E3" s="203" t="s">
        <v>278</v>
      </c>
      <c r="F3" s="202" t="s">
        <v>30</v>
      </c>
    </row>
    <row r="4" customFormat="false" ht="11.25" hidden="false" customHeight="true" outlineLevel="0" collapsed="false">
      <c r="B4" s="198" t="s">
        <v>279</v>
      </c>
      <c r="D4" s="204" t="n">
        <v>17075.75</v>
      </c>
      <c r="E4" s="199"/>
      <c r="F4" s="204" t="n">
        <f aca="false">D4+E4</f>
        <v>17075.75</v>
      </c>
    </row>
    <row r="5" customFormat="false" ht="11.25" hidden="false" customHeight="true" outlineLevel="0" collapsed="false">
      <c r="B5" s="198"/>
      <c r="D5" s="204"/>
      <c r="E5" s="199"/>
      <c r="F5" s="204"/>
    </row>
    <row r="6" customFormat="false" ht="11.25" hidden="false" customHeight="true" outlineLevel="0" collapsed="false">
      <c r="A6" s="205" t="n">
        <v>38253</v>
      </c>
      <c r="B6" s="195" t="s">
        <v>280</v>
      </c>
      <c r="D6" s="196" t="n">
        <v>90</v>
      </c>
      <c r="E6" s="199"/>
      <c r="F6" s="196" t="n">
        <f aca="false">F4+D6+E6</f>
        <v>17165.75</v>
      </c>
    </row>
    <row r="7" customFormat="false" ht="11.25" hidden="false" customHeight="true" outlineLevel="0" collapsed="false">
      <c r="B7" s="195" t="s">
        <v>280</v>
      </c>
      <c r="D7" s="196" t="n">
        <v>45</v>
      </c>
      <c r="E7" s="199"/>
      <c r="F7" s="196" t="n">
        <f aca="false">F6+D7+E7</f>
        <v>17210.75</v>
      </c>
    </row>
    <row r="8" customFormat="false" ht="11.25" hidden="false" customHeight="true" outlineLevel="0" collapsed="false">
      <c r="B8" s="195" t="s">
        <v>281</v>
      </c>
      <c r="D8" s="196" t="n">
        <v>5</v>
      </c>
      <c r="E8" s="199"/>
      <c r="F8" s="196" t="n">
        <f aca="false">F7+D8+E8</f>
        <v>17215.75</v>
      </c>
    </row>
    <row r="9" customFormat="false" ht="11.25" hidden="false" customHeight="true" outlineLevel="0" collapsed="false">
      <c r="B9" s="195" t="s">
        <v>280</v>
      </c>
      <c r="D9" s="196" t="n">
        <v>36</v>
      </c>
      <c r="E9" s="199"/>
      <c r="F9" s="196" t="n">
        <f aca="false">F8+D9+E9</f>
        <v>17251.75</v>
      </c>
    </row>
    <row r="10" customFormat="false" ht="11.25" hidden="false" customHeight="true" outlineLevel="0" collapsed="false">
      <c r="B10" s="198" t="s">
        <v>282</v>
      </c>
      <c r="C10" s="198"/>
      <c r="D10" s="206" t="n">
        <v>725</v>
      </c>
      <c r="E10" s="199"/>
      <c r="F10" s="196" t="n">
        <f aca="false">F9+D10+E10</f>
        <v>17976.75</v>
      </c>
    </row>
    <row r="11" customFormat="false" ht="11.25" hidden="false" customHeight="true" outlineLevel="0" collapsed="false">
      <c r="B11" s="198" t="s">
        <v>283</v>
      </c>
      <c r="C11" s="198"/>
      <c r="D11" s="206" t="n">
        <v>725</v>
      </c>
      <c r="E11" s="199"/>
      <c r="F11" s="196" t="n">
        <f aca="false">F10+D11+E11</f>
        <v>18701.75</v>
      </c>
    </row>
    <row r="12" customFormat="false" ht="11.25" hidden="false" customHeight="true" outlineLevel="0" collapsed="false">
      <c r="B12" s="198" t="s">
        <v>284</v>
      </c>
      <c r="C12" s="198"/>
      <c r="D12" s="206" t="n">
        <v>725</v>
      </c>
      <c r="E12" s="199"/>
      <c r="F12" s="196" t="n">
        <f aca="false">F11+D12+E12</f>
        <v>19426.75</v>
      </c>
    </row>
    <row r="13" customFormat="false" ht="11.25" hidden="false" customHeight="true" outlineLevel="0" collapsed="false">
      <c r="B13" s="198" t="s">
        <v>285</v>
      </c>
      <c r="C13" s="198"/>
      <c r="D13" s="206" t="n">
        <v>1200</v>
      </c>
      <c r="E13" s="199"/>
      <c r="F13" s="196" t="n">
        <f aca="false">F12+D13+E13</f>
        <v>20626.75</v>
      </c>
    </row>
    <row r="14" customFormat="false" ht="11.25" hidden="false" customHeight="true" outlineLevel="0" collapsed="false">
      <c r="B14" s="198" t="s">
        <v>286</v>
      </c>
      <c r="C14" s="198"/>
      <c r="D14" s="206" t="n">
        <v>725</v>
      </c>
      <c r="E14" s="199"/>
      <c r="F14" s="196" t="n">
        <f aca="false">F13+D14+E14</f>
        <v>21351.75</v>
      </c>
    </row>
    <row r="15" customFormat="false" ht="11.25" hidden="false" customHeight="true" outlineLevel="0" collapsed="false">
      <c r="B15" s="195" t="s">
        <v>287</v>
      </c>
      <c r="D15" s="196" t="n">
        <v>65</v>
      </c>
      <c r="E15" s="199"/>
      <c r="F15" s="196" t="n">
        <f aca="false">F14+D15+E15</f>
        <v>21416.75</v>
      </c>
    </row>
    <row r="16" customFormat="false" ht="11.25" hidden="false" customHeight="true" outlineLevel="0" collapsed="false">
      <c r="B16" s="195" t="s">
        <v>288</v>
      </c>
      <c r="D16" s="196" t="n">
        <v>400</v>
      </c>
      <c r="E16" s="199"/>
      <c r="F16" s="196" t="n">
        <f aca="false">F15+D16+E16</f>
        <v>21816.75</v>
      </c>
    </row>
    <row r="17" customFormat="false" ht="11.25" hidden="false" customHeight="true" outlineLevel="0" collapsed="false">
      <c r="B17" s="198" t="s">
        <v>289</v>
      </c>
      <c r="C17" s="198"/>
      <c r="D17" s="206" t="n">
        <v>725</v>
      </c>
      <c r="E17" s="199"/>
      <c r="F17" s="196" t="n">
        <f aca="false">F16+D17+E17</f>
        <v>22541.75</v>
      </c>
    </row>
    <row r="18" customFormat="false" ht="11.25" hidden="false" customHeight="true" outlineLevel="0" collapsed="false">
      <c r="B18" s="198" t="s">
        <v>290</v>
      </c>
      <c r="C18" s="198"/>
      <c r="D18" s="206" t="n">
        <v>725</v>
      </c>
      <c r="E18" s="199"/>
      <c r="F18" s="196" t="n">
        <f aca="false">F17+D18+E18</f>
        <v>23266.75</v>
      </c>
    </row>
    <row r="19" customFormat="false" ht="11.25" hidden="false" customHeight="true" outlineLevel="0" collapsed="false">
      <c r="B19" s="198" t="s">
        <v>285</v>
      </c>
      <c r="C19" s="198"/>
      <c r="D19" s="206" t="n">
        <v>4500</v>
      </c>
      <c r="E19" s="199"/>
      <c r="F19" s="196" t="n">
        <f aca="false">F18+D19+E19</f>
        <v>27766.75</v>
      </c>
    </row>
    <row r="20" customFormat="false" ht="11.25" hidden="false" customHeight="true" outlineLevel="0" collapsed="false">
      <c r="A20" s="205" t="n">
        <v>38328</v>
      </c>
      <c r="B20" s="198" t="s">
        <v>291</v>
      </c>
      <c r="C20" s="198" t="n">
        <v>1</v>
      </c>
      <c r="D20" s="206" t="n">
        <v>2426</v>
      </c>
      <c r="E20" s="199"/>
      <c r="F20" s="196" t="n">
        <f aca="false">F19+D20+E20</f>
        <v>30192.75</v>
      </c>
    </row>
    <row r="21" customFormat="false" ht="11.25" hidden="false" customHeight="true" outlineLevel="0" collapsed="false">
      <c r="B21" s="198" t="s">
        <v>292</v>
      </c>
      <c r="C21" s="198"/>
      <c r="D21" s="206" t="n">
        <v>1520</v>
      </c>
      <c r="E21" s="199"/>
      <c r="F21" s="196" t="n">
        <f aca="false">F20+D21+E21</f>
        <v>31712.75</v>
      </c>
    </row>
    <row r="22" customFormat="false" ht="11.25" hidden="false" customHeight="true" outlineLevel="0" collapsed="false">
      <c r="B22" s="195" t="s">
        <v>293</v>
      </c>
      <c r="D22" s="196"/>
      <c r="E22" s="199" t="n">
        <v>-2000</v>
      </c>
      <c r="F22" s="196" t="n">
        <f aca="false">F21+D22+E22</f>
        <v>29712.75</v>
      </c>
    </row>
    <row r="23" customFormat="false" ht="11.25" hidden="false" customHeight="true" outlineLevel="0" collapsed="false">
      <c r="B23" s="195" t="s">
        <v>294</v>
      </c>
      <c r="D23" s="196"/>
      <c r="E23" s="199" t="n">
        <v>-3000</v>
      </c>
      <c r="F23" s="196" t="n">
        <f aca="false">F22+D23+E23</f>
        <v>26712.75</v>
      </c>
    </row>
    <row r="24" customFormat="false" ht="11.25" hidden="false" customHeight="true" outlineLevel="0" collapsed="false">
      <c r="B24" s="195" t="s">
        <v>295</v>
      </c>
      <c r="D24" s="196"/>
      <c r="E24" s="199" t="n">
        <v>-3750</v>
      </c>
      <c r="F24" s="196" t="n">
        <f aca="false">F23+D24+E24</f>
        <v>22962.75</v>
      </c>
    </row>
    <row r="25" customFormat="false" ht="11.25" hidden="false" customHeight="true" outlineLevel="0" collapsed="false">
      <c r="A25" s="205" t="n">
        <v>38352</v>
      </c>
      <c r="B25" s="195" t="s">
        <v>296</v>
      </c>
      <c r="D25" s="196"/>
      <c r="E25" s="199" t="n">
        <v>-1960</v>
      </c>
      <c r="F25" s="196" t="n">
        <f aca="false">F24+D25+E25</f>
        <v>21002.75</v>
      </c>
    </row>
    <row r="26" customFormat="false" ht="11.25" hidden="false" customHeight="true" outlineLevel="0" collapsed="false">
      <c r="A26" s="205"/>
      <c r="C26" s="207" t="s">
        <v>297</v>
      </c>
      <c r="D26" s="204" t="n">
        <f aca="false">SUM(D6:D25)</f>
        <v>14637</v>
      </c>
      <c r="E26" s="208" t="n">
        <f aca="false">SUM(E6:E25)</f>
        <v>-10710</v>
      </c>
      <c r="F26" s="196"/>
    </row>
    <row r="27" customFormat="false" ht="11.25" hidden="false" customHeight="true" outlineLevel="0" collapsed="false">
      <c r="A27" s="205"/>
      <c r="D27" s="196"/>
      <c r="E27" s="199"/>
      <c r="F27" s="196"/>
    </row>
    <row r="28" customFormat="false" ht="11.25" hidden="false" customHeight="true" outlineLevel="0" collapsed="false">
      <c r="A28" s="205"/>
      <c r="D28" s="196"/>
      <c r="E28" s="199"/>
      <c r="F28" s="196"/>
    </row>
    <row r="29" customFormat="false" ht="11.25" hidden="false" customHeight="true" outlineLevel="0" collapsed="false">
      <c r="A29" s="200" t="n">
        <v>2005</v>
      </c>
      <c r="B29" s="201"/>
      <c r="C29" s="200" t="s">
        <v>276</v>
      </c>
      <c r="D29" s="202" t="s">
        <v>277</v>
      </c>
      <c r="E29" s="203" t="s">
        <v>278</v>
      </c>
      <c r="F29" s="202" t="s">
        <v>30</v>
      </c>
    </row>
    <row r="30" customFormat="false" ht="11.25" hidden="false" customHeight="true" outlineLevel="0" collapsed="false">
      <c r="A30" s="205"/>
      <c r="D30" s="196"/>
      <c r="E30" s="209" t="s">
        <v>298</v>
      </c>
      <c r="F30" s="196" t="n">
        <f aca="false">F25</f>
        <v>21002.75</v>
      </c>
    </row>
    <row r="31" customFormat="false" ht="11.25" hidden="false" customHeight="true" outlineLevel="0" collapsed="false">
      <c r="A31" s="205" t="n">
        <v>38366</v>
      </c>
      <c r="B31" s="198" t="s">
        <v>299</v>
      </c>
      <c r="C31" s="198" t="n">
        <v>2</v>
      </c>
      <c r="D31" s="206" t="n">
        <v>677</v>
      </c>
      <c r="E31" s="199"/>
      <c r="F31" s="196" t="n">
        <f aca="false">F30+D31+E31</f>
        <v>21679.75</v>
      </c>
    </row>
    <row r="32" customFormat="false" ht="11.25" hidden="false" customHeight="true" outlineLevel="0" collapsed="false">
      <c r="A32" s="205" t="n">
        <v>38369</v>
      </c>
      <c r="B32" s="198" t="s">
        <v>291</v>
      </c>
      <c r="C32" s="198" t="n">
        <v>3</v>
      </c>
      <c r="D32" s="206" t="n">
        <v>2466.32</v>
      </c>
      <c r="E32" s="199"/>
      <c r="F32" s="196" t="n">
        <f aca="false">F31+D32+E32</f>
        <v>24146.07</v>
      </c>
    </row>
    <row r="33" customFormat="false" ht="11.25" hidden="false" customHeight="true" outlineLevel="0" collapsed="false">
      <c r="A33" s="205" t="n">
        <v>38378</v>
      </c>
      <c r="B33" s="195" t="s">
        <v>300</v>
      </c>
      <c r="D33" s="196" t="n">
        <v>200</v>
      </c>
      <c r="E33" s="199"/>
      <c r="F33" s="196" t="n">
        <f aca="false">F32+D33+E33</f>
        <v>24346.07</v>
      </c>
    </row>
    <row r="34" customFormat="false" ht="11.25" hidden="false" customHeight="true" outlineLevel="0" collapsed="false">
      <c r="A34" s="205"/>
      <c r="B34" s="195" t="s">
        <v>287</v>
      </c>
      <c r="D34" s="196" t="n">
        <v>140</v>
      </c>
      <c r="E34" s="199"/>
      <c r="F34" s="196" t="n">
        <f aca="false">F33+D34+E34</f>
        <v>24486.07</v>
      </c>
    </row>
    <row r="35" customFormat="false" ht="11.25" hidden="false" customHeight="true" outlineLevel="0" collapsed="false">
      <c r="A35" s="205"/>
      <c r="B35" s="195" t="s">
        <v>301</v>
      </c>
      <c r="D35" s="196" t="n">
        <v>1000</v>
      </c>
      <c r="E35" s="199"/>
      <c r="F35" s="196" t="n">
        <f aca="false">F34+D35+E35</f>
        <v>25486.07</v>
      </c>
    </row>
    <row r="36" customFormat="false" ht="11.25" hidden="false" customHeight="true" outlineLevel="0" collapsed="false">
      <c r="A36" s="205" t="n">
        <v>38383</v>
      </c>
      <c r="B36" s="198" t="s">
        <v>302</v>
      </c>
      <c r="C36" s="198"/>
      <c r="D36" s="206" t="n">
        <v>760</v>
      </c>
      <c r="E36" s="199"/>
      <c r="F36" s="196" t="n">
        <f aca="false">F35+D36+E36</f>
        <v>26246.07</v>
      </c>
    </row>
    <row r="37" customFormat="false" ht="11.25" hidden="false" customHeight="true" outlineLevel="0" collapsed="false">
      <c r="A37" s="205" t="n">
        <v>38411</v>
      </c>
      <c r="B37" s="198" t="s">
        <v>303</v>
      </c>
      <c r="C37" s="198"/>
      <c r="D37" s="206" t="n">
        <v>760</v>
      </c>
      <c r="E37" s="199"/>
      <c r="F37" s="196" t="n">
        <f aca="false">F36+D37+E37</f>
        <v>27006.07</v>
      </c>
    </row>
    <row r="38" customFormat="false" ht="11.25" hidden="false" customHeight="true" outlineLevel="0" collapsed="false">
      <c r="A38" s="205" t="n">
        <v>38421</v>
      </c>
      <c r="B38" s="198" t="s">
        <v>304</v>
      </c>
      <c r="C38" s="198" t="n">
        <v>4</v>
      </c>
      <c r="D38" s="206" t="n">
        <v>2568.86</v>
      </c>
      <c r="E38" s="199"/>
      <c r="F38" s="196" t="n">
        <f aca="false">F37+D38+E38</f>
        <v>29574.93</v>
      </c>
    </row>
    <row r="39" customFormat="false" ht="11.25" hidden="false" customHeight="true" outlineLevel="0" collapsed="false">
      <c r="A39" s="205" t="n">
        <v>38422</v>
      </c>
      <c r="B39" s="198" t="s">
        <v>305</v>
      </c>
      <c r="C39" s="198" t="n">
        <v>5</v>
      </c>
      <c r="D39" s="206" t="n">
        <v>2414.08</v>
      </c>
      <c r="E39" s="199"/>
      <c r="F39" s="196" t="n">
        <f aca="false">F38+D39+E39</f>
        <v>31989.01</v>
      </c>
    </row>
    <row r="40" customFormat="false" ht="11.25" hidden="false" customHeight="true" outlineLevel="0" collapsed="false">
      <c r="A40" s="205" t="n">
        <v>38422</v>
      </c>
      <c r="B40" s="198" t="s">
        <v>306</v>
      </c>
      <c r="C40" s="198" t="n">
        <v>6</v>
      </c>
      <c r="D40" s="206" t="n">
        <v>2279.24</v>
      </c>
      <c r="E40" s="199"/>
      <c r="F40" s="196" t="n">
        <f aca="false">F39+D40+E40</f>
        <v>34268.25</v>
      </c>
    </row>
    <row r="41" customFormat="false" ht="11.25" hidden="false" customHeight="true" outlineLevel="0" collapsed="false">
      <c r="A41" s="205" t="n">
        <v>38442</v>
      </c>
      <c r="B41" s="198" t="s">
        <v>307</v>
      </c>
      <c r="C41" s="198"/>
      <c r="D41" s="206" t="n">
        <v>742</v>
      </c>
      <c r="E41" s="199"/>
      <c r="F41" s="196" t="n">
        <f aca="false">F40+D41+E41</f>
        <v>35010.25</v>
      </c>
    </row>
    <row r="42" customFormat="false" ht="11.25" hidden="false" customHeight="true" outlineLevel="0" collapsed="false">
      <c r="A42" s="205"/>
      <c r="B42" s="195" t="s">
        <v>287</v>
      </c>
      <c r="D42" s="196" t="n">
        <v>65</v>
      </c>
      <c r="E42" s="199"/>
      <c r="F42" s="196" t="n">
        <f aca="false">F41+D42+E42</f>
        <v>35075.25</v>
      </c>
    </row>
    <row r="43" customFormat="false" ht="11.25" hidden="false" customHeight="true" outlineLevel="0" collapsed="false">
      <c r="A43" s="205"/>
      <c r="B43" s="195" t="s">
        <v>308</v>
      </c>
      <c r="D43" s="196" t="n">
        <v>5</v>
      </c>
      <c r="E43" s="199"/>
      <c r="F43" s="196" t="n">
        <f aca="false">F42+D43+E43</f>
        <v>35080.25</v>
      </c>
    </row>
    <row r="44" customFormat="false" ht="11.25" hidden="false" customHeight="true" outlineLevel="0" collapsed="false">
      <c r="A44" s="205" t="n">
        <v>38472</v>
      </c>
      <c r="B44" s="198" t="s">
        <v>309</v>
      </c>
      <c r="C44" s="198"/>
      <c r="D44" s="206" t="n">
        <v>742</v>
      </c>
      <c r="E44" s="199"/>
      <c r="F44" s="196" t="n">
        <f aca="false">F43+D44+E44</f>
        <v>35822.25</v>
      </c>
    </row>
    <row r="45" customFormat="false" ht="11.25" hidden="false" customHeight="true" outlineLevel="0" collapsed="false">
      <c r="A45" s="205"/>
      <c r="B45" s="195" t="s">
        <v>310</v>
      </c>
      <c r="D45" s="196" t="n">
        <v>10</v>
      </c>
      <c r="E45" s="199"/>
      <c r="F45" s="196" t="n">
        <f aca="false">F44+D45+E45</f>
        <v>35832.25</v>
      </c>
    </row>
    <row r="46" customFormat="false" ht="11.25" hidden="false" customHeight="true" outlineLevel="0" collapsed="false">
      <c r="A46" s="205"/>
      <c r="B46" s="195" t="s">
        <v>311</v>
      </c>
      <c r="D46" s="196" t="n">
        <v>3</v>
      </c>
      <c r="E46" s="199"/>
      <c r="F46" s="196" t="n">
        <f aca="false">F45+D46+E46</f>
        <v>35835.25</v>
      </c>
    </row>
    <row r="47" customFormat="false" ht="11.25" hidden="false" customHeight="true" outlineLevel="0" collapsed="false">
      <c r="A47" s="205" t="n">
        <v>38503</v>
      </c>
      <c r="B47" s="198" t="s">
        <v>312</v>
      </c>
      <c r="C47" s="198"/>
      <c r="D47" s="206" t="n">
        <v>750</v>
      </c>
      <c r="E47" s="199"/>
      <c r="F47" s="196" t="n">
        <f aca="false">F46+D47+E47</f>
        <v>36585.25</v>
      </c>
    </row>
    <row r="48" customFormat="false" ht="11.25" hidden="false" customHeight="true" outlineLevel="0" collapsed="false">
      <c r="A48" s="205" t="n">
        <v>38506</v>
      </c>
      <c r="B48" s="198" t="s">
        <v>313</v>
      </c>
      <c r="C48" s="198" t="n">
        <v>7</v>
      </c>
      <c r="D48" s="206" t="n">
        <v>2547.8</v>
      </c>
      <c r="E48" s="199"/>
      <c r="F48" s="196" t="n">
        <f aca="false">F47+D48+E48</f>
        <v>39133.05</v>
      </c>
    </row>
    <row r="49" customFormat="false" ht="11.25" hidden="false" customHeight="true" outlineLevel="0" collapsed="false">
      <c r="A49" s="205" t="n">
        <v>38506</v>
      </c>
      <c r="B49" s="198" t="s">
        <v>314</v>
      </c>
      <c r="C49" s="198" t="n">
        <v>8</v>
      </c>
      <c r="D49" s="206" t="n">
        <v>2392.65</v>
      </c>
      <c r="E49" s="199"/>
      <c r="F49" s="196" t="n">
        <f aca="false">F48+D49+E49</f>
        <v>41525.7</v>
      </c>
    </row>
    <row r="50" customFormat="false" ht="11.25" hidden="false" customHeight="true" outlineLevel="0" collapsed="false">
      <c r="A50" s="205"/>
      <c r="B50" s="195" t="s">
        <v>315</v>
      </c>
      <c r="D50" s="196" t="n">
        <v>116</v>
      </c>
      <c r="E50" s="199"/>
      <c r="F50" s="196" t="n">
        <f aca="false">F49+D50+E50</f>
        <v>41641.7</v>
      </c>
    </row>
    <row r="51" customFormat="false" ht="11.25" hidden="false" customHeight="true" outlineLevel="0" collapsed="false">
      <c r="A51" s="205" t="n">
        <v>38582</v>
      </c>
      <c r="B51" s="198" t="s">
        <v>316</v>
      </c>
      <c r="C51" s="198" t="n">
        <v>10</v>
      </c>
      <c r="D51" s="206" t="n">
        <v>7455.35</v>
      </c>
      <c r="E51" s="199"/>
      <c r="F51" s="196" t="n">
        <f aca="false">F50+D51+E51</f>
        <v>49097.05</v>
      </c>
    </row>
    <row r="52" customFormat="false" ht="11.25" hidden="false" customHeight="true" outlineLevel="0" collapsed="false">
      <c r="A52" s="205" t="n">
        <v>38582</v>
      </c>
      <c r="B52" s="198" t="s">
        <v>316</v>
      </c>
      <c r="C52" s="198" t="n">
        <v>11</v>
      </c>
      <c r="D52" s="206" t="n">
        <v>80.73</v>
      </c>
      <c r="E52" s="199"/>
      <c r="F52" s="196" t="n">
        <f aca="false">F51+D52+E52</f>
        <v>49177.78</v>
      </c>
    </row>
    <row r="53" customFormat="false" ht="11.25" hidden="false" customHeight="true" outlineLevel="0" collapsed="false">
      <c r="A53" s="210" t="n">
        <v>38582</v>
      </c>
      <c r="B53" s="211" t="s">
        <v>317</v>
      </c>
      <c r="C53" s="211" t="n">
        <v>9</v>
      </c>
      <c r="D53" s="212" t="n">
        <v>10861.5</v>
      </c>
      <c r="E53" s="199"/>
      <c r="F53" s="196" t="n">
        <f aca="false">F52+D53+E53</f>
        <v>60039.28</v>
      </c>
    </row>
    <row r="54" customFormat="false" ht="11.25" hidden="false" customHeight="true" outlineLevel="0" collapsed="false">
      <c r="A54" s="205" t="n">
        <v>38477</v>
      </c>
      <c r="B54" s="195" t="s">
        <v>318</v>
      </c>
      <c r="C54" s="195" t="n">
        <v>12</v>
      </c>
      <c r="D54" s="196" t="n">
        <v>1500</v>
      </c>
      <c r="E54" s="199"/>
      <c r="F54" s="196" t="n">
        <f aca="false">F53+D54+E54</f>
        <v>61539.28</v>
      </c>
    </row>
    <row r="55" customFormat="false" ht="11.25" hidden="false" customHeight="true" outlineLevel="0" collapsed="false">
      <c r="A55" s="205" t="n">
        <v>38603</v>
      </c>
      <c r="B55" s="198" t="s">
        <v>319</v>
      </c>
      <c r="C55" s="198" t="n">
        <v>13</v>
      </c>
      <c r="D55" s="206" t="n">
        <v>2494.27</v>
      </c>
      <c r="E55" s="199"/>
      <c r="F55" s="196" t="n">
        <f aca="false">F54+D55+E55</f>
        <v>64033.55</v>
      </c>
    </row>
    <row r="56" customFormat="false" ht="11.25" hidden="false" customHeight="true" outlineLevel="0" collapsed="false">
      <c r="A56" s="205" t="n">
        <v>38603</v>
      </c>
      <c r="B56" s="198" t="s">
        <v>320</v>
      </c>
      <c r="C56" s="198" t="n">
        <v>14</v>
      </c>
      <c r="D56" s="206" t="n">
        <v>2379.15</v>
      </c>
      <c r="E56" s="199"/>
      <c r="F56" s="196" t="n">
        <f aca="false">F55+D56+E56</f>
        <v>66412.7</v>
      </c>
    </row>
    <row r="57" customFormat="false" ht="11.25" hidden="false" customHeight="true" outlineLevel="0" collapsed="false">
      <c r="A57" s="205" t="n">
        <v>38603</v>
      </c>
      <c r="B57" s="198" t="s">
        <v>321</v>
      </c>
      <c r="C57" s="198" t="n">
        <v>15</v>
      </c>
      <c r="D57" s="206" t="n">
        <v>2623.01</v>
      </c>
      <c r="E57" s="199"/>
      <c r="F57" s="196" t="n">
        <f aca="false">F56+D57+E57</f>
        <v>69035.71</v>
      </c>
    </row>
    <row r="58" customFormat="false" ht="11.25" hidden="false" customHeight="true" outlineLevel="0" collapsed="false">
      <c r="A58" s="205"/>
      <c r="B58" s="195" t="s">
        <v>322</v>
      </c>
      <c r="D58" s="196" t="n">
        <v>3900</v>
      </c>
      <c r="E58" s="199"/>
      <c r="F58" s="196" t="n">
        <f aca="false">F57+D58+E58</f>
        <v>72935.71</v>
      </c>
    </row>
    <row r="59" customFormat="false" ht="11.25" hidden="false" customHeight="true" outlineLevel="0" collapsed="false">
      <c r="A59" s="205"/>
      <c r="B59" s="195" t="s">
        <v>323</v>
      </c>
      <c r="D59" s="196" t="n">
        <v>3540</v>
      </c>
      <c r="E59" s="199"/>
      <c r="F59" s="196" t="n">
        <f aca="false">F58+D59+E59</f>
        <v>76475.71</v>
      </c>
    </row>
    <row r="60" customFormat="false" ht="11.25" hidden="false" customHeight="true" outlineLevel="0" collapsed="false">
      <c r="A60" s="205"/>
      <c r="B60" s="195" t="s">
        <v>324</v>
      </c>
      <c r="D60" s="196"/>
      <c r="E60" s="199" t="n">
        <v>-7040</v>
      </c>
      <c r="F60" s="196" t="n">
        <f aca="false">F59+D60+E60</f>
        <v>69435.71</v>
      </c>
    </row>
    <row r="61" customFormat="false" ht="11.25" hidden="false" customHeight="true" outlineLevel="0" collapsed="false">
      <c r="A61" s="205" t="n">
        <v>38643</v>
      </c>
      <c r="B61" s="198" t="s">
        <v>325</v>
      </c>
      <c r="C61" s="198" t="n">
        <v>16</v>
      </c>
      <c r="D61" s="206" t="n">
        <v>2421.46</v>
      </c>
      <c r="E61" s="199"/>
      <c r="F61" s="196" t="n">
        <f aca="false">F60+D61+E61</f>
        <v>71857.17</v>
      </c>
    </row>
    <row r="62" customFormat="false" ht="11.25" hidden="false" customHeight="true" outlineLevel="0" collapsed="false">
      <c r="A62" s="205" t="n">
        <v>38643</v>
      </c>
      <c r="B62" s="198" t="s">
        <v>326</v>
      </c>
      <c r="C62" s="198" t="n">
        <v>17</v>
      </c>
      <c r="D62" s="206" t="n">
        <v>2309.5</v>
      </c>
      <c r="E62" s="199"/>
      <c r="F62" s="196" t="n">
        <f aca="false">F61+D62+E62</f>
        <v>74166.67</v>
      </c>
    </row>
    <row r="63" customFormat="false" ht="11.25" hidden="false" customHeight="true" outlineLevel="0" collapsed="false">
      <c r="A63" s="205" t="n">
        <v>38643</v>
      </c>
      <c r="B63" s="195" t="s">
        <v>327</v>
      </c>
      <c r="C63" s="195" t="n">
        <v>18</v>
      </c>
      <c r="D63" s="196" t="n">
        <v>10165</v>
      </c>
      <c r="E63" s="199"/>
      <c r="F63" s="196" t="n">
        <f aca="false">F62+D63+E63</f>
        <v>84331.67</v>
      </c>
    </row>
    <row r="64" customFormat="false" ht="11.25" hidden="false" customHeight="true" outlineLevel="0" collapsed="false">
      <c r="A64" s="205"/>
      <c r="B64" s="198" t="s">
        <v>328</v>
      </c>
      <c r="C64" s="198"/>
      <c r="D64" s="206" t="n">
        <v>500</v>
      </c>
      <c r="E64" s="199"/>
      <c r="F64" s="196" t="n">
        <f aca="false">F63+D64+E64</f>
        <v>84831.67</v>
      </c>
    </row>
    <row r="65" customFormat="false" ht="11.25" hidden="false" customHeight="true" outlineLevel="0" collapsed="false">
      <c r="A65" s="205"/>
      <c r="B65" s="195" t="s">
        <v>329</v>
      </c>
      <c r="D65" s="196" t="n">
        <v>30</v>
      </c>
      <c r="E65" s="199"/>
      <c r="F65" s="196" t="n">
        <f aca="false">F64+D65+E65</f>
        <v>84861.67</v>
      </c>
    </row>
    <row r="66" customFormat="false" ht="11.25" hidden="false" customHeight="true" outlineLevel="0" collapsed="false">
      <c r="A66" s="205"/>
      <c r="B66" s="198" t="s">
        <v>328</v>
      </c>
      <c r="C66" s="198"/>
      <c r="D66" s="206" t="n">
        <v>105</v>
      </c>
      <c r="E66" s="199"/>
      <c r="F66" s="196" t="n">
        <f aca="false">F65+D66+E66</f>
        <v>84966.67</v>
      </c>
    </row>
    <row r="67" customFormat="false" ht="11.25" hidden="false" customHeight="true" outlineLevel="0" collapsed="false">
      <c r="A67" s="205"/>
      <c r="B67" s="195" t="s">
        <v>330</v>
      </c>
      <c r="D67" s="196" t="n">
        <v>1000</v>
      </c>
      <c r="E67" s="199"/>
      <c r="F67" s="196" t="n">
        <f aca="false">F66+D67+E67</f>
        <v>85966.67</v>
      </c>
    </row>
    <row r="68" customFormat="false" ht="11.25" hidden="false" customHeight="true" outlineLevel="0" collapsed="false">
      <c r="A68" s="205"/>
      <c r="C68" s="207" t="s">
        <v>331</v>
      </c>
      <c r="D68" s="204" t="n">
        <f aca="false">SUM(D31:D67)</f>
        <v>72003.92</v>
      </c>
      <c r="E68" s="208" t="n">
        <f aca="false">SUM(E31:E67)</f>
        <v>-7040</v>
      </c>
      <c r="F68" s="196"/>
    </row>
    <row r="69" customFormat="false" ht="11.25" hidden="false" customHeight="true" outlineLevel="0" collapsed="false">
      <c r="A69" s="205"/>
      <c r="D69" s="196"/>
      <c r="E69" s="199"/>
      <c r="F69" s="196"/>
    </row>
    <row r="70" customFormat="false" ht="11.25" hidden="false" customHeight="true" outlineLevel="0" collapsed="false">
      <c r="A70" s="205"/>
      <c r="D70" s="196"/>
      <c r="E70" s="199"/>
      <c r="F70" s="196"/>
    </row>
    <row r="71" customFormat="false" ht="11.25" hidden="false" customHeight="true" outlineLevel="0" collapsed="false">
      <c r="A71" s="205"/>
      <c r="D71" s="196"/>
      <c r="E71" s="199"/>
      <c r="F71" s="196"/>
    </row>
    <row r="72" customFormat="false" ht="11.25" hidden="false" customHeight="true" outlineLevel="0" collapsed="false">
      <c r="A72" s="200" t="n">
        <v>2006</v>
      </c>
      <c r="B72" s="201"/>
      <c r="C72" s="200" t="s">
        <v>276</v>
      </c>
      <c r="D72" s="202" t="s">
        <v>277</v>
      </c>
      <c r="E72" s="203" t="s">
        <v>278</v>
      </c>
      <c r="F72" s="202" t="s">
        <v>30</v>
      </c>
    </row>
    <row r="73" customFormat="false" ht="11.25" hidden="false" customHeight="true" outlineLevel="0" collapsed="false">
      <c r="A73" s="205"/>
      <c r="D73" s="196"/>
      <c r="E73" s="209" t="s">
        <v>332</v>
      </c>
      <c r="F73" s="206" t="n">
        <f aca="false">F67</f>
        <v>85966.67</v>
      </c>
    </row>
    <row r="74" customFormat="false" ht="11.25" hidden="false" customHeight="true" outlineLevel="0" collapsed="false">
      <c r="A74" s="195" t="n">
        <v>2006</v>
      </c>
      <c r="B74" s="195" t="s">
        <v>333</v>
      </c>
      <c r="D74" s="196" t="n">
        <v>3150</v>
      </c>
      <c r="E74" s="199"/>
      <c r="F74" s="196" t="n">
        <f aca="false">F73+D74+E74</f>
        <v>89116.67</v>
      </c>
    </row>
    <row r="75" customFormat="false" ht="11.25" hidden="false" customHeight="true" outlineLevel="0" collapsed="false">
      <c r="A75" s="205"/>
      <c r="B75" s="195" t="s">
        <v>334</v>
      </c>
      <c r="D75" s="196" t="n">
        <v>200</v>
      </c>
      <c r="E75" s="199"/>
      <c r="F75" s="196" t="n">
        <f aca="false">F74+D75+E75</f>
        <v>89316.67</v>
      </c>
    </row>
    <row r="76" customFormat="false" ht="11.25" hidden="false" customHeight="true" outlineLevel="0" collapsed="false">
      <c r="A76" s="205"/>
      <c r="B76" s="195" t="s">
        <v>335</v>
      </c>
      <c r="D76" s="196" t="n">
        <v>49</v>
      </c>
      <c r="E76" s="199"/>
      <c r="F76" s="196" t="n">
        <f aca="false">F75+D76+E76</f>
        <v>89365.67</v>
      </c>
    </row>
    <row r="77" customFormat="false" ht="11.25" hidden="false" customHeight="true" outlineLevel="0" collapsed="false">
      <c r="A77" s="205"/>
      <c r="B77" s="195" t="s">
        <v>336</v>
      </c>
      <c r="D77" s="196" t="n">
        <v>115</v>
      </c>
      <c r="E77" s="199"/>
      <c r="F77" s="196" t="n">
        <f aca="false">F76+D77+E77</f>
        <v>89480.67</v>
      </c>
    </row>
    <row r="78" customFormat="false" ht="11.25" hidden="false" customHeight="true" outlineLevel="0" collapsed="false">
      <c r="A78" s="205" t="n">
        <v>38762</v>
      </c>
      <c r="B78" s="198" t="s">
        <v>337</v>
      </c>
      <c r="C78" s="198" t="n">
        <v>19</v>
      </c>
      <c r="D78" s="206" t="n">
        <v>2755</v>
      </c>
      <c r="E78" s="199"/>
      <c r="F78" s="196" t="n">
        <f aca="false">F77+D78+E78</f>
        <v>92235.67</v>
      </c>
    </row>
    <row r="79" customFormat="false" ht="11.25" hidden="false" customHeight="true" outlineLevel="0" collapsed="false">
      <c r="A79" s="205" t="n">
        <v>38762</v>
      </c>
      <c r="B79" s="198" t="s">
        <v>338</v>
      </c>
      <c r="C79" s="198" t="n">
        <v>20</v>
      </c>
      <c r="D79" s="206" t="n">
        <v>2399.24</v>
      </c>
      <c r="E79" s="199"/>
      <c r="F79" s="196" t="n">
        <f aca="false">F78+D79+E79</f>
        <v>94634.91</v>
      </c>
    </row>
    <row r="80" customFormat="false" ht="11.25" hidden="false" customHeight="true" outlineLevel="0" collapsed="false">
      <c r="A80" s="205" t="n">
        <v>38762</v>
      </c>
      <c r="B80" s="198" t="s">
        <v>339</v>
      </c>
      <c r="C80" s="198" t="n">
        <v>21</v>
      </c>
      <c r="D80" s="206" t="n">
        <v>2298.65</v>
      </c>
      <c r="E80" s="199"/>
      <c r="F80" s="196" t="n">
        <f aca="false">F79+D80+E80</f>
        <v>96933.56</v>
      </c>
    </row>
    <row r="81" customFormat="false" ht="11.25" hidden="false" customHeight="true" outlineLevel="0" collapsed="false">
      <c r="A81" s="205" t="n">
        <v>38762</v>
      </c>
      <c r="B81" s="198" t="s">
        <v>340</v>
      </c>
      <c r="C81" s="198" t="n">
        <v>22</v>
      </c>
      <c r="D81" s="206" t="n">
        <v>2489.14</v>
      </c>
      <c r="E81" s="199"/>
      <c r="F81" s="196" t="n">
        <f aca="false">F80+D81+E81</f>
        <v>99422.7</v>
      </c>
    </row>
    <row r="82" customFormat="false" ht="11.25" hidden="false" customHeight="true" outlineLevel="0" collapsed="false">
      <c r="A82" s="205" t="n">
        <v>38762</v>
      </c>
      <c r="B82" s="198" t="s">
        <v>341</v>
      </c>
      <c r="C82" s="198" t="n">
        <v>23</v>
      </c>
      <c r="D82" s="206" t="n">
        <v>2580.3</v>
      </c>
      <c r="E82" s="199"/>
      <c r="F82" s="196" t="n">
        <f aca="false">F81+D82+E82</f>
        <v>102003</v>
      </c>
    </row>
    <row r="83" customFormat="false" ht="11.25" hidden="false" customHeight="true" outlineLevel="0" collapsed="false">
      <c r="A83" s="205" t="n">
        <v>38762</v>
      </c>
      <c r="B83" s="198" t="s">
        <v>342</v>
      </c>
      <c r="C83" s="198" t="n">
        <v>24</v>
      </c>
      <c r="D83" s="206" t="n">
        <v>30724.12</v>
      </c>
      <c r="E83" s="199"/>
      <c r="F83" s="196" t="n">
        <f aca="false">F82+D83+E83</f>
        <v>132727.12</v>
      </c>
    </row>
    <row r="84" customFormat="false" ht="11.25" hidden="false" customHeight="true" outlineLevel="0" collapsed="false">
      <c r="A84" s="205"/>
      <c r="B84" s="195" t="s">
        <v>343</v>
      </c>
      <c r="D84" s="196"/>
      <c r="E84" s="199" t="n">
        <v>-250</v>
      </c>
      <c r="F84" s="196" t="n">
        <f aca="false">F83+D84+E84</f>
        <v>132477.12</v>
      </c>
    </row>
    <row r="85" customFormat="false" ht="11.25" hidden="false" customHeight="true" outlineLevel="0" collapsed="false">
      <c r="A85" s="205"/>
      <c r="B85" s="195" t="s">
        <v>344</v>
      </c>
      <c r="D85" s="196"/>
      <c r="E85" s="199" t="n">
        <v>-30</v>
      </c>
      <c r="F85" s="196" t="n">
        <f aca="false">F84+D85+E85</f>
        <v>132447.12</v>
      </c>
    </row>
    <row r="86" customFormat="false" ht="11.25" hidden="false" customHeight="true" outlineLevel="0" collapsed="false">
      <c r="A86" s="205"/>
      <c r="B86" s="195" t="s">
        <v>345</v>
      </c>
      <c r="D86" s="196"/>
      <c r="E86" s="199" t="n">
        <v>-603</v>
      </c>
      <c r="F86" s="196" t="n">
        <f aca="false">F85+D86+E86</f>
        <v>131844.12</v>
      </c>
    </row>
    <row r="87" customFormat="false" ht="11.25" hidden="false" customHeight="true" outlineLevel="0" collapsed="false">
      <c r="A87" s="205"/>
      <c r="B87" s="195" t="s">
        <v>346</v>
      </c>
      <c r="D87" s="196" t="n">
        <v>208</v>
      </c>
      <c r="E87" s="199"/>
      <c r="F87" s="196" t="n">
        <f aca="false">F86+D87+E87</f>
        <v>132052.12</v>
      </c>
    </row>
    <row r="88" customFormat="false" ht="11.25" hidden="false" customHeight="true" outlineLevel="0" collapsed="false">
      <c r="A88" s="205"/>
      <c r="B88" s="195" t="s">
        <v>287</v>
      </c>
      <c r="D88" s="196" t="n">
        <v>216</v>
      </c>
      <c r="E88" s="199"/>
      <c r="F88" s="196" t="n">
        <f aca="false">F87+D88+E88</f>
        <v>132268.12</v>
      </c>
    </row>
    <row r="89" customFormat="false" ht="11.25" hidden="false" customHeight="true" outlineLevel="0" collapsed="false">
      <c r="A89" s="205"/>
      <c r="B89" s="195" t="s">
        <v>280</v>
      </c>
      <c r="D89" s="196" t="n">
        <v>164</v>
      </c>
      <c r="E89" s="199"/>
      <c r="F89" s="196" t="n">
        <f aca="false">F88+D89+E89</f>
        <v>132432.12</v>
      </c>
    </row>
    <row r="90" customFormat="false" ht="11.25" hidden="false" customHeight="true" outlineLevel="0" collapsed="false">
      <c r="A90" s="205"/>
      <c r="B90" s="195" t="s">
        <v>347</v>
      </c>
      <c r="D90" s="196" t="n">
        <v>40</v>
      </c>
      <c r="E90" s="199"/>
      <c r="F90" s="196" t="n">
        <f aca="false">F89+D90+E90</f>
        <v>132472.12</v>
      </c>
    </row>
    <row r="91" customFormat="false" ht="11.25" hidden="false" customHeight="true" outlineLevel="0" collapsed="false">
      <c r="A91" s="205"/>
      <c r="B91" s="195" t="s">
        <v>287</v>
      </c>
      <c r="D91" s="196" t="n">
        <v>108</v>
      </c>
      <c r="E91" s="199"/>
      <c r="F91" s="196" t="n">
        <f aca="false">F90+D91+E91</f>
        <v>132580.12</v>
      </c>
    </row>
    <row r="92" customFormat="false" ht="11.25" hidden="false" customHeight="true" outlineLevel="0" collapsed="false">
      <c r="A92" s="205"/>
      <c r="B92" s="195" t="s">
        <v>324</v>
      </c>
      <c r="D92" s="196"/>
      <c r="E92" s="199" t="n">
        <v>-8908</v>
      </c>
      <c r="F92" s="196" t="n">
        <f aca="false">F91+D92+E92</f>
        <v>123672.12</v>
      </c>
    </row>
    <row r="93" customFormat="false" ht="11.25" hidden="false" customHeight="true" outlineLevel="0" collapsed="false">
      <c r="A93" s="205"/>
      <c r="B93" s="198" t="s">
        <v>348</v>
      </c>
      <c r="C93" s="198"/>
      <c r="D93" s="206" t="n">
        <v>28</v>
      </c>
      <c r="E93" s="199"/>
      <c r="F93" s="196" t="n">
        <f aca="false">F92+D93+E93</f>
        <v>123700.12</v>
      </c>
    </row>
    <row r="94" customFormat="false" ht="11.25" hidden="false" customHeight="true" outlineLevel="0" collapsed="false">
      <c r="A94" s="205"/>
      <c r="B94" s="195" t="s">
        <v>349</v>
      </c>
      <c r="D94" s="196" t="n">
        <v>5000</v>
      </c>
      <c r="E94" s="199"/>
      <c r="F94" s="196" t="n">
        <f aca="false">F93+D94+E94</f>
        <v>128700.12</v>
      </c>
    </row>
    <row r="95" customFormat="false" ht="11.25" hidden="false" customHeight="true" outlineLevel="0" collapsed="false">
      <c r="A95" s="205"/>
      <c r="B95" s="195" t="s">
        <v>350</v>
      </c>
      <c r="D95" s="196" t="n">
        <v>500</v>
      </c>
      <c r="E95" s="199"/>
      <c r="F95" s="196" t="n">
        <f aca="false">F94+D95+E95</f>
        <v>129200.12</v>
      </c>
    </row>
    <row r="96" customFormat="false" ht="11.25" hidden="false" customHeight="true" outlineLevel="0" collapsed="false">
      <c r="A96" s="205"/>
      <c r="B96" s="195" t="s">
        <v>351</v>
      </c>
      <c r="D96" s="196"/>
      <c r="E96" s="199" t="n">
        <v>-2500</v>
      </c>
      <c r="F96" s="196" t="n">
        <f aca="false">F95+D96+E96</f>
        <v>126700.12</v>
      </c>
    </row>
    <row r="97" customFormat="false" ht="11.25" hidden="false" customHeight="true" outlineLevel="0" collapsed="false">
      <c r="A97" s="205"/>
      <c r="B97" s="195" t="s">
        <v>352</v>
      </c>
      <c r="D97" s="196" t="n">
        <v>2500</v>
      </c>
      <c r="E97" s="199"/>
      <c r="F97" s="196" t="n">
        <f aca="false">F96+D97+E97</f>
        <v>129200.12</v>
      </c>
    </row>
    <row r="98" customFormat="false" ht="11.25" hidden="false" customHeight="true" outlineLevel="0" collapsed="false">
      <c r="A98" s="205"/>
      <c r="B98" s="195" t="s">
        <v>353</v>
      </c>
      <c r="D98" s="196" t="n">
        <v>60</v>
      </c>
      <c r="E98" s="199"/>
      <c r="F98" s="196" t="n">
        <f aca="false">F97+D98+E98</f>
        <v>129260.12</v>
      </c>
    </row>
    <row r="99" customFormat="false" ht="11.25" hidden="false" customHeight="true" outlineLevel="0" collapsed="false">
      <c r="A99" s="205"/>
      <c r="B99" s="195" t="s">
        <v>353</v>
      </c>
      <c r="D99" s="196" t="n">
        <v>72</v>
      </c>
      <c r="E99" s="199"/>
      <c r="F99" s="196" t="n">
        <f aca="false">F98+D99+E99</f>
        <v>129332.12</v>
      </c>
    </row>
    <row r="100" customFormat="false" ht="11.25" hidden="false" customHeight="true" outlineLevel="0" collapsed="false">
      <c r="A100" s="205"/>
      <c r="B100" s="195" t="s">
        <v>354</v>
      </c>
      <c r="D100" s="196" t="n">
        <v>7708</v>
      </c>
      <c r="E100" s="199"/>
      <c r="F100" s="196" t="n">
        <f aca="false">F99+D100+E100</f>
        <v>137040.12</v>
      </c>
    </row>
    <row r="101" customFormat="false" ht="11.25" hidden="false" customHeight="true" outlineLevel="0" collapsed="false">
      <c r="A101" s="205" t="n">
        <v>39007</v>
      </c>
      <c r="B101" s="198" t="s">
        <v>355</v>
      </c>
      <c r="C101" s="198"/>
      <c r="D101" s="206" t="n">
        <v>172</v>
      </c>
      <c r="E101" s="199"/>
      <c r="F101" s="196" t="n">
        <f aca="false">F100+D101+E101</f>
        <v>137212.12</v>
      </c>
    </row>
    <row r="102" customFormat="false" ht="11.25" hidden="false" customHeight="true" outlineLevel="0" collapsed="false">
      <c r="A102" s="205" t="n">
        <v>39007</v>
      </c>
      <c r="B102" s="198" t="s">
        <v>355</v>
      </c>
      <c r="C102" s="198"/>
      <c r="D102" s="206" t="n">
        <v>210</v>
      </c>
      <c r="E102" s="199"/>
      <c r="F102" s="196" t="n">
        <f aca="false">F101+D102+E102</f>
        <v>137422.12</v>
      </c>
    </row>
    <row r="103" customFormat="false" ht="11.25" hidden="false" customHeight="true" outlineLevel="0" collapsed="false">
      <c r="A103" s="205"/>
      <c r="B103" s="195" t="s">
        <v>356</v>
      </c>
      <c r="D103" s="196"/>
      <c r="E103" s="199" t="n">
        <v>-25</v>
      </c>
      <c r="F103" s="196" t="n">
        <f aca="false">F102+D103+E103</f>
        <v>137397.12</v>
      </c>
    </row>
    <row r="104" customFormat="false" ht="11.25" hidden="false" customHeight="true" outlineLevel="0" collapsed="false">
      <c r="A104" s="205"/>
      <c r="B104" s="195" t="s">
        <v>356</v>
      </c>
      <c r="D104" s="196"/>
      <c r="E104" s="199" t="n">
        <v>-13</v>
      </c>
      <c r="F104" s="196" t="n">
        <f aca="false">F103+D104+E104</f>
        <v>137384.12</v>
      </c>
    </row>
    <row r="105" customFormat="false" ht="11.25" hidden="false" customHeight="true" outlineLevel="0" collapsed="false">
      <c r="A105" s="205"/>
      <c r="B105" s="195" t="s">
        <v>357</v>
      </c>
      <c r="D105" s="196"/>
      <c r="E105" s="199" t="n">
        <v>-1000</v>
      </c>
      <c r="F105" s="196" t="n">
        <f aca="false">F104+D105+E105</f>
        <v>136384.12</v>
      </c>
    </row>
    <row r="106" customFormat="false" ht="11.25" hidden="false" customHeight="true" outlineLevel="0" collapsed="false">
      <c r="A106" s="205" t="n">
        <v>39001</v>
      </c>
      <c r="B106" s="195" t="s">
        <v>324</v>
      </c>
      <c r="D106" s="196"/>
      <c r="E106" s="199" t="n">
        <v>-1274</v>
      </c>
      <c r="F106" s="196" t="n">
        <f aca="false">F105+D106+E106</f>
        <v>135110.12</v>
      </c>
    </row>
    <row r="107" customFormat="false" ht="11.25" hidden="false" customHeight="true" outlineLevel="0" collapsed="false">
      <c r="A107" s="205"/>
      <c r="B107" s="195" t="s">
        <v>357</v>
      </c>
      <c r="D107" s="196"/>
      <c r="E107" s="199" t="n">
        <v>-1000</v>
      </c>
      <c r="F107" s="196" t="n">
        <f aca="false">F106+D107+E107</f>
        <v>134110.12</v>
      </c>
    </row>
    <row r="108" customFormat="false" ht="11.25" hidden="false" customHeight="true" outlineLevel="0" collapsed="false">
      <c r="A108" s="205"/>
      <c r="B108" s="195" t="s">
        <v>344</v>
      </c>
      <c r="D108" s="196"/>
      <c r="E108" s="199" t="n">
        <v>-80</v>
      </c>
      <c r="F108" s="196" t="n">
        <f aca="false">F107+D108+E108</f>
        <v>134030.12</v>
      </c>
    </row>
    <row r="109" customFormat="false" ht="11.25" hidden="false" customHeight="true" outlineLevel="0" collapsed="false">
      <c r="A109" s="205"/>
      <c r="B109" s="195" t="s">
        <v>344</v>
      </c>
      <c r="D109" s="196" t="n">
        <v>70</v>
      </c>
      <c r="E109" s="199"/>
      <c r="F109" s="196" t="n">
        <f aca="false">F108+D109+E109</f>
        <v>134100.12</v>
      </c>
    </row>
    <row r="110" customFormat="false" ht="11.25" hidden="false" customHeight="true" outlineLevel="0" collapsed="false">
      <c r="A110" s="205"/>
      <c r="B110" s="195" t="s">
        <v>358</v>
      </c>
      <c r="D110" s="196" t="n">
        <v>60</v>
      </c>
      <c r="E110" s="199"/>
      <c r="F110" s="196" t="n">
        <f aca="false">F109+D110+E110</f>
        <v>134160.12</v>
      </c>
    </row>
    <row r="111" customFormat="false" ht="11.25" hidden="false" customHeight="true" outlineLevel="0" collapsed="false">
      <c r="A111" s="205"/>
      <c r="B111" s="195" t="s">
        <v>359</v>
      </c>
      <c r="D111" s="196"/>
      <c r="E111" s="199" t="n">
        <v>-34</v>
      </c>
      <c r="F111" s="196" t="n">
        <f aca="false">F110+D111+E111</f>
        <v>134126.12</v>
      </c>
    </row>
    <row r="112" customFormat="false" ht="11.25" hidden="false" customHeight="true" outlineLevel="0" collapsed="false">
      <c r="A112" s="205"/>
      <c r="B112" s="195" t="s">
        <v>359</v>
      </c>
      <c r="D112" s="196"/>
      <c r="E112" s="199" t="n">
        <v>-16</v>
      </c>
      <c r="F112" s="196" t="n">
        <f aca="false">F111+D112+E112</f>
        <v>134110.12</v>
      </c>
    </row>
    <row r="113" customFormat="false" ht="11.25" hidden="false" customHeight="true" outlineLevel="0" collapsed="false">
      <c r="A113" s="205"/>
      <c r="B113" s="195" t="s">
        <v>356</v>
      </c>
      <c r="D113" s="196"/>
      <c r="E113" s="199" t="n">
        <v>-50</v>
      </c>
      <c r="F113" s="196" t="n">
        <f aca="false">F112+D113+E113</f>
        <v>134060.12</v>
      </c>
    </row>
    <row r="114" customFormat="false" ht="11.25" hidden="false" customHeight="true" outlineLevel="0" collapsed="false">
      <c r="A114" s="205"/>
      <c r="B114" s="195" t="s">
        <v>360</v>
      </c>
      <c r="D114" s="196"/>
      <c r="E114" s="199" t="n">
        <v>-218</v>
      </c>
      <c r="F114" s="196" t="n">
        <f aca="false">F113+D114+E114</f>
        <v>133842.12</v>
      </c>
    </row>
    <row r="115" customFormat="false" ht="11.25" hidden="false" customHeight="true" outlineLevel="0" collapsed="false">
      <c r="A115" s="205"/>
      <c r="B115" s="198" t="s">
        <v>361</v>
      </c>
      <c r="C115" s="198"/>
      <c r="D115" s="206" t="n">
        <v>405</v>
      </c>
      <c r="E115" s="199"/>
      <c r="F115" s="196" t="n">
        <f aca="false">F114+D115+E115</f>
        <v>134247.12</v>
      </c>
    </row>
    <row r="116" customFormat="false" ht="11.25" hidden="false" customHeight="true" outlineLevel="0" collapsed="false">
      <c r="A116" s="205"/>
      <c r="B116" s="198" t="s">
        <v>362</v>
      </c>
      <c r="C116" s="198"/>
      <c r="D116" s="206" t="n">
        <v>900</v>
      </c>
      <c r="E116" s="199"/>
      <c r="F116" s="196" t="n">
        <f aca="false">F115+D116+E116</f>
        <v>135147.12</v>
      </c>
    </row>
    <row r="117" customFormat="false" ht="11.25" hidden="false" customHeight="true" outlineLevel="0" collapsed="false">
      <c r="A117" s="205"/>
      <c r="B117" s="198" t="s">
        <v>363</v>
      </c>
      <c r="C117" s="198"/>
      <c r="D117" s="206" t="n">
        <v>1050</v>
      </c>
      <c r="E117" s="199"/>
      <c r="F117" s="196" t="n">
        <f aca="false">F116+D117+E117</f>
        <v>136197.12</v>
      </c>
    </row>
    <row r="118" customFormat="false" ht="11.25" hidden="false" customHeight="true" outlineLevel="0" collapsed="false">
      <c r="A118" s="205"/>
      <c r="B118" s="198" t="s">
        <v>364</v>
      </c>
      <c r="C118" s="198"/>
      <c r="D118" s="206" t="n">
        <v>1200</v>
      </c>
      <c r="E118" s="199"/>
      <c r="F118" s="196" t="n">
        <f aca="false">F117+D118+E118</f>
        <v>137397.12</v>
      </c>
    </row>
    <row r="119" customFormat="false" ht="11.25" hidden="false" customHeight="true" outlineLevel="0" collapsed="false">
      <c r="A119" s="205"/>
      <c r="B119" s="198" t="s">
        <v>365</v>
      </c>
      <c r="C119" s="198"/>
      <c r="D119" s="206" t="n">
        <v>3365</v>
      </c>
      <c r="E119" s="199"/>
      <c r="F119" s="196" t="n">
        <f aca="false">F118+D119+E119</f>
        <v>140762.12</v>
      </c>
    </row>
    <row r="120" customFormat="false" ht="11.25" hidden="false" customHeight="true" outlineLevel="0" collapsed="false">
      <c r="A120" s="205"/>
      <c r="B120" s="198" t="s">
        <v>366</v>
      </c>
      <c r="C120" s="198"/>
      <c r="D120" s="206" t="n">
        <v>3000</v>
      </c>
      <c r="E120" s="199"/>
      <c r="F120" s="196" t="n">
        <f aca="false">F119+D120+E120</f>
        <v>143762.12</v>
      </c>
    </row>
    <row r="121" customFormat="false" ht="11.25" hidden="false" customHeight="true" outlineLevel="0" collapsed="false">
      <c r="A121" s="205"/>
      <c r="B121" s="195" t="s">
        <v>359</v>
      </c>
      <c r="D121" s="196"/>
      <c r="E121" s="199" t="n">
        <v>-204</v>
      </c>
      <c r="F121" s="196" t="n">
        <f aca="false">F120+D121+E121</f>
        <v>143558.12</v>
      </c>
    </row>
    <row r="122" customFormat="false" ht="11.25" hidden="false" customHeight="true" outlineLevel="0" collapsed="false">
      <c r="A122" s="205"/>
      <c r="B122" s="195" t="s">
        <v>367</v>
      </c>
      <c r="D122" s="196"/>
      <c r="E122" s="199" t="n">
        <v>-25</v>
      </c>
      <c r="F122" s="196" t="n">
        <f aca="false">F121+D122+E122</f>
        <v>143533.12</v>
      </c>
    </row>
    <row r="123" customFormat="false" ht="11.25" hidden="false" customHeight="true" outlineLevel="0" collapsed="false">
      <c r="A123" s="205"/>
      <c r="C123" s="207" t="s">
        <v>368</v>
      </c>
      <c r="D123" s="204" t="n">
        <f aca="false">SUM(D74:D122)</f>
        <v>73796.45</v>
      </c>
      <c r="E123" s="208" t="n">
        <f aca="false">SUM(E74:E122)</f>
        <v>-16230</v>
      </c>
      <c r="F123" s="196"/>
    </row>
    <row r="124" customFormat="false" ht="11.25" hidden="false" customHeight="true" outlineLevel="0" collapsed="false">
      <c r="A124" s="205"/>
      <c r="C124" s="198"/>
      <c r="D124" s="204"/>
      <c r="E124" s="208"/>
      <c r="F124" s="196"/>
    </row>
    <row r="125" customFormat="false" ht="11.25" hidden="false" customHeight="true" outlineLevel="0" collapsed="false">
      <c r="A125" s="213" t="n">
        <v>2007</v>
      </c>
      <c r="B125" s="201"/>
      <c r="C125" s="200" t="s">
        <v>276</v>
      </c>
      <c r="D125" s="202" t="s">
        <v>277</v>
      </c>
      <c r="E125" s="203" t="s">
        <v>278</v>
      </c>
      <c r="F125" s="202" t="s">
        <v>30</v>
      </c>
    </row>
    <row r="126" customFormat="false" ht="11.25" hidden="false" customHeight="true" outlineLevel="0" collapsed="false">
      <c r="A126" s="205"/>
      <c r="D126" s="196"/>
      <c r="E126" s="199"/>
      <c r="F126" s="196" t="n">
        <f aca="false">F122</f>
        <v>143533.12</v>
      </c>
    </row>
    <row r="127" customFormat="false" ht="11.25" hidden="false" customHeight="true" outlineLevel="0" collapsed="false">
      <c r="A127" s="205" t="n">
        <v>39092</v>
      </c>
      <c r="B127" s="195" t="s">
        <v>168</v>
      </c>
      <c r="D127" s="196"/>
      <c r="E127" s="199" t="n">
        <v>-500</v>
      </c>
      <c r="F127" s="196" t="n">
        <f aca="false">F126+D127+E127</f>
        <v>143033.12</v>
      </c>
    </row>
    <row r="128" customFormat="false" ht="11.25" hidden="false" customHeight="true" outlineLevel="0" collapsed="false">
      <c r="A128" s="205"/>
      <c r="B128" s="195" t="s">
        <v>369</v>
      </c>
      <c r="D128" s="196" t="n">
        <v>60</v>
      </c>
      <c r="E128" s="199"/>
      <c r="F128" s="196" t="n">
        <f aca="false">F127+D128+E128</f>
        <v>143093.12</v>
      </c>
    </row>
    <row r="129" customFormat="false" ht="11.25" hidden="false" customHeight="true" outlineLevel="0" collapsed="false">
      <c r="A129" s="205"/>
      <c r="B129" s="195" t="s">
        <v>370</v>
      </c>
      <c r="D129" s="196" t="n">
        <v>68</v>
      </c>
      <c r="E129" s="199"/>
      <c r="F129" s="196" t="n">
        <f aca="false">F128+D129+E129</f>
        <v>143161.12</v>
      </c>
    </row>
    <row r="130" customFormat="false" ht="11.25" hidden="false" customHeight="true" outlineLevel="0" collapsed="false">
      <c r="A130" s="205"/>
      <c r="B130" s="195" t="s">
        <v>371</v>
      </c>
      <c r="D130" s="196" t="n">
        <v>8</v>
      </c>
      <c r="E130" s="199"/>
      <c r="F130" s="196" t="n">
        <f aca="false">F129+D130+E130</f>
        <v>143169.12</v>
      </c>
    </row>
    <row r="131" customFormat="false" ht="11.25" hidden="false" customHeight="true" outlineLevel="0" collapsed="false">
      <c r="A131" s="205"/>
      <c r="B131" s="195" t="s">
        <v>372</v>
      </c>
      <c r="D131" s="196"/>
      <c r="E131" s="199" t="n">
        <v>-20</v>
      </c>
      <c r="F131" s="196" t="n">
        <f aca="false">F130+D131+E131</f>
        <v>143149.12</v>
      </c>
    </row>
    <row r="132" customFormat="false" ht="11.25" hidden="false" customHeight="true" outlineLevel="0" collapsed="false">
      <c r="A132" s="205"/>
      <c r="B132" s="195" t="s">
        <v>329</v>
      </c>
      <c r="D132" s="196" t="n">
        <v>8</v>
      </c>
      <c r="E132" s="199"/>
      <c r="F132" s="196" t="n">
        <f aca="false">F131+D132+E132</f>
        <v>143157.12</v>
      </c>
    </row>
    <row r="133" customFormat="false" ht="11.25" hidden="false" customHeight="true" outlineLevel="0" collapsed="false">
      <c r="A133" s="205"/>
      <c r="B133" s="195" t="s">
        <v>373</v>
      </c>
      <c r="D133" s="196" t="n">
        <v>251</v>
      </c>
      <c r="E133" s="199"/>
      <c r="F133" s="206" t="n">
        <f aca="false">F132+D133+E133</f>
        <v>143408.12</v>
      </c>
    </row>
    <row r="134" customFormat="false" ht="11.25" hidden="false" customHeight="true" outlineLevel="0" collapsed="false">
      <c r="A134" s="205"/>
      <c r="C134" s="207" t="s">
        <v>374</v>
      </c>
      <c r="D134" s="204" t="n">
        <f aca="false">SUM(D127:D133)</f>
        <v>395</v>
      </c>
      <c r="E134" s="208" t="n">
        <f aca="false">SUM(E127:E133)</f>
        <v>-520</v>
      </c>
      <c r="F134" s="196"/>
    </row>
    <row r="135" customFormat="false" ht="11.25" hidden="false" customHeight="true" outlineLevel="0" collapsed="false">
      <c r="A135" s="205"/>
      <c r="C135" s="207"/>
      <c r="D135" s="204"/>
      <c r="E135" s="208"/>
      <c r="F135" s="196"/>
    </row>
    <row r="136" customFormat="false" ht="11.25" hidden="false" customHeight="true" outlineLevel="0" collapsed="false">
      <c r="A136" s="205"/>
      <c r="C136" s="207"/>
      <c r="D136" s="204"/>
      <c r="E136" s="208"/>
      <c r="F136" s="196"/>
    </row>
    <row r="137" customFormat="false" ht="11.25" hidden="false" customHeight="true" outlineLevel="0" collapsed="false">
      <c r="A137" s="205"/>
      <c r="C137" s="207"/>
      <c r="D137" s="204"/>
      <c r="E137" s="208"/>
      <c r="F137" s="196"/>
    </row>
    <row r="138" customFormat="false" ht="11.25" hidden="false" customHeight="true" outlineLevel="0" collapsed="false">
      <c r="A138" s="205"/>
      <c r="D138" s="196"/>
      <c r="E138" s="199"/>
      <c r="F138" s="196"/>
    </row>
    <row r="139" customFormat="false" ht="11.25" hidden="false" customHeight="true" outlineLevel="0" collapsed="false">
      <c r="A139" s="205"/>
      <c r="D139" s="196"/>
      <c r="E139" s="199"/>
      <c r="F139" s="196"/>
    </row>
    <row r="140" customFormat="false" ht="11.25" hidden="false" customHeight="true" outlineLevel="0" collapsed="false">
      <c r="A140" s="205"/>
      <c r="D140" s="196"/>
      <c r="E140" s="199"/>
      <c r="F140" s="196"/>
    </row>
    <row r="141" customFormat="false" ht="11.25" hidden="false" customHeight="true" outlineLevel="0" collapsed="false">
      <c r="A141" s="214" t="s">
        <v>375</v>
      </c>
      <c r="B141" s="201"/>
      <c r="C141" s="200" t="s">
        <v>276</v>
      </c>
      <c r="D141" s="202" t="s">
        <v>277</v>
      </c>
      <c r="E141" s="203" t="s">
        <v>278</v>
      </c>
      <c r="F141" s="202" t="s">
        <v>30</v>
      </c>
    </row>
    <row r="142" customFormat="false" ht="11.25" hidden="false" customHeight="true" outlineLevel="0" collapsed="false">
      <c r="A142" s="205"/>
      <c r="D142" s="196"/>
      <c r="E142" s="209" t="s">
        <v>376</v>
      </c>
      <c r="F142" s="206" t="n">
        <f aca="false">F133</f>
        <v>143408.12</v>
      </c>
    </row>
    <row r="143" customFormat="false" ht="11.25" hidden="false" customHeight="true" outlineLevel="0" collapsed="false">
      <c r="A143" s="195" t="n">
        <v>2008</v>
      </c>
      <c r="B143" s="195" t="s">
        <v>377</v>
      </c>
      <c r="D143" s="196"/>
      <c r="E143" s="199" t="n">
        <v>-20</v>
      </c>
      <c r="F143" s="196" t="n">
        <f aca="false">F142+D143+E143</f>
        <v>143388.12</v>
      </c>
    </row>
    <row r="144" customFormat="false" ht="11.25" hidden="false" customHeight="true" outlineLevel="0" collapsed="false">
      <c r="A144" s="205"/>
      <c r="B144" s="195" t="s">
        <v>378</v>
      </c>
      <c r="D144" s="196"/>
      <c r="E144" s="199" t="n">
        <v>-180</v>
      </c>
      <c r="F144" s="196" t="n">
        <f aca="false">F143+D144+E144</f>
        <v>143208.12</v>
      </c>
    </row>
    <row r="145" customFormat="false" ht="11.25" hidden="false" customHeight="true" outlineLevel="0" collapsed="false">
      <c r="A145" s="205"/>
      <c r="B145" s="195" t="s">
        <v>379</v>
      </c>
      <c r="E145" s="199" t="n">
        <v>-25</v>
      </c>
      <c r="F145" s="196" t="n">
        <f aca="false">F144+D145+E145</f>
        <v>143183.12</v>
      </c>
    </row>
    <row r="146" customFormat="false" ht="11.25" hidden="false" customHeight="true" outlineLevel="0" collapsed="false">
      <c r="A146" s="205"/>
      <c r="B146" s="195" t="s">
        <v>380</v>
      </c>
      <c r="D146" s="196"/>
      <c r="E146" s="199" t="n">
        <v>-320</v>
      </c>
      <c r="F146" s="196" t="n">
        <f aca="false">F145+D146+E146</f>
        <v>142863.12</v>
      </c>
    </row>
    <row r="147" customFormat="false" ht="11.25" hidden="false" customHeight="true" outlineLevel="0" collapsed="false">
      <c r="A147" s="205"/>
      <c r="B147" s="195" t="s">
        <v>381</v>
      </c>
      <c r="D147" s="196"/>
      <c r="E147" s="199" t="n">
        <v>-25</v>
      </c>
      <c r="F147" s="196" t="n">
        <f aca="false">F146+D147+E147</f>
        <v>142838.12</v>
      </c>
    </row>
    <row r="148" customFormat="false" ht="11.25" hidden="false" customHeight="true" outlineLevel="0" collapsed="false">
      <c r="A148" s="205"/>
      <c r="B148" s="195" t="s">
        <v>382</v>
      </c>
      <c r="D148" s="196"/>
      <c r="E148" s="199" t="n">
        <v>-135</v>
      </c>
      <c r="F148" s="196" t="n">
        <f aca="false">F147+D148+E148</f>
        <v>142703.12</v>
      </c>
    </row>
    <row r="149" customFormat="false" ht="11.25" hidden="false" customHeight="true" outlineLevel="0" collapsed="false">
      <c r="A149" s="205"/>
      <c r="B149" s="195" t="s">
        <v>383</v>
      </c>
      <c r="D149" s="196"/>
      <c r="E149" s="199" t="n">
        <v>-35</v>
      </c>
      <c r="F149" s="196" t="n">
        <f aca="false">F148+D149+E149</f>
        <v>142668.12</v>
      </c>
    </row>
    <row r="150" customFormat="false" ht="11.25" hidden="false" customHeight="true" outlineLevel="0" collapsed="false">
      <c r="A150" s="205"/>
      <c r="B150" s="195" t="s">
        <v>384</v>
      </c>
      <c r="D150" s="196" t="n">
        <v>48</v>
      </c>
      <c r="E150" s="199"/>
      <c r="F150" s="196" t="n">
        <f aca="false">F149+D150+E150</f>
        <v>142716.12</v>
      </c>
    </row>
    <row r="151" customFormat="false" ht="11.25" hidden="false" customHeight="true" outlineLevel="0" collapsed="false">
      <c r="A151" s="205"/>
      <c r="B151" s="195" t="s">
        <v>385</v>
      </c>
      <c r="D151" s="196"/>
      <c r="E151" s="199" t="n">
        <v>-182</v>
      </c>
      <c r="F151" s="196" t="n">
        <f aca="false">F150+D151+E151</f>
        <v>142534.12</v>
      </c>
    </row>
    <row r="152" customFormat="false" ht="11.25" hidden="false" customHeight="true" outlineLevel="0" collapsed="false">
      <c r="E152" s="199"/>
      <c r="F152" s="196" t="n">
        <f aca="false">F151+D152+E152</f>
        <v>142534.12</v>
      </c>
    </row>
    <row r="153" customFormat="false" ht="11.25" hidden="false" customHeight="true" outlineLevel="0" collapsed="false">
      <c r="A153" s="205"/>
      <c r="C153" s="215" t="s">
        <v>386</v>
      </c>
      <c r="D153" s="204" t="n">
        <f aca="false">SUM(D143:D151)</f>
        <v>48</v>
      </c>
      <c r="E153" s="208" t="n">
        <f aca="false">SUM(E143:E151)</f>
        <v>-922</v>
      </c>
      <c r="F153" s="196"/>
    </row>
    <row r="154" customFormat="false" ht="11.25" hidden="false" customHeight="true" outlineLevel="0" collapsed="false">
      <c r="A154" s="205"/>
      <c r="C154" s="216"/>
      <c r="D154" s="204"/>
      <c r="E154" s="208"/>
      <c r="F154" s="196" t="n">
        <f aca="false">F152+D154+E154</f>
        <v>142534.12</v>
      </c>
    </row>
    <row r="155" customFormat="false" ht="11.25" hidden="false" customHeight="true" outlineLevel="0" collapsed="false">
      <c r="A155" s="195" t="n">
        <v>2012</v>
      </c>
      <c r="B155" s="195" t="s">
        <v>387</v>
      </c>
      <c r="D155" s="196" t="n">
        <v>1000</v>
      </c>
      <c r="E155" s="208"/>
      <c r="F155" s="196" t="n">
        <f aca="false">F154+D155+E155</f>
        <v>143534.12</v>
      </c>
    </row>
    <row r="156" customFormat="false" ht="11.25" hidden="false" customHeight="true" outlineLevel="0" collapsed="false">
      <c r="A156" s="205"/>
      <c r="C156" s="216"/>
      <c r="D156" s="204"/>
      <c r="E156" s="208"/>
      <c r="F156" s="217" t="s">
        <v>244</v>
      </c>
    </row>
    <row r="157" customFormat="false" ht="13.5" hidden="false" customHeight="true" outlineLevel="0" collapsed="false">
      <c r="A157" s="205"/>
    </row>
    <row r="158" customFormat="false" ht="16.5" hidden="false" customHeight="true" outlineLevel="0" collapsed="false">
      <c r="A158" s="205"/>
      <c r="B158" s="218" t="n">
        <v>45233</v>
      </c>
      <c r="C158" s="218"/>
      <c r="D158" s="196"/>
      <c r="E158" s="219" t="s">
        <v>388</v>
      </c>
      <c r="F158" s="220" t="n">
        <v>119619.37</v>
      </c>
    </row>
    <row r="159" customFormat="false" ht="11.25" hidden="false" customHeight="true" outlineLevel="0" collapsed="false">
      <c r="A159" s="205"/>
      <c r="D159" s="196"/>
      <c r="E159" s="221" t="s">
        <v>389</v>
      </c>
      <c r="F159" s="220" t="n">
        <f aca="false">F160-F158</f>
        <v>23914.75</v>
      </c>
    </row>
    <row r="160" customFormat="false" ht="17.25" hidden="false" customHeight="true" outlineLevel="0" collapsed="false">
      <c r="A160" s="205"/>
      <c r="D160" s="196"/>
      <c r="E160" s="221" t="s">
        <v>390</v>
      </c>
      <c r="F160" s="220" t="n">
        <f aca="false">F155</f>
        <v>143534.12</v>
      </c>
    </row>
    <row r="161" customFormat="false" ht="17.25" hidden="false" customHeight="true" outlineLevel="0" collapsed="false">
      <c r="A161" s="205"/>
      <c r="D161" s="196"/>
      <c r="E161" s="221"/>
      <c r="F161" s="220"/>
    </row>
    <row r="162" customFormat="false" ht="17.25" hidden="false" customHeight="true" outlineLevel="0" collapsed="false">
      <c r="A162" s="205"/>
      <c r="D162" s="196"/>
      <c r="E162" s="221"/>
      <c r="F162" s="220"/>
    </row>
    <row r="163" customFormat="false" ht="17.25" hidden="false" customHeight="true" outlineLevel="0" collapsed="false">
      <c r="A163" s="205"/>
      <c r="D163" s="196"/>
      <c r="E163" s="221"/>
      <c r="F163" s="220"/>
    </row>
    <row r="164" customFormat="false" ht="17.25" hidden="false" customHeight="true" outlineLevel="0" collapsed="false">
      <c r="A164" s="205"/>
      <c r="D164" s="196"/>
      <c r="E164" s="221"/>
      <c r="F164" s="220"/>
    </row>
    <row r="165" customFormat="false" ht="17.25" hidden="false" customHeight="true" outlineLevel="0" collapsed="false">
      <c r="A165" s="205"/>
      <c r="D165" s="196"/>
      <c r="E165" s="221"/>
      <c r="F165" s="220"/>
    </row>
    <row r="166" customFormat="false" ht="17.25" hidden="false" customHeight="true" outlineLevel="0" collapsed="false">
      <c r="A166" s="205"/>
      <c r="D166" s="196"/>
      <c r="E166" s="221"/>
      <c r="F166" s="220"/>
    </row>
    <row r="167" customFormat="false" ht="17.25" hidden="false" customHeight="true" outlineLevel="0" collapsed="false">
      <c r="A167" s="205"/>
      <c r="D167" s="196"/>
      <c r="E167" s="221"/>
      <c r="F167" s="220"/>
    </row>
    <row r="168" customFormat="false" ht="17.25" hidden="false" customHeight="true" outlineLevel="0" collapsed="false">
      <c r="A168" s="205"/>
      <c r="D168" s="196"/>
      <c r="E168" s="221"/>
      <c r="F168" s="220"/>
    </row>
    <row r="169" customFormat="false" ht="17.25" hidden="false" customHeight="true" outlineLevel="0" collapsed="false">
      <c r="A169" s="205"/>
      <c r="D169" s="196"/>
      <c r="E169" s="221"/>
      <c r="F169" s="220"/>
    </row>
    <row r="170" customFormat="false" ht="11.25" hidden="false" customHeight="true" outlineLevel="0" collapsed="false">
      <c r="A170" s="205"/>
      <c r="D170" s="196"/>
      <c r="E170" s="222"/>
      <c r="F170" s="206"/>
    </row>
    <row r="171" customFormat="false" ht="11.25" hidden="false" customHeight="true" outlineLevel="0" collapsed="false">
      <c r="A171" s="205"/>
      <c r="B171" s="198" t="s">
        <v>391</v>
      </c>
      <c r="D171" s="196"/>
      <c r="E171" s="199"/>
      <c r="F171" s="196"/>
    </row>
    <row r="172" customFormat="false" ht="11.25" hidden="false" customHeight="true" outlineLevel="0" collapsed="false">
      <c r="A172" s="205"/>
      <c r="B172" s="207" t="s">
        <v>392</v>
      </c>
      <c r="C172" s="207" t="s">
        <v>392</v>
      </c>
      <c r="D172" s="196"/>
      <c r="E172" s="199"/>
      <c r="F172" s="196"/>
    </row>
    <row r="173" customFormat="false" ht="11.25" hidden="false" customHeight="true" outlineLevel="0" collapsed="false">
      <c r="A173" s="205"/>
      <c r="B173" s="207" t="s">
        <v>393</v>
      </c>
      <c r="C173" s="207" t="s">
        <v>394</v>
      </c>
      <c r="D173" s="217" t="s">
        <v>30</v>
      </c>
      <c r="E173" s="222" t="s">
        <v>395</v>
      </c>
      <c r="F173" s="217" t="s">
        <v>396</v>
      </c>
    </row>
    <row r="174" customFormat="false" ht="11.25" hidden="false" customHeight="true" outlineLevel="0" collapsed="false">
      <c r="A174" s="195" t="n">
        <v>2003</v>
      </c>
      <c r="B174" s="196" t="n">
        <f aca="false">D4</f>
        <v>17075.75</v>
      </c>
      <c r="C174" s="223" t="n">
        <f aca="false">E4</f>
        <v>0</v>
      </c>
      <c r="D174" s="196" t="n">
        <f aca="false">B174+C174</f>
        <v>17075.75</v>
      </c>
      <c r="E174" s="224" t="n">
        <v>1.41</v>
      </c>
      <c r="F174" s="223" t="n">
        <f aca="false">(B174+C174)/E174</f>
        <v>12110.4609929078</v>
      </c>
    </row>
    <row r="175" customFormat="false" ht="11.25" hidden="false" customHeight="true" outlineLevel="0" collapsed="false">
      <c r="A175" s="195" t="n">
        <v>2004</v>
      </c>
      <c r="B175" s="196" t="n">
        <f aca="false">D26</f>
        <v>14637</v>
      </c>
      <c r="C175" s="223" t="n">
        <f aca="false">E26</f>
        <v>-10710</v>
      </c>
      <c r="D175" s="196" t="n">
        <f aca="false">D174+B175+C175</f>
        <v>21002.75</v>
      </c>
      <c r="E175" s="224" t="n">
        <v>1.49</v>
      </c>
      <c r="F175" s="223" t="n">
        <f aca="false">(B175+C175)/E175</f>
        <v>2635.57046979866</v>
      </c>
    </row>
    <row r="176" customFormat="false" ht="11.25" hidden="false" customHeight="true" outlineLevel="0" collapsed="false">
      <c r="A176" s="195" t="n">
        <v>2005</v>
      </c>
      <c r="B176" s="196" t="n">
        <f aca="false">D68</f>
        <v>72003.92</v>
      </c>
      <c r="C176" s="223" t="n">
        <f aca="false">E68</f>
        <v>-7040</v>
      </c>
      <c r="D176" s="196" t="n">
        <f aca="false">D175+B176+C176</f>
        <v>85966.67</v>
      </c>
      <c r="E176" s="224" t="n">
        <v>1.35</v>
      </c>
      <c r="F176" s="223" t="n">
        <f aca="false">(B176+C176)/E176</f>
        <v>48121.4222222222</v>
      </c>
    </row>
    <row r="177" customFormat="false" ht="11.25" hidden="false" customHeight="true" outlineLevel="0" collapsed="false">
      <c r="A177" s="195" t="n">
        <v>2006</v>
      </c>
      <c r="B177" s="196" t="n">
        <f aca="false">D123</f>
        <v>73796.45</v>
      </c>
      <c r="C177" s="223" t="n">
        <f aca="false">E123</f>
        <v>-16230</v>
      </c>
      <c r="D177" s="196" t="n">
        <f aca="false">D176+B177+C177</f>
        <v>143533.12</v>
      </c>
      <c r="E177" s="224" t="n">
        <v>1.56</v>
      </c>
      <c r="F177" s="223" t="n">
        <f aca="false">(B177+C177)/E177</f>
        <v>36901.5705128205</v>
      </c>
    </row>
    <row r="178" customFormat="false" ht="11.25" hidden="false" customHeight="true" outlineLevel="0" collapsed="false">
      <c r="A178" s="195" t="n">
        <v>2007</v>
      </c>
      <c r="B178" s="196" t="n">
        <f aca="false">D134</f>
        <v>395</v>
      </c>
      <c r="C178" s="223" t="n">
        <f aca="false">E134</f>
        <v>-520</v>
      </c>
      <c r="D178" s="196" t="n">
        <f aca="false">D177+B178+C178</f>
        <v>143408.12</v>
      </c>
      <c r="E178" s="224" t="n">
        <v>1.31</v>
      </c>
      <c r="F178" s="223" t="n">
        <f aca="false">(B178+C178)/E178</f>
        <v>-95.4198473282443</v>
      </c>
    </row>
    <row r="179" customFormat="false" ht="11.25" hidden="false" customHeight="true" outlineLevel="0" collapsed="false">
      <c r="A179" s="195" t="n">
        <v>2008</v>
      </c>
      <c r="B179" s="196" t="n">
        <f aca="false">D150</f>
        <v>48</v>
      </c>
      <c r="C179" s="223" t="n">
        <f aca="false">E153</f>
        <v>-922</v>
      </c>
      <c r="D179" s="196" t="n">
        <f aca="false">D178+B179+C179</f>
        <v>142534.12</v>
      </c>
      <c r="E179" s="224" t="n">
        <v>1.2</v>
      </c>
      <c r="F179" s="223" t="n">
        <f aca="false">(B179+C179)/E179</f>
        <v>-728.333333333333</v>
      </c>
    </row>
    <row r="180" customFormat="false" ht="11.25" hidden="false" customHeight="true" outlineLevel="0" collapsed="false">
      <c r="A180" s="195" t="n">
        <v>2012</v>
      </c>
      <c r="B180" s="196" t="n">
        <v>1000</v>
      </c>
      <c r="C180" s="223" t="n">
        <f aca="false">E152</f>
        <v>0</v>
      </c>
      <c r="D180" s="225" t="n">
        <f aca="false">D179+B180+C180</f>
        <v>143534.12</v>
      </c>
      <c r="E180" s="224" t="n">
        <v>1.84</v>
      </c>
      <c r="F180" s="223" t="n">
        <f aca="false">(B180+C180)/E180</f>
        <v>543.478260869565</v>
      </c>
    </row>
    <row r="181" customFormat="false" ht="11.25" hidden="false" customHeight="true" outlineLevel="0" collapsed="false">
      <c r="B181" s="196"/>
      <c r="D181" s="196"/>
      <c r="E181" s="199"/>
      <c r="F181" s="226"/>
    </row>
    <row r="182" customFormat="false" ht="16.5" hidden="false" customHeight="true" outlineLevel="0" collapsed="false">
      <c r="B182" s="196"/>
      <c r="D182" s="196"/>
      <c r="E182" s="222" t="s">
        <v>397</v>
      </c>
      <c r="F182" s="227" t="n">
        <f aca="false">SUM(F174:F180)</f>
        <v>99488.7492779572</v>
      </c>
    </row>
    <row r="183" customFormat="false" ht="11.25" hidden="false" customHeight="true" outlineLevel="0" collapsed="false">
      <c r="B183" s="196"/>
      <c r="D183" s="196"/>
      <c r="E183" s="199"/>
      <c r="F183" s="228" t="s">
        <v>398</v>
      </c>
    </row>
    <row r="184" customFormat="false" ht="15.75" hidden="false" customHeight="true" outlineLevel="0" collapsed="false">
      <c r="A184" s="205"/>
      <c r="D184" s="196"/>
    </row>
  </sheetData>
  <mergeCells count="2">
    <mergeCell ref="E1:F1"/>
    <mergeCell ref="B158:C158"/>
  </mergeCells>
  <printOptions headings="false" gridLines="false" gridLinesSet="true" horizontalCentered="false" verticalCentered="false"/>
  <pageMargins left="0.629861111111111" right="0.354166666666667" top="0.7875" bottom="0.629861111111111" header="0.39375" footer="0.236111111111111"/>
  <pageSetup paperSize="9" scale="100" fitToWidth="1" fitToHeight="1" pageOrder="overThenDown" orientation="portrait" blackAndWhite="false" draft="false" cellComments="none" firstPageNumber="1" useFirstPageNumber="true" horizontalDpi="300" verticalDpi="300" copies="1"/>
  <headerFooter differentFirst="false" differentOddEven="false">
    <oddHeader>&amp;C&amp;D</oddHeader>
    <oddFooter>&amp;C&amp;Z&amp;F   -   &amp;F   -   &amp;A                           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015625" defaultRowHeight="11.25" customHeight="true" zeroHeight="false" outlineLevelRow="0" outlineLevelCol="0"/>
  <cols>
    <col collapsed="false" customWidth="true" hidden="false" outlineLevel="0" max="1" min="1" style="229" width="5.86"/>
    <col collapsed="false" customWidth="true" hidden="false" outlineLevel="0" max="2" min="2" style="230" width="30.43"/>
    <col collapsed="false" customWidth="true" hidden="false" outlineLevel="0" max="3" min="3" style="230" width="10.14"/>
    <col collapsed="false" customWidth="true" hidden="false" outlineLevel="0" max="4" min="4" style="230" width="13"/>
    <col collapsed="false" customWidth="true" hidden="false" outlineLevel="0" max="5" min="5" style="230" width="12.29"/>
    <col collapsed="false" customWidth="true" hidden="false" outlineLevel="0" max="6" min="6" style="230" width="11"/>
    <col collapsed="false" customWidth="true" hidden="false" outlineLevel="0" max="7" min="7" style="231" width="12.43"/>
    <col collapsed="false" customWidth="true" hidden="false" outlineLevel="0" max="8" min="8" style="231" width="8.86"/>
    <col collapsed="false" customWidth="true" hidden="false" outlineLevel="0" max="64" min="9" style="230" width="7.43"/>
    <col collapsed="false" customWidth="true" hidden="false" outlineLevel="0" max="1023" min="65" style="195" width="12.29"/>
    <col collapsed="false" customWidth="true" hidden="false" outlineLevel="0" max="1024" min="1024" style="195" width="9.14"/>
    <col collapsed="false" customWidth="true" hidden="false" outlineLevel="0" max="1025" min="1025" style="0" width="9.14"/>
  </cols>
  <sheetData>
    <row r="1" customFormat="false" ht="11.25" hidden="false" customHeight="true" outlineLevel="0" collapsed="false">
      <c r="B1" s="232" t="s">
        <v>399</v>
      </c>
      <c r="C1" s="231"/>
      <c r="D1" s="231"/>
      <c r="E1" s="231"/>
      <c r="F1" s="233"/>
    </row>
    <row r="2" customFormat="false" ht="11.25" hidden="false" customHeight="true" outlineLevel="0" collapsed="false">
      <c r="B2" s="232" t="s">
        <v>400</v>
      </c>
      <c r="C2" s="231"/>
      <c r="D2" s="231"/>
      <c r="E2" s="231"/>
      <c r="F2" s="231"/>
    </row>
    <row r="3" customFormat="false" ht="11.25" hidden="false" customHeight="true" outlineLevel="0" collapsed="false">
      <c r="B3" s="232" t="s">
        <v>401</v>
      </c>
      <c r="C3" s="231"/>
      <c r="D3" s="231"/>
      <c r="E3" s="234" t="n">
        <v>45233</v>
      </c>
      <c r="F3" s="234"/>
    </row>
    <row r="4" customFormat="false" ht="11.25" hidden="false" customHeight="true" outlineLevel="0" collapsed="false">
      <c r="B4" s="232"/>
      <c r="C4" s="235" t="s">
        <v>402</v>
      </c>
      <c r="D4" s="235" t="s">
        <v>403</v>
      </c>
      <c r="E4" s="235" t="s">
        <v>404</v>
      </c>
      <c r="F4" s="235" t="s">
        <v>405</v>
      </c>
    </row>
    <row r="5" customFormat="false" ht="11.25" hidden="false" customHeight="true" outlineLevel="0" collapsed="false">
      <c r="B5" s="231" t="s">
        <v>406</v>
      </c>
      <c r="C5" s="231" t="n">
        <v>80000</v>
      </c>
      <c r="D5" s="231" t="s">
        <v>407</v>
      </c>
      <c r="E5" s="229" t="s">
        <v>408</v>
      </c>
      <c r="F5" s="229" t="s">
        <v>408</v>
      </c>
    </row>
    <row r="6" customFormat="false" ht="11.25" hidden="false" customHeight="true" outlineLevel="0" collapsed="false">
      <c r="B6" s="231" t="s">
        <v>409</v>
      </c>
      <c r="C6" s="231" t="n">
        <v>80000</v>
      </c>
      <c r="D6" s="231" t="s">
        <v>410</v>
      </c>
      <c r="E6" s="229" t="s">
        <v>411</v>
      </c>
      <c r="F6" s="229" t="s">
        <v>408</v>
      </c>
    </row>
    <row r="7" customFormat="false" ht="11.25" hidden="false" customHeight="true" outlineLevel="0" collapsed="false">
      <c r="B7" s="231" t="s">
        <v>412</v>
      </c>
      <c r="C7" s="231" t="n">
        <v>80000</v>
      </c>
      <c r="D7" s="231" t="s">
        <v>410</v>
      </c>
      <c r="E7" s="229" t="s">
        <v>411</v>
      </c>
      <c r="F7" s="229" t="s">
        <v>408</v>
      </c>
    </row>
    <row r="8" customFormat="false" ht="11.25" hidden="false" customHeight="true" outlineLevel="0" collapsed="false">
      <c r="B8" s="231" t="s">
        <v>413</v>
      </c>
      <c r="C8" s="235" t="n">
        <v>80000</v>
      </c>
      <c r="D8" s="231" t="s">
        <v>410</v>
      </c>
      <c r="E8" s="231" t="s">
        <v>186</v>
      </c>
      <c r="F8" s="235" t="s">
        <v>414</v>
      </c>
      <c r="G8" s="235"/>
    </row>
    <row r="9" customFormat="false" ht="11.25" hidden="false" customHeight="true" outlineLevel="0" collapsed="false">
      <c r="B9" s="231" t="s">
        <v>415</v>
      </c>
      <c r="C9" s="231" t="n">
        <v>80000</v>
      </c>
      <c r="D9" s="231" t="s">
        <v>410</v>
      </c>
      <c r="E9" s="231" t="s">
        <v>186</v>
      </c>
      <c r="F9" s="235" t="s">
        <v>414</v>
      </c>
      <c r="G9" s="236"/>
    </row>
    <row r="10" customFormat="false" ht="11.25" hidden="false" customHeight="true" outlineLevel="0" collapsed="false">
      <c r="B10" s="237" t="s">
        <v>416</v>
      </c>
      <c r="C10" s="238" t="n">
        <v>30000</v>
      </c>
      <c r="D10" s="231" t="s">
        <v>410</v>
      </c>
      <c r="E10" s="237" t="s">
        <v>417</v>
      </c>
      <c r="F10" s="238" t="s">
        <v>414</v>
      </c>
    </row>
    <row r="11" customFormat="false" ht="11.25" hidden="false" customHeight="true" outlineLevel="0" collapsed="false">
      <c r="B11" s="237"/>
      <c r="C11" s="238"/>
      <c r="D11" s="231"/>
      <c r="E11" s="237"/>
      <c r="F11" s="238"/>
    </row>
    <row r="12" customFormat="false" ht="11.25" hidden="false" customHeight="true" outlineLevel="0" collapsed="false">
      <c r="B12" s="237"/>
      <c r="C12" s="238"/>
      <c r="D12" s="231"/>
      <c r="E12" s="237"/>
      <c r="F12" s="238"/>
    </row>
    <row r="13" customFormat="false" ht="11.25" hidden="false" customHeight="true" outlineLevel="0" collapsed="false">
      <c r="A13" s="239" t="s">
        <v>418</v>
      </c>
      <c r="B13" s="240" t="s">
        <v>419</v>
      </c>
      <c r="C13" s="231"/>
      <c r="D13" s="231"/>
      <c r="E13" s="231"/>
      <c r="F13" s="231"/>
    </row>
    <row r="14" customFormat="false" ht="11.25" hidden="false" customHeight="true" outlineLevel="0" collapsed="false">
      <c r="A14" s="239"/>
      <c r="B14" s="231" t="s">
        <v>420</v>
      </c>
      <c r="C14" s="231"/>
      <c r="D14" s="231"/>
      <c r="E14" s="231"/>
      <c r="F14" s="231"/>
    </row>
    <row r="15" customFormat="false" ht="11.25" hidden="false" customHeight="true" outlineLevel="0" collapsed="false">
      <c r="A15" s="239"/>
      <c r="B15" s="231" t="s">
        <v>421</v>
      </c>
      <c r="C15" s="231"/>
      <c r="D15" s="241"/>
      <c r="E15" s="195"/>
      <c r="F15" s="235" t="n">
        <v>80000</v>
      </c>
    </row>
    <row r="16" customFormat="false" ht="11.25" hidden="false" customHeight="true" outlineLevel="0" collapsed="false">
      <c r="A16" s="239" t="s">
        <v>418</v>
      </c>
      <c r="B16" s="231" t="s">
        <v>422</v>
      </c>
      <c r="C16" s="231"/>
      <c r="D16" s="241"/>
      <c r="E16" s="195"/>
      <c r="F16" s="235" t="n">
        <v>-30000</v>
      </c>
    </row>
    <row r="17" customFormat="false" ht="11.25" hidden="false" customHeight="true" outlineLevel="0" collapsed="false">
      <c r="A17" s="239" t="s">
        <v>418</v>
      </c>
      <c r="B17" s="231" t="s">
        <v>423</v>
      </c>
      <c r="C17" s="195"/>
      <c r="D17" s="241"/>
      <c r="E17" s="195"/>
      <c r="F17" s="242" t="n">
        <f aca="false">'01-03-HAKAN'!D180</f>
        <v>143534.12</v>
      </c>
    </row>
    <row r="18" customFormat="false" ht="11.25" hidden="false" customHeight="true" outlineLevel="0" collapsed="false">
      <c r="A18" s="239" t="s">
        <v>418</v>
      </c>
      <c r="B18" s="231" t="s">
        <v>424</v>
      </c>
      <c r="C18" s="231"/>
      <c r="D18" s="231"/>
      <c r="E18" s="231"/>
      <c r="F18" s="235" t="n">
        <v>50000</v>
      </c>
    </row>
    <row r="19" customFormat="false" ht="11.25" hidden="false" customHeight="true" outlineLevel="0" collapsed="false">
      <c r="B19" s="231"/>
      <c r="C19" s="231"/>
      <c r="D19" s="231"/>
      <c r="E19" s="231"/>
      <c r="F19" s="235"/>
    </row>
    <row r="20" customFormat="false" ht="11.25" hidden="false" customHeight="true" outlineLevel="0" collapsed="false">
      <c r="B20" s="243" t="s">
        <v>425</v>
      </c>
      <c r="C20" s="244"/>
      <c r="D20" s="244"/>
      <c r="E20" s="244"/>
      <c r="F20" s="245"/>
    </row>
    <row r="21" customFormat="false" ht="11.25" hidden="false" customHeight="true" outlineLevel="0" collapsed="false">
      <c r="B21" s="246" t="s">
        <v>426</v>
      </c>
      <c r="C21" s="231"/>
      <c r="D21" s="231"/>
      <c r="E21" s="231"/>
      <c r="F21" s="247"/>
    </row>
    <row r="22" customFormat="false" ht="11.25" hidden="false" customHeight="true" outlineLevel="0" collapsed="false">
      <c r="B22" s="248" t="s">
        <v>427</v>
      </c>
      <c r="C22" s="231"/>
      <c r="D22" s="231"/>
      <c r="E22" s="231"/>
      <c r="F22" s="247"/>
    </row>
    <row r="23" customFormat="false" ht="11.25" hidden="false" customHeight="true" outlineLevel="0" collapsed="false">
      <c r="B23" s="248" t="s">
        <v>428</v>
      </c>
      <c r="C23" s="231"/>
      <c r="D23" s="231"/>
      <c r="E23" s="231"/>
      <c r="F23" s="247"/>
    </row>
    <row r="24" customFormat="false" ht="11.25" hidden="false" customHeight="true" outlineLevel="0" collapsed="false">
      <c r="B24" s="249" t="s">
        <v>429</v>
      </c>
      <c r="C24" s="250"/>
      <c r="D24" s="250"/>
      <c r="E24" s="250"/>
      <c r="F24" s="251"/>
    </row>
    <row r="25" customFormat="false" ht="11.25" hidden="false" customHeight="true" outlineLevel="0" collapsed="false">
      <c r="B25" s="231"/>
      <c r="C25" s="231"/>
      <c r="D25" s="231"/>
      <c r="E25" s="231"/>
      <c r="F25" s="231"/>
    </row>
    <row r="26" customFormat="false" ht="11.25" hidden="false" customHeight="true" outlineLevel="0" collapsed="false">
      <c r="B26" s="231"/>
      <c r="C26" s="231"/>
      <c r="D26" s="231"/>
      <c r="E26" s="231"/>
      <c r="F26" s="231"/>
    </row>
    <row r="27" customFormat="false" ht="11.25" hidden="false" customHeight="true" outlineLevel="0" collapsed="false">
      <c r="B27" s="231"/>
      <c r="C27" s="231"/>
      <c r="D27" s="231"/>
      <c r="E27" s="231"/>
      <c r="F27" s="231"/>
    </row>
    <row r="28" customFormat="false" ht="11.25" hidden="false" customHeight="true" outlineLevel="0" collapsed="false">
      <c r="B28" s="231"/>
      <c r="C28" s="252" t="s">
        <v>430</v>
      </c>
      <c r="D28" s="252" t="s">
        <v>126</v>
      </c>
      <c r="E28" s="252" t="s">
        <v>431</v>
      </c>
      <c r="F28" s="252" t="s">
        <v>432</v>
      </c>
      <c r="G28" s="196"/>
      <c r="H28" s="195"/>
      <c r="I28" s="195"/>
    </row>
    <row r="29" customFormat="false" ht="11.25" hidden="false" customHeight="true" outlineLevel="0" collapsed="false">
      <c r="B29" s="231"/>
      <c r="C29" s="252" t="s">
        <v>244</v>
      </c>
      <c r="D29" s="252" t="s">
        <v>244</v>
      </c>
      <c r="E29" s="252"/>
      <c r="F29" s="252" t="s">
        <v>398</v>
      </c>
      <c r="G29" s="196"/>
      <c r="H29" s="195"/>
      <c r="I29" s="195"/>
    </row>
    <row r="30" customFormat="false" ht="11.25" hidden="false" customHeight="true" outlineLevel="0" collapsed="false">
      <c r="A30" s="229" t="n">
        <v>2005</v>
      </c>
      <c r="B30" s="231" t="s">
        <v>433</v>
      </c>
      <c r="C30" s="231" t="n">
        <f aca="false">F15/2</f>
        <v>40000</v>
      </c>
      <c r="D30" s="231" t="n">
        <f aca="false">C30</f>
        <v>40000</v>
      </c>
      <c r="E30" s="231" t="n">
        <v>1.4</v>
      </c>
      <c r="F30" s="231" t="n">
        <f aca="false">C30/E30</f>
        <v>28571.4285714286</v>
      </c>
      <c r="G30" s="196"/>
      <c r="H30" s="195"/>
      <c r="I30" s="195"/>
    </row>
    <row r="31" customFormat="false" ht="11.25" hidden="false" customHeight="true" outlineLevel="0" collapsed="false">
      <c r="A31" s="253" t="s">
        <v>434</v>
      </c>
      <c r="B31" s="231" t="s">
        <v>435</v>
      </c>
      <c r="C31" s="231" t="n">
        <f aca="false">F17/2</f>
        <v>71767.06</v>
      </c>
      <c r="D31" s="231" t="n">
        <f aca="false">D30+C31</f>
        <v>111767.06</v>
      </c>
      <c r="E31" s="231" t="n">
        <f aca="false">C31/F31</f>
        <v>1.44271710159896</v>
      </c>
      <c r="F31" s="196" t="n">
        <f aca="false">'01-03-HAKAN'!F182/2</f>
        <v>49744.3746389786</v>
      </c>
      <c r="H31" s="254"/>
      <c r="I31" s="195"/>
    </row>
    <row r="32" customFormat="false" ht="11.25" hidden="false" customHeight="true" outlineLevel="0" collapsed="false">
      <c r="A32" s="229" t="n">
        <v>2008</v>
      </c>
      <c r="B32" s="231" t="s">
        <v>436</v>
      </c>
      <c r="C32" s="231" t="n">
        <f aca="false">F18/2</f>
        <v>25000</v>
      </c>
      <c r="D32" s="231" t="n">
        <f aca="false">D31+C32</f>
        <v>136767.06</v>
      </c>
      <c r="E32" s="231" t="n">
        <v>1.31</v>
      </c>
      <c r="F32" s="231" t="n">
        <f aca="false">C32/E32</f>
        <v>19083.9694656489</v>
      </c>
      <c r="G32" s="196"/>
      <c r="H32" s="195"/>
      <c r="I32" s="195"/>
    </row>
    <row r="33" customFormat="false" ht="11.25" hidden="false" customHeight="true" outlineLevel="0" collapsed="false">
      <c r="A33" s="229" t="n">
        <v>2017</v>
      </c>
      <c r="B33" s="230" t="s">
        <v>437</v>
      </c>
      <c r="C33" s="196" t="n">
        <f aca="false">F59*-1</f>
        <v>141563.55</v>
      </c>
      <c r="D33" s="231" t="n">
        <f aca="false">D32+C33</f>
        <v>278330.61</v>
      </c>
      <c r="E33" s="195" t="n">
        <v>3.55</v>
      </c>
      <c r="F33" s="231" t="n">
        <f aca="false">C33/E33</f>
        <v>39877.0563380282</v>
      </c>
      <c r="G33" s="255"/>
      <c r="I33" s="195"/>
    </row>
    <row r="34" customFormat="false" ht="11.25" hidden="false" customHeight="true" outlineLevel="0" collapsed="false">
      <c r="B34" s="232" t="s">
        <v>438</v>
      </c>
      <c r="C34" s="195"/>
      <c r="D34" s="231"/>
      <c r="E34" s="256" t="s">
        <v>439</v>
      </c>
      <c r="F34" s="235" t="n">
        <f aca="false">SUM(F30:F33)</f>
        <v>137276.829014084</v>
      </c>
      <c r="G34" s="196"/>
      <c r="I34" s="195"/>
    </row>
    <row r="35" customFormat="false" ht="11.25" hidden="false" customHeight="true" outlineLevel="0" collapsed="false">
      <c r="C35" s="252" t="s">
        <v>440</v>
      </c>
      <c r="D35" s="231"/>
      <c r="E35" s="195"/>
      <c r="F35" s="231"/>
      <c r="G35" s="196"/>
      <c r="I35" s="195"/>
    </row>
    <row r="36" customFormat="false" ht="11.25" hidden="false" customHeight="true" outlineLevel="0" collapsed="false">
      <c r="B36" s="231" t="s">
        <v>441</v>
      </c>
      <c r="C36" s="235" t="n">
        <v>-15000</v>
      </c>
      <c r="D36" s="231" t="n">
        <f aca="false">C36</f>
        <v>-15000</v>
      </c>
      <c r="E36" s="231" t="n">
        <v>1.4</v>
      </c>
      <c r="F36" s="235" t="n">
        <f aca="false">C36/E36</f>
        <v>-10714.2857142857</v>
      </c>
      <c r="G36" s="206"/>
      <c r="H36" s="254"/>
      <c r="I36" s="195"/>
    </row>
    <row r="37" s="195" customFormat="true" ht="11.25" hidden="false" customHeight="true" outlineLevel="0" collapsed="false">
      <c r="A37" s="253"/>
      <c r="B37" s="230"/>
      <c r="C37" s="206"/>
      <c r="D37" s="231" t="n">
        <f aca="false">D36+C37</f>
        <v>-15000</v>
      </c>
      <c r="F37" s="231"/>
      <c r="G37" s="206"/>
      <c r="H37" s="254"/>
    </row>
    <row r="38" s="195" customFormat="true" ht="11.25" hidden="false" customHeight="true" outlineLevel="0" collapsed="false">
      <c r="A38" s="253"/>
      <c r="B38" s="230"/>
      <c r="C38" s="206"/>
      <c r="D38" s="231"/>
      <c r="E38" s="256" t="s">
        <v>442</v>
      </c>
      <c r="F38" s="235" t="n">
        <f aca="false">SUM(F36:F37)</f>
        <v>-10714.2857142857</v>
      </c>
      <c r="G38" s="206"/>
      <c r="H38" s="254"/>
    </row>
    <row r="39" customFormat="false" ht="11.25" hidden="false" customHeight="true" outlineLevel="0" collapsed="false">
      <c r="B39" s="230" t="s">
        <v>443</v>
      </c>
      <c r="C39" s="195" t="n">
        <f aca="false">SUM(C30:C38)</f>
        <v>263330.61</v>
      </c>
      <c r="D39" s="231"/>
      <c r="E39" s="195"/>
      <c r="F39" s="257"/>
      <c r="G39" s="206"/>
      <c r="H39" s="254"/>
      <c r="I39" s="195"/>
    </row>
    <row r="40" customFormat="false" ht="11.25" hidden="false" customHeight="true" outlineLevel="0" collapsed="false">
      <c r="A40" s="257"/>
      <c r="B40" s="258" t="s">
        <v>438</v>
      </c>
      <c r="C40" s="257"/>
      <c r="D40" s="257"/>
      <c r="E40" s="259" t="s">
        <v>444</v>
      </c>
      <c r="F40" s="260" t="n">
        <f aca="false">F34+F38</f>
        <v>126562.543299798</v>
      </c>
      <c r="G40" s="252"/>
      <c r="I40" s="195"/>
    </row>
    <row r="41" customFormat="false" ht="11.25" hidden="false" customHeight="true" outlineLevel="0" collapsed="false">
      <c r="C41" s="195"/>
      <c r="D41" s="252"/>
      <c r="E41" s="252"/>
      <c r="F41" s="257"/>
    </row>
    <row r="42" customFormat="false" ht="11.25" hidden="false" customHeight="true" outlineLevel="0" collapsed="false">
      <c r="C42" s="195"/>
      <c r="D42" s="252"/>
      <c r="E42" s="252"/>
      <c r="F42" s="195"/>
    </row>
    <row r="43" customFormat="false" ht="11.25" hidden="false" customHeight="true" outlineLevel="0" collapsed="false">
      <c r="B43" s="232"/>
      <c r="C43" s="231"/>
      <c r="D43" s="231"/>
      <c r="E43" s="231"/>
      <c r="F43" s="195"/>
    </row>
    <row r="44" customFormat="false" ht="11.25" hidden="false" customHeight="true" outlineLevel="0" collapsed="false">
      <c r="B44" s="261" t="s">
        <v>445</v>
      </c>
      <c r="C44" s="74"/>
      <c r="D44" s="244"/>
      <c r="E44" s="244"/>
      <c r="F44" s="245" t="s">
        <v>244</v>
      </c>
    </row>
    <row r="45" customFormat="false" ht="11.25" hidden="false" customHeight="true" outlineLevel="0" collapsed="false">
      <c r="B45" s="262" t="s">
        <v>446</v>
      </c>
      <c r="D45" s="263" t="s">
        <v>244</v>
      </c>
      <c r="E45" s="231" t="n">
        <v>-20000</v>
      </c>
      <c r="F45" s="247" t="n">
        <f aca="false">E45</f>
        <v>-20000</v>
      </c>
    </row>
    <row r="46" customFormat="false" ht="11.25" hidden="false" customHeight="true" outlineLevel="0" collapsed="false">
      <c r="B46" s="262" t="s">
        <v>447</v>
      </c>
      <c r="D46" s="263" t="s">
        <v>244</v>
      </c>
      <c r="E46" s="231" t="n">
        <v>-24710</v>
      </c>
      <c r="F46" s="247" t="n">
        <f aca="false">F45+E46</f>
        <v>-44710</v>
      </c>
    </row>
    <row r="47" customFormat="false" ht="11.25" hidden="false" customHeight="true" outlineLevel="0" collapsed="false">
      <c r="B47" s="262" t="s">
        <v>448</v>
      </c>
      <c r="D47" s="263" t="s">
        <v>244</v>
      </c>
      <c r="E47" s="231" t="n">
        <v>-13750</v>
      </c>
      <c r="F47" s="247" t="n">
        <f aca="false">F46+E47</f>
        <v>-58460</v>
      </c>
    </row>
    <row r="48" customFormat="false" ht="11.25" hidden="false" customHeight="true" outlineLevel="0" collapsed="false">
      <c r="B48" s="262" t="s">
        <v>449</v>
      </c>
      <c r="D48" s="263" t="s">
        <v>244</v>
      </c>
      <c r="E48" s="231" t="n">
        <v>-7000</v>
      </c>
      <c r="F48" s="247" t="n">
        <f aca="false">F47+E48</f>
        <v>-65460</v>
      </c>
    </row>
    <row r="49" customFormat="false" ht="11.25" hidden="false" customHeight="true" outlineLevel="0" collapsed="false">
      <c r="B49" s="262" t="s">
        <v>450</v>
      </c>
      <c r="D49" s="263" t="s">
        <v>244</v>
      </c>
      <c r="E49" s="231" t="n">
        <v>-180984.36</v>
      </c>
      <c r="F49" s="247" t="n">
        <f aca="false">F48+E49</f>
        <v>-246444.36</v>
      </c>
    </row>
    <row r="50" customFormat="false" ht="11.25" hidden="false" customHeight="true" outlineLevel="0" collapsed="false">
      <c r="B50" s="262" t="s">
        <v>451</v>
      </c>
      <c r="D50" s="263" t="s">
        <v>244</v>
      </c>
      <c r="E50" s="231" t="n">
        <v>-16268.74</v>
      </c>
      <c r="F50" s="247" t="n">
        <f aca="false">F49+E50</f>
        <v>-262713.1</v>
      </c>
    </row>
    <row r="51" customFormat="false" ht="11.25" hidden="false" customHeight="true" outlineLevel="0" collapsed="false">
      <c r="B51" s="264" t="s">
        <v>452</v>
      </c>
      <c r="D51" s="241"/>
      <c r="E51" s="231"/>
      <c r="F51" s="265" t="n">
        <f aca="false">F50+E51</f>
        <v>-262713.1</v>
      </c>
    </row>
    <row r="52" customFormat="false" ht="11.25" hidden="false" customHeight="true" outlineLevel="0" collapsed="false">
      <c r="B52" s="262"/>
      <c r="D52" s="241"/>
      <c r="E52" s="231"/>
      <c r="F52" s="247"/>
    </row>
    <row r="53" customFormat="false" ht="11.25" hidden="false" customHeight="true" outlineLevel="0" collapsed="false">
      <c r="B53" s="266" t="s">
        <v>453</v>
      </c>
      <c r="D53" s="241"/>
      <c r="E53" s="231"/>
      <c r="F53" s="247"/>
    </row>
    <row r="54" customFormat="false" ht="11.25" hidden="false" customHeight="true" outlineLevel="0" collapsed="false">
      <c r="B54" s="262" t="s">
        <v>454</v>
      </c>
      <c r="D54" s="241" t="s">
        <v>244</v>
      </c>
      <c r="E54" s="235" t="n">
        <f aca="false">F51/2</f>
        <v>-131356.55</v>
      </c>
      <c r="F54" s="247" t="n">
        <f aca="false">F53+E54</f>
        <v>-131356.55</v>
      </c>
    </row>
    <row r="55" customFormat="false" ht="11.25" hidden="false" customHeight="true" outlineLevel="0" collapsed="false">
      <c r="B55" s="262" t="s">
        <v>455</v>
      </c>
      <c r="D55" s="241" t="s">
        <v>244</v>
      </c>
      <c r="E55" s="231" t="n">
        <v>-1862</v>
      </c>
      <c r="F55" s="247" t="n">
        <f aca="false">F54+E55</f>
        <v>-133218.55</v>
      </c>
    </row>
    <row r="56" customFormat="false" ht="11.25" hidden="false" customHeight="true" outlineLevel="0" collapsed="false">
      <c r="B56" s="262" t="s">
        <v>456</v>
      </c>
      <c r="D56" s="263" t="s">
        <v>244</v>
      </c>
      <c r="E56" s="196" t="n">
        <v>-650</v>
      </c>
      <c r="F56" s="247" t="n">
        <f aca="false">F55+E56</f>
        <v>-133868.55</v>
      </c>
    </row>
    <row r="57" customFormat="false" ht="11.25" hidden="false" customHeight="true" outlineLevel="0" collapsed="false">
      <c r="B57" s="262" t="s">
        <v>457</v>
      </c>
      <c r="D57" s="263" t="s">
        <v>244</v>
      </c>
      <c r="E57" s="196" t="n">
        <v>-1695</v>
      </c>
      <c r="F57" s="247" t="n">
        <f aca="false">F56+E57</f>
        <v>-135563.55</v>
      </c>
    </row>
    <row r="58" customFormat="false" ht="11.25" hidden="false" customHeight="true" outlineLevel="0" collapsed="false">
      <c r="B58" s="262" t="s">
        <v>458</v>
      </c>
      <c r="D58" s="263" t="s">
        <v>244</v>
      </c>
      <c r="E58" s="196" t="n">
        <v>-6000</v>
      </c>
      <c r="F58" s="247" t="n">
        <f aca="false">F57+E58</f>
        <v>-141563.55</v>
      </c>
    </row>
    <row r="59" customFormat="false" ht="11.25" hidden="false" customHeight="true" outlineLevel="0" collapsed="false">
      <c r="B59" s="267" t="s">
        <v>459</v>
      </c>
      <c r="C59" s="268"/>
      <c r="D59" s="269" t="s">
        <v>244</v>
      </c>
      <c r="E59" s="270"/>
      <c r="F59" s="271" t="n">
        <f aca="false">F58+E59</f>
        <v>-141563.55</v>
      </c>
    </row>
    <row r="60" customFormat="false" ht="11.25" hidden="false" customHeight="true" outlineLevel="0" collapsed="false">
      <c r="B60" s="262"/>
      <c r="D60" s="241"/>
      <c r="E60" s="231"/>
      <c r="F60" s="247"/>
    </row>
    <row r="61" customFormat="false" ht="11.25" hidden="false" customHeight="true" outlineLevel="0" collapsed="false">
      <c r="B61" s="272" t="s">
        <v>460</v>
      </c>
      <c r="D61" s="241" t="s">
        <v>244</v>
      </c>
      <c r="E61" s="206" t="n">
        <f aca="false">F51/2</f>
        <v>-131356.55</v>
      </c>
      <c r="F61" s="247" t="n">
        <f aca="false">F60+E61</f>
        <v>-131356.55</v>
      </c>
    </row>
    <row r="62" customFormat="false" ht="11.25" hidden="false" customHeight="true" outlineLevel="0" collapsed="false">
      <c r="B62" s="262"/>
      <c r="D62" s="231"/>
      <c r="E62" s="196"/>
      <c r="F62" s="247" t="n">
        <f aca="false">F61+E62</f>
        <v>-131356.55</v>
      </c>
    </row>
    <row r="63" customFormat="false" ht="11.25" hidden="false" customHeight="true" outlineLevel="0" collapsed="false">
      <c r="B63" s="272"/>
      <c r="D63" s="231"/>
      <c r="E63" s="206"/>
      <c r="F63" s="247"/>
    </row>
    <row r="64" customFormat="false" ht="11.25" hidden="false" customHeight="true" outlineLevel="0" collapsed="false">
      <c r="B64" s="273" t="s">
        <v>461</v>
      </c>
      <c r="C64" s="86"/>
      <c r="D64" s="274"/>
      <c r="E64" s="275"/>
      <c r="F64" s="276" t="n">
        <f aca="false">F59+F62</f>
        <v>-272920.1</v>
      </c>
    </row>
    <row r="65" customFormat="false" ht="11.25" hidden="false" customHeight="true" outlineLevel="0" collapsed="false">
      <c r="B65" s="229"/>
      <c r="C65" s="229"/>
      <c r="D65" s="231"/>
      <c r="E65" s="229"/>
      <c r="F65" s="229"/>
    </row>
    <row r="66" customFormat="false" ht="11.25" hidden="false" customHeight="true" outlineLevel="0" collapsed="false">
      <c r="B66" s="231"/>
      <c r="C66" s="231"/>
      <c r="D66" s="231"/>
      <c r="E66" s="229"/>
      <c r="F66" s="231"/>
    </row>
    <row r="67" customFormat="false" ht="11.25" hidden="false" customHeight="true" outlineLevel="0" collapsed="false">
      <c r="B67" s="231"/>
      <c r="C67" s="241"/>
      <c r="D67" s="241"/>
      <c r="E67" s="241"/>
      <c r="F67" s="241"/>
    </row>
    <row r="68" customFormat="false" ht="11.25" hidden="false" customHeight="true" outlineLevel="0" collapsed="false">
      <c r="B68" s="252"/>
      <c r="C68" s="235"/>
      <c r="D68" s="235"/>
      <c r="E68" s="252"/>
      <c r="F68" s="235"/>
    </row>
    <row r="69" customFormat="false" ht="11.25" hidden="false" customHeight="true" outlineLevel="0" collapsed="false">
      <c r="B69" s="231"/>
      <c r="C69" s="231"/>
      <c r="D69" s="231"/>
      <c r="E69" s="231"/>
      <c r="F69" s="231"/>
    </row>
    <row r="70" customFormat="false" ht="11.25" hidden="false" customHeight="true" outlineLevel="0" collapsed="false">
      <c r="B70" s="231"/>
      <c r="C70" s="231"/>
      <c r="D70" s="231"/>
      <c r="E70" s="231"/>
      <c r="F70" s="231"/>
    </row>
    <row r="71" customFormat="false" ht="11.25" hidden="false" customHeight="true" outlineLevel="0" collapsed="false">
      <c r="B71" s="231"/>
      <c r="C71" s="229"/>
      <c r="D71" s="229"/>
    </row>
    <row r="72" customFormat="false" ht="11.25" hidden="false" customHeight="true" outlineLevel="0" collapsed="false">
      <c r="B72" s="231"/>
      <c r="C72" s="231"/>
      <c r="D72" s="231"/>
      <c r="E72" s="231"/>
      <c r="F72" s="231"/>
    </row>
    <row r="73" customFormat="false" ht="11.25" hidden="false" customHeight="true" outlineLevel="0" collapsed="false">
      <c r="C73" s="231"/>
      <c r="D73" s="231"/>
      <c r="E73" s="231"/>
      <c r="F73" s="231"/>
    </row>
    <row r="74" customFormat="false" ht="11.25" hidden="false" customHeight="true" outlineLevel="0" collapsed="false">
      <c r="C74" s="231"/>
      <c r="D74" s="231"/>
      <c r="E74" s="231"/>
      <c r="F74" s="231"/>
    </row>
    <row r="75" customFormat="false" ht="11.25" hidden="false" customHeight="true" outlineLevel="0" collapsed="false">
      <c r="C75" s="231"/>
      <c r="D75" s="231"/>
      <c r="E75" s="231"/>
      <c r="F75" s="231"/>
    </row>
    <row r="76" customFormat="false" ht="11.25" hidden="false" customHeight="true" outlineLevel="0" collapsed="false">
      <c r="C76" s="231"/>
      <c r="D76" s="231"/>
      <c r="E76" s="231"/>
      <c r="F76" s="231"/>
    </row>
    <row r="77" customFormat="false" ht="11.25" hidden="false" customHeight="true" outlineLevel="0" collapsed="false">
      <c r="C77" s="231"/>
      <c r="D77" s="231"/>
      <c r="E77" s="231"/>
      <c r="F77" s="231"/>
    </row>
    <row r="78" customFormat="false" ht="11.25" hidden="false" customHeight="true" outlineLevel="0" collapsed="false">
      <c r="C78" s="231"/>
      <c r="D78" s="231"/>
      <c r="E78" s="231"/>
      <c r="F78" s="231"/>
    </row>
    <row r="79" customFormat="false" ht="11.25" hidden="false" customHeight="true" outlineLevel="0" collapsed="false">
      <c r="C79" s="231"/>
      <c r="D79" s="231"/>
      <c r="E79" s="231"/>
      <c r="F79" s="231"/>
    </row>
    <row r="80" customFormat="false" ht="11.25" hidden="false" customHeight="true" outlineLevel="0" collapsed="false">
      <c r="C80" s="231"/>
      <c r="D80" s="231"/>
      <c r="E80" s="231"/>
      <c r="F80" s="231"/>
    </row>
    <row r="81" customFormat="false" ht="11.25" hidden="false" customHeight="true" outlineLevel="0" collapsed="false">
      <c r="C81" s="231"/>
      <c r="D81" s="231"/>
      <c r="E81" s="231"/>
      <c r="F81" s="231"/>
    </row>
    <row r="82" customFormat="false" ht="11.25" hidden="false" customHeight="true" outlineLevel="0" collapsed="false">
      <c r="C82" s="231"/>
      <c r="D82" s="231"/>
      <c r="E82" s="231"/>
      <c r="F82" s="231"/>
    </row>
    <row r="83" customFormat="false" ht="11.25" hidden="false" customHeight="true" outlineLevel="0" collapsed="false">
      <c r="C83" s="231"/>
      <c r="D83" s="231"/>
      <c r="E83" s="231"/>
      <c r="F83" s="231"/>
    </row>
    <row r="84" customFormat="false" ht="11.25" hidden="false" customHeight="true" outlineLevel="0" collapsed="false">
      <c r="C84" s="231"/>
      <c r="D84" s="231"/>
      <c r="E84" s="231"/>
      <c r="F84" s="231"/>
    </row>
    <row r="85" customFormat="false" ht="11.25" hidden="false" customHeight="true" outlineLevel="0" collapsed="false">
      <c r="C85" s="231"/>
      <c r="D85" s="231"/>
      <c r="E85" s="231"/>
      <c r="F85" s="231"/>
    </row>
    <row r="86" customFormat="false" ht="11.25" hidden="false" customHeight="true" outlineLevel="0" collapsed="false">
      <c r="C86" s="231"/>
      <c r="D86" s="231"/>
      <c r="E86" s="231"/>
      <c r="F86" s="231"/>
    </row>
    <row r="87" customFormat="false" ht="11.25" hidden="false" customHeight="true" outlineLevel="0" collapsed="false">
      <c r="C87" s="231"/>
      <c r="D87" s="231"/>
      <c r="E87" s="231"/>
      <c r="F87" s="231"/>
    </row>
    <row r="88" customFormat="false" ht="11.25" hidden="false" customHeight="true" outlineLevel="0" collapsed="false">
      <c r="C88" s="231"/>
      <c r="D88" s="231"/>
      <c r="E88" s="231"/>
      <c r="F88" s="231"/>
    </row>
    <row r="89" customFormat="false" ht="11.25" hidden="false" customHeight="true" outlineLevel="0" collapsed="false">
      <c r="B89" s="235"/>
      <c r="C89" s="231"/>
      <c r="D89" s="231"/>
      <c r="E89" s="231"/>
      <c r="F89" s="231"/>
    </row>
    <row r="90" customFormat="false" ht="11.25" hidden="false" customHeight="true" outlineLevel="0" collapsed="false">
      <c r="B90" s="231"/>
      <c r="C90" s="231"/>
      <c r="D90" s="231"/>
      <c r="E90" s="231"/>
      <c r="F90" s="231"/>
    </row>
    <row r="91" customFormat="false" ht="11.25" hidden="false" customHeight="true" outlineLevel="0" collapsed="false">
      <c r="B91" s="231"/>
      <c r="C91" s="231"/>
      <c r="D91" s="231"/>
      <c r="E91" s="231"/>
      <c r="F91" s="231"/>
    </row>
    <row r="92" customFormat="false" ht="11.25" hidden="false" customHeight="true" outlineLevel="0" collapsed="false">
      <c r="B92" s="231"/>
      <c r="C92" s="231"/>
      <c r="D92" s="231"/>
      <c r="E92" s="231"/>
      <c r="F92" s="231"/>
    </row>
    <row r="93" customFormat="false" ht="11.25" hidden="false" customHeight="true" outlineLevel="0" collapsed="false">
      <c r="B93" s="252"/>
      <c r="C93" s="235"/>
      <c r="D93" s="235"/>
      <c r="E93" s="252"/>
      <c r="F93" s="235"/>
    </row>
    <row r="94" customFormat="false" ht="11.25" hidden="false" customHeight="true" outlineLevel="0" collapsed="false">
      <c r="C94" s="231"/>
      <c r="D94" s="231"/>
      <c r="E94" s="231"/>
      <c r="F94" s="231"/>
    </row>
    <row r="95" customFormat="false" ht="11.25" hidden="false" customHeight="true" outlineLevel="0" collapsed="false">
      <c r="C95" s="231"/>
      <c r="D95" s="231"/>
      <c r="E95" s="231"/>
      <c r="F95" s="231"/>
    </row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1">
    <mergeCell ref="E3:F3"/>
  </mergeCells>
  <printOptions headings="false" gridLines="false" gridLinesSet="true" horizontalCentered="false" verticalCentered="false"/>
  <pageMargins left="0.629861111111111" right="0.354166666666667" top="0.7875" bottom="0.629861111111111" header="0.39375" footer="0.236111111111111"/>
  <pageSetup paperSize="9" scale="100" fitToWidth="1" fitToHeight="1" pageOrder="overThenDown" orientation="portrait" blackAndWhite="false" draft="false" cellComments="none" firstPageNumber="1" useFirstPageNumber="true" horizontalDpi="300" verticalDpi="300" copies="1"/>
  <headerFooter differentFirst="false" differentOddEven="false">
    <oddHeader>&amp;C&amp;D</oddHeader>
    <oddFooter>&amp;C&amp;Z&amp;F   -   &amp;F   - 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015625" defaultRowHeight="12.75" customHeight="false" zeroHeight="false" outlineLevelRow="0" outlineLevelCol="0"/>
  <cols>
    <col collapsed="false" customWidth="true" hidden="false" outlineLevel="0" max="1" min="1" style="0" width="43.14"/>
    <col collapsed="false" customWidth="true" hidden="false" outlineLevel="0" max="2" min="2" style="0" width="12.14"/>
    <col collapsed="false" customWidth="true" hidden="false" outlineLevel="0" max="3" min="3" style="0" width="10.57"/>
    <col collapsed="false" customWidth="true" hidden="false" outlineLevel="0" max="4" min="4" style="0" width="14.14"/>
    <col collapsed="false" customWidth="true" hidden="false" outlineLevel="0" max="5" min="5" style="0" width="12.29"/>
    <col collapsed="false" customWidth="true" hidden="false" outlineLevel="0" max="6" min="6" style="0" width="9.14"/>
  </cols>
  <sheetData>
    <row r="1" customFormat="false" ht="12.75" hidden="false" customHeight="false" outlineLevel="0" collapsed="false">
      <c r="A1" s="277"/>
      <c r="B1" s="278"/>
      <c r="C1" s="278"/>
      <c r="D1" s="279" t="n">
        <v>45233</v>
      </c>
      <c r="E1" s="279"/>
    </row>
    <row r="2" customFormat="false" ht="12.75" hidden="false" customHeight="false" outlineLevel="0" collapsed="false">
      <c r="A2" s="277"/>
      <c r="B2" s="278"/>
      <c r="C2" s="278"/>
      <c r="D2" s="278"/>
    </row>
    <row r="3" customFormat="false" ht="12.75" hidden="false" customHeight="false" outlineLevel="0" collapsed="false">
      <c r="A3" s="280" t="s">
        <v>462</v>
      </c>
      <c r="B3" s="278"/>
      <c r="C3" s="278"/>
      <c r="D3" s="278"/>
      <c r="E3" s="99" t="s">
        <v>463</v>
      </c>
    </row>
    <row r="4" customFormat="false" ht="12.75" hidden="false" customHeight="false" outlineLevel="0" collapsed="false">
      <c r="A4" s="281" t="s">
        <v>464</v>
      </c>
      <c r="B4" s="281" t="n">
        <f aca="false">'01-03-HAKAN'!F160</f>
        <v>143534.12</v>
      </c>
      <c r="C4" s="282" t="n">
        <f aca="false">B4/D4</f>
        <v>1.44271710159896</v>
      </c>
      <c r="D4" s="283" t="n">
        <f aca="false">'01-03-HAKAN'!F182</f>
        <v>99488.7492779572</v>
      </c>
      <c r="E4" s="284" t="n">
        <f aca="false">D4</f>
        <v>99488.7492779572</v>
      </c>
    </row>
    <row r="5" customFormat="false" ht="12.75" hidden="false" customHeight="false" outlineLevel="0" collapsed="false">
      <c r="A5" s="278" t="s">
        <v>465</v>
      </c>
      <c r="B5" s="285" t="n">
        <f aca="false">'01-01-DGS'!F59*-1</f>
        <v>141563.55</v>
      </c>
      <c r="C5" s="282" t="n">
        <v>3.55</v>
      </c>
      <c r="D5" s="286" t="n">
        <f aca="false">B5/C5</f>
        <v>39877.0563380282</v>
      </c>
      <c r="E5" s="287" t="n">
        <f aca="false">E4+D5</f>
        <v>139365.805615985</v>
      </c>
    </row>
    <row r="6" customFormat="false" ht="12.75" hidden="false" customHeight="false" outlineLevel="0" collapsed="false">
      <c r="A6" s="278" t="s">
        <v>466</v>
      </c>
      <c r="B6" s="285" t="n">
        <f aca="false">'01-01-DGS'!F61*-1</f>
        <v>131356.55</v>
      </c>
      <c r="C6" s="282" t="n">
        <v>3.55</v>
      </c>
      <c r="D6" s="288" t="n">
        <f aca="false">B6/C6</f>
        <v>37001.8450704225</v>
      </c>
      <c r="E6" s="287" t="n">
        <f aca="false">E5+D6</f>
        <v>176367.650686408</v>
      </c>
    </row>
    <row r="7" customFormat="false" ht="15" hidden="false" customHeight="false" outlineLevel="0" collapsed="false">
      <c r="A7" s="289" t="s">
        <v>467</v>
      </c>
      <c r="B7" s="290" t="n">
        <f aca="false">SUM(B4:B6)</f>
        <v>416454.22</v>
      </c>
      <c r="C7" s="282"/>
      <c r="D7" s="291" t="n">
        <f aca="false">SUM(D4:D6)</f>
        <v>176367.650686408</v>
      </c>
      <c r="E7" s="287"/>
    </row>
    <row r="8" customFormat="false" ht="15" hidden="false" customHeight="false" outlineLevel="0" collapsed="false">
      <c r="A8" s="278"/>
      <c r="B8" s="290"/>
      <c r="C8" s="282"/>
      <c r="D8" s="291"/>
      <c r="E8" s="287"/>
    </row>
    <row r="9" customFormat="false" ht="12.75" hidden="false" customHeight="false" outlineLevel="0" collapsed="false">
      <c r="A9" s="280" t="s">
        <v>468</v>
      </c>
      <c r="B9" s="285"/>
      <c r="C9" s="282"/>
      <c r="D9" s="278"/>
      <c r="E9" s="287"/>
    </row>
    <row r="10" customFormat="false" ht="12.75" hidden="false" customHeight="false" outlineLevel="0" collapsed="false">
      <c r="A10" s="278" t="s">
        <v>469</v>
      </c>
      <c r="B10" s="285" t="n">
        <v>50000</v>
      </c>
      <c r="C10" s="282" t="n">
        <v>1.31</v>
      </c>
      <c r="D10" s="288" t="n">
        <f aca="false">B10/C10</f>
        <v>38167.9389312977</v>
      </c>
      <c r="E10" s="287" t="n">
        <f aca="false">E6+D10*-1</f>
        <v>138199.71175511</v>
      </c>
    </row>
    <row r="11" customFormat="false" ht="12.75" hidden="false" customHeight="false" outlineLevel="0" collapsed="false">
      <c r="A11" s="278" t="s">
        <v>470</v>
      </c>
      <c r="B11" s="285" t="n">
        <f aca="false">'01-01-DGS'!F64*-1</f>
        <v>272920.1</v>
      </c>
      <c r="C11" s="282" t="n">
        <v>3.55</v>
      </c>
      <c r="D11" s="288" t="n">
        <f aca="false">B11/C11</f>
        <v>76878.9014084507</v>
      </c>
      <c r="E11" s="287" t="n">
        <f aca="false">E10+D11*-1</f>
        <v>61320.8103466595</v>
      </c>
    </row>
    <row r="12" customFormat="false" ht="15" hidden="false" customHeight="false" outlineLevel="0" collapsed="false">
      <c r="A12" s="289" t="s">
        <v>471</v>
      </c>
      <c r="B12" s="290" t="n">
        <f aca="false">SUM(B10:B11)</f>
        <v>322920.1</v>
      </c>
      <c r="C12" s="282"/>
      <c r="D12" s="291" t="n">
        <f aca="false">SUM(D10:D11)</f>
        <v>115046.840339748</v>
      </c>
      <c r="E12" s="287" t="n">
        <f aca="false">E11</f>
        <v>61320.8103466595</v>
      </c>
    </row>
    <row r="13" customFormat="false" ht="12.75" hidden="false" customHeight="false" outlineLevel="0" collapsed="false">
      <c r="A13" s="278"/>
      <c r="B13" s="285"/>
      <c r="C13" s="282"/>
      <c r="E13" s="287" t="n">
        <f aca="false">E12</f>
        <v>61320.8103466595</v>
      </c>
    </row>
    <row r="14" customFormat="false" ht="12.75" hidden="false" customHeight="false" outlineLevel="0" collapsed="false">
      <c r="A14" s="278"/>
      <c r="B14" s="285"/>
      <c r="D14" s="99" t="s">
        <v>472</v>
      </c>
      <c r="E14" s="287" t="n">
        <f aca="false">E13</f>
        <v>61320.8103466595</v>
      </c>
    </row>
    <row r="15" customFormat="false" ht="15" hidden="false" customHeight="false" outlineLevel="0" collapsed="false">
      <c r="B15" s="292"/>
      <c r="D15" s="291"/>
      <c r="E15" s="287"/>
    </row>
    <row r="16" customFormat="false" ht="13.8" hidden="false" customHeight="false" outlineLevel="0" collapsed="false">
      <c r="A16" s="0" t="s">
        <v>473</v>
      </c>
      <c r="D16" s="293" t="n">
        <f aca="false">E14/2</f>
        <v>30660.4051733297</v>
      </c>
      <c r="E16" s="287"/>
    </row>
    <row r="17" customFormat="false" ht="13.8" hidden="false" customHeight="false" outlineLevel="0" collapsed="false">
      <c r="A17" s="0" t="s">
        <v>474</v>
      </c>
      <c r="D17" s="294" t="n">
        <f aca="false">D16</f>
        <v>30660.4051733297</v>
      </c>
      <c r="E17" s="287"/>
    </row>
    <row r="18" customFormat="false" ht="12.75" hidden="false" customHeight="false" outlineLevel="0" collapsed="false">
      <c r="D18" s="284"/>
      <c r="E18" s="287"/>
    </row>
    <row r="19" customFormat="false" ht="12.75" hidden="false" customHeight="false" outlineLevel="0" collapsed="false">
      <c r="D19" s="284"/>
      <c r="E19" s="287"/>
    </row>
    <row r="20" customFormat="false" ht="12.75" hidden="false" customHeight="false" outlineLevel="0" collapsed="false">
      <c r="A20" s="295" t="s">
        <v>475</v>
      </c>
      <c r="B20" s="296"/>
      <c r="C20" s="297"/>
      <c r="D20" s="297"/>
      <c r="E20" s="298"/>
    </row>
    <row r="21" customFormat="false" ht="12.75" hidden="false" customHeight="false" outlineLevel="0" collapsed="false">
      <c r="A21" s="76"/>
      <c r="B21" s="299" t="s">
        <v>476</v>
      </c>
      <c r="C21" s="300" t="n">
        <v>40000</v>
      </c>
      <c r="D21" s="281" t="n">
        <v>1.4</v>
      </c>
      <c r="E21" s="301" t="n">
        <f aca="false">C21/D21</f>
        <v>28571.4285714286</v>
      </c>
    </row>
    <row r="22" customFormat="false" ht="12.75" hidden="false" customHeight="false" outlineLevel="0" collapsed="false">
      <c r="A22" s="76"/>
      <c r="B22" s="299" t="s">
        <v>477</v>
      </c>
      <c r="C22" s="302" t="n">
        <v>15000</v>
      </c>
      <c r="D22" s="281" t="n">
        <v>1.4</v>
      </c>
      <c r="E22" s="303" t="n">
        <f aca="false">C22/D22*-1</f>
        <v>-10714.2857142857</v>
      </c>
    </row>
    <row r="23" customFormat="false" ht="12.75" hidden="false" customHeight="false" outlineLevel="0" collapsed="false">
      <c r="A23" s="304"/>
      <c r="B23" s="305"/>
      <c r="C23" s="306"/>
      <c r="D23" s="307" t="s">
        <v>478</v>
      </c>
      <c r="E23" s="308" t="n">
        <f aca="false">SUM(E21:E22)</f>
        <v>17857.1428571429</v>
      </c>
    </row>
    <row r="26" customFormat="false" ht="12.75" hidden="false" customHeight="false" outlineLevel="0" collapsed="false">
      <c r="A26" s="70"/>
      <c r="B26" s="74"/>
      <c r="C26" s="309"/>
      <c r="D26" s="74"/>
      <c r="E26" s="310"/>
    </row>
    <row r="27" customFormat="false" ht="12.75" hidden="false" customHeight="false" outlineLevel="0" collapsed="false">
      <c r="A27" s="311" t="s">
        <v>479</v>
      </c>
      <c r="C27" s="90" t="s">
        <v>480</v>
      </c>
      <c r="D27" s="283" t="n">
        <f aca="false">D4*-1</f>
        <v>-99488.7492779572</v>
      </c>
      <c r="E27" s="312" t="n">
        <f aca="false">D27</f>
        <v>-99488.7492779572</v>
      </c>
    </row>
    <row r="28" customFormat="false" ht="12.75" hidden="false" customHeight="false" outlineLevel="0" collapsed="false">
      <c r="A28" s="76"/>
      <c r="C28" s="90" t="s">
        <v>481</v>
      </c>
      <c r="D28" s="313" t="n">
        <f aca="false">D5*-1</f>
        <v>-39877.0563380282</v>
      </c>
      <c r="E28" s="312" t="n">
        <f aca="false">E27+D28</f>
        <v>-139365.805615985</v>
      </c>
    </row>
    <row r="29" customFormat="false" ht="12.75" hidden="false" customHeight="false" outlineLevel="0" collapsed="false">
      <c r="A29" s="76"/>
      <c r="C29" s="314" t="s">
        <v>482</v>
      </c>
      <c r="D29" s="315" t="n">
        <f aca="false">E23*-1</f>
        <v>-17857.1428571429</v>
      </c>
      <c r="E29" s="312" t="n">
        <f aca="false">E28+D29</f>
        <v>-157222.948473128</v>
      </c>
    </row>
    <row r="30" customFormat="false" ht="12.75" hidden="false" customHeight="false" outlineLevel="0" collapsed="false">
      <c r="A30" s="316"/>
      <c r="D30" s="50"/>
      <c r="E30" s="312" t="n">
        <f aca="false">E29+D30</f>
        <v>-157222.948473128</v>
      </c>
    </row>
    <row r="31" customFormat="false" ht="12.75" hidden="false" customHeight="false" outlineLevel="0" collapsed="false">
      <c r="A31" s="317"/>
      <c r="B31" s="318"/>
      <c r="C31" s="319" t="s">
        <v>483</v>
      </c>
      <c r="D31" s="320" t="n">
        <f aca="false">D16</f>
        <v>30660.4051733297</v>
      </c>
      <c r="E31" s="312" t="n">
        <f aca="false">E30+D31</f>
        <v>-126562.543299798</v>
      </c>
    </row>
    <row r="32" customFormat="false" ht="12.75" hidden="false" customHeight="false" outlineLevel="0" collapsed="false">
      <c r="A32" s="76"/>
      <c r="C32" s="90"/>
      <c r="D32" s="284"/>
      <c r="E32" s="312" t="n">
        <f aca="false">E31+D32</f>
        <v>-126562.543299798</v>
      </c>
    </row>
    <row r="33" customFormat="false" ht="12.75" hidden="false" customHeight="false" outlineLevel="0" collapsed="false">
      <c r="A33" s="321"/>
      <c r="B33" s="322"/>
      <c r="C33" s="323" t="s">
        <v>484</v>
      </c>
      <c r="D33" s="324"/>
      <c r="E33" s="325" t="n">
        <f aca="false">E32+D33</f>
        <v>-126562.543299798</v>
      </c>
    </row>
    <row r="34" customFormat="false" ht="12.75" hidden="false" customHeight="false" outlineLevel="0" collapsed="false">
      <c r="A34" s="304"/>
      <c r="B34" s="86"/>
      <c r="C34" s="326" t="s">
        <v>485</v>
      </c>
      <c r="D34" s="327" t="n">
        <f aca="false">D4/E33</f>
        <v>-0.786083675975842</v>
      </c>
      <c r="E34" s="87"/>
    </row>
    <row r="36" customFormat="false" ht="12.75" hidden="false" customHeight="false" outlineLevel="0" collapsed="false">
      <c r="A36" s="328"/>
    </row>
  </sheetData>
  <mergeCells count="1">
    <mergeCell ref="D1:E1"/>
  </mergeCells>
  <printOptions headings="false" gridLines="false" gridLinesSet="true" horizontalCentered="false" verticalCentered="false"/>
  <pageMargins left="0.629861111111111" right="0.354166666666667" top="0.7875" bottom="0.629861111111111" header="0.511811023622047" footer="0.511811023622047"/>
  <pageSetup paperSize="9" scale="100" fitToWidth="1" fitToHeight="1" pageOrder="overThenDown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015625" defaultRowHeight="12.75" customHeight="false" zeroHeight="false" outlineLevelRow="0" outlineLevelCol="0"/>
  <cols>
    <col collapsed="false" customWidth="true" hidden="false" outlineLevel="0" max="2" min="2" style="0" width="15"/>
    <col collapsed="false" customWidth="true" hidden="false" outlineLevel="0" max="3" min="3" style="0" width="31.57"/>
    <col collapsed="false" customWidth="true" hidden="false" outlineLevel="0" max="4" min="4" style="0" width="20"/>
    <col collapsed="false" customWidth="true" hidden="false" outlineLevel="0" max="5" min="5" style="0" width="25"/>
    <col collapsed="false" customWidth="true" hidden="false" outlineLevel="0" max="6" min="6" style="0" width="9.14"/>
  </cols>
  <sheetData>
    <row r="1" customFormat="false" ht="12.75" hidden="false" customHeight="false" outlineLevel="0" collapsed="false">
      <c r="A1" s="329"/>
      <c r="D1" s="330"/>
      <c r="E1" s="233" t="n">
        <v>45234</v>
      </c>
    </row>
    <row r="3" customFormat="false" ht="17.35" hidden="false" customHeight="false" outlineLevel="0" collapsed="false">
      <c r="C3" s="331"/>
      <c r="D3" s="332" t="s">
        <v>486</v>
      </c>
      <c r="E3" s="333" t="n">
        <v>450000</v>
      </c>
    </row>
    <row r="4" customFormat="false" ht="17.35" hidden="false" customHeight="false" outlineLevel="0" collapsed="false">
      <c r="B4" s="334"/>
      <c r="C4" s="335"/>
      <c r="D4" s="336" t="s">
        <v>487</v>
      </c>
      <c r="E4" s="337" t="s">
        <v>186</v>
      </c>
    </row>
    <row r="5" customFormat="false" ht="17.35" hidden="false" customHeight="false" outlineLevel="0" collapsed="false">
      <c r="C5" s="332"/>
      <c r="D5" s="338"/>
      <c r="E5" s="338"/>
    </row>
    <row r="6" customFormat="false" ht="17.35" hidden="false" customHeight="false" outlineLevel="0" collapsed="false">
      <c r="B6" s="70"/>
      <c r="C6" s="339" t="s">
        <v>488</v>
      </c>
      <c r="D6" s="340" t="n">
        <v>0.5</v>
      </c>
      <c r="E6" s="341" t="n">
        <v>0.5</v>
      </c>
    </row>
    <row r="7" customFormat="false" ht="17.35" hidden="false" customHeight="false" outlineLevel="0" collapsed="false">
      <c r="B7" s="304"/>
      <c r="C7" s="342" t="s">
        <v>489</v>
      </c>
      <c r="D7" s="343" t="n">
        <f aca="false">E3*0.5</f>
        <v>225000</v>
      </c>
      <c r="E7" s="344" t="n">
        <f aca="false">E3*0.5</f>
        <v>225000</v>
      </c>
    </row>
    <row r="8" customFormat="false" ht="17.35" hidden="false" customHeight="false" outlineLevel="0" collapsed="false">
      <c r="C8" s="332"/>
      <c r="D8" s="345"/>
      <c r="E8" s="345"/>
    </row>
    <row r="9" customFormat="false" ht="17.35" hidden="false" customHeight="false" outlineLevel="0" collapsed="false">
      <c r="B9" s="346"/>
      <c r="C9" s="347" t="s">
        <v>490</v>
      </c>
      <c r="D9" s="348" t="n">
        <f aca="false">'01-02-DGS'!E33</f>
        <v>-126562.543299798</v>
      </c>
      <c r="E9" s="349" t="n">
        <f aca="false">D9*-1</f>
        <v>126562.543299798</v>
      </c>
    </row>
    <row r="10" customFormat="false" ht="80.25" hidden="false" customHeight="true" outlineLevel="0" collapsed="false">
      <c r="C10" s="350"/>
      <c r="D10" s="351" t="s">
        <v>491</v>
      </c>
      <c r="E10" s="351" t="s">
        <v>492</v>
      </c>
    </row>
    <row r="11" customFormat="false" ht="17.35" hidden="false" customHeight="false" outlineLevel="0" collapsed="false">
      <c r="B11" s="70"/>
      <c r="C11" s="339" t="s">
        <v>493</v>
      </c>
      <c r="D11" s="352" t="n">
        <f aca="false">SUM(D7:D9)</f>
        <v>98437.4567002015</v>
      </c>
      <c r="E11" s="353" t="n">
        <f aca="false">SUM(E7:E9)</f>
        <v>351562.543299798</v>
      </c>
    </row>
    <row r="12" customFormat="false" ht="17.35" hidden="false" customHeight="false" outlineLevel="0" collapsed="false">
      <c r="B12" s="304"/>
      <c r="C12" s="354" t="s">
        <v>494</v>
      </c>
      <c r="D12" s="355" t="n">
        <f aca="false">D11/E3</f>
        <v>0.218749903778226</v>
      </c>
      <c r="E12" s="356" t="n">
        <f aca="false">E11/E3</f>
        <v>0.781250096221774</v>
      </c>
    </row>
    <row r="13" customFormat="false" ht="67.15" hidden="false" customHeight="false" outlineLevel="0" collapsed="false">
      <c r="B13" s="357"/>
      <c r="C13" s="358"/>
      <c r="D13" s="350" t="s">
        <v>495</v>
      </c>
      <c r="E13" s="351" t="s">
        <v>496</v>
      </c>
    </row>
    <row r="14" customFormat="false" ht="17.35" hidden="false" customHeight="false" outlineLevel="0" collapsed="false">
      <c r="B14" s="70"/>
      <c r="C14" s="359" t="s">
        <v>497</v>
      </c>
      <c r="D14" s="352" t="n">
        <v>7485.3</v>
      </c>
      <c r="E14" s="353" t="n">
        <f aca="false">D14*-1</f>
        <v>-7485.3</v>
      </c>
    </row>
    <row r="15" customFormat="false" ht="17.35" hidden="false" customHeight="false" outlineLevel="0" collapsed="false">
      <c r="B15" s="304"/>
      <c r="C15" s="360" t="s">
        <v>498</v>
      </c>
      <c r="D15" s="355" t="n">
        <f aca="false">D18-D12</f>
        <v>0.016634</v>
      </c>
      <c r="E15" s="361" t="n">
        <f aca="false">E18-E12</f>
        <v>-0.0166339999999999</v>
      </c>
    </row>
    <row r="16" customFormat="false" ht="123.75" hidden="false" customHeight="true" outlineLevel="0" collapsed="false">
      <c r="B16" s="357"/>
      <c r="C16" s="358"/>
      <c r="D16" s="351" t="s">
        <v>499</v>
      </c>
      <c r="E16" s="351" t="s">
        <v>500</v>
      </c>
    </row>
    <row r="17" customFormat="false" ht="17.35" hidden="false" customHeight="false" outlineLevel="0" collapsed="false">
      <c r="B17" s="362"/>
      <c r="C17" s="332" t="s">
        <v>501</v>
      </c>
      <c r="D17" s="363" t="n">
        <f aca="false">D11+D14</f>
        <v>105922.756700202</v>
      </c>
      <c r="E17" s="364" t="n">
        <f aca="false">E11+E14</f>
        <v>344077.243299798</v>
      </c>
    </row>
    <row r="18" customFormat="false" ht="17.35" hidden="false" customHeight="false" outlineLevel="0" collapsed="false">
      <c r="B18" s="365"/>
      <c r="C18" s="366" t="s">
        <v>502</v>
      </c>
      <c r="D18" s="367" t="n">
        <f aca="false">D17/E3</f>
        <v>0.235383903778226</v>
      </c>
      <c r="E18" s="368" t="n">
        <f aca="false">E17/E3</f>
        <v>0.764616096221774</v>
      </c>
    </row>
    <row r="20" customFormat="false" ht="22.05" hidden="false" customHeight="false" outlineLevel="0" collapsed="false">
      <c r="B20" s="369" t="s">
        <v>503</v>
      </c>
      <c r="C20" s="370"/>
      <c r="D20" s="74"/>
      <c r="E20" s="310"/>
    </row>
    <row r="21" customFormat="false" ht="22.05" hidden="false" customHeight="false" outlineLevel="0" collapsed="false">
      <c r="B21" s="371" t="s">
        <v>504</v>
      </c>
      <c r="C21" s="372"/>
      <c r="D21" s="373" t="n">
        <f aca="false">D18</f>
        <v>0.235383903778226</v>
      </c>
      <c r="E21" s="374" t="n">
        <f aca="false">E18</f>
        <v>0.764616096221774</v>
      </c>
    </row>
    <row r="23" customFormat="false" ht="12.75" hidden="false" customHeight="false" outlineLevel="0" collapsed="false">
      <c r="B23" s="0" t="s">
        <v>505</v>
      </c>
    </row>
    <row r="24" customFormat="false" ht="12.75" hidden="false" customHeight="false" outlineLevel="0" collapsed="false">
      <c r="B24" s="0" t="s">
        <v>506</v>
      </c>
    </row>
    <row r="26" customFormat="false" ht="12.75" hidden="false" customHeight="false" outlineLevel="0" collapsed="false">
      <c r="B26" s="0" t="s">
        <v>507</v>
      </c>
    </row>
    <row r="27" customFormat="false" ht="12.75" hidden="false" customHeight="false" outlineLevel="0" collapsed="false">
      <c r="B27" s="0" t="s">
        <v>508</v>
      </c>
    </row>
    <row r="28" customFormat="false" ht="12.75" hidden="false" customHeight="false" outlineLevel="0" collapsed="false">
      <c r="B28" s="0" t="s">
        <v>509</v>
      </c>
    </row>
  </sheetData>
  <printOptions headings="false" gridLines="false" gridLinesSet="true" horizontalCentered="false" verticalCentered="false"/>
  <pageMargins left="0.25" right="0.25" top="0.75" bottom="0.75" header="0.3" footer="0.3"/>
  <pageSetup paperSize="9" scale="100" fitToWidth="1" fitToHeight="1" pageOrder="overThenDown" orientation="portrait" blackAndWhite="false" draft="false" cellComments="none" firstPageNumber="1" useFirstPageNumber="true" horizontalDpi="300" verticalDpi="300" copies="1"/>
  <headerFooter differentFirst="false" differentOddEven="false">
    <oddHeader>&amp;C&amp;D</oddHeader>
    <oddFooter>&amp;C&amp;Z&amp;F   -   &amp;F   - 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477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2019-12-25T12:06:09Z</dcterms:created>
  <dc:creator>m</dc:creator>
  <dc:description/>
  <dc:language>tr-TR</dc:language>
  <cp:lastModifiedBy/>
  <cp:lastPrinted>2025-02-13T09:51:12Z</cp:lastPrinted>
  <dcterms:modified xsi:type="dcterms:W3CDTF">2026-03-25T16:59:02Z</dcterms:modified>
  <cp:revision>231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