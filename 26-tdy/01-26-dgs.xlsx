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_2026\26-yzhn\26-tdy\"/>
    </mc:Choice>
  </mc:AlternateContent>
  <xr:revisionPtr revIDLastSave="0" documentId="13_ncr:1_{A54840A2-0346-4872-9D9E-CBFFA2AE83F5}" xr6:coauthVersionLast="47" xr6:coauthVersionMax="47" xr10:uidLastSave="{00000000-0000-0000-0000-000000000000}"/>
  <bookViews>
    <workbookView xWindow="390" yWindow="390" windowWidth="23475" windowHeight="13965" tabRatio="500" xr2:uid="{00000000-000D-0000-FFFF-FFFF00000000}"/>
  </bookViews>
  <sheets>
    <sheet name="2025-Dgs Adem Son (2)" sheetId="1" r:id="rId1"/>
    <sheet name="2025-Dgs" sheetId="2" r:id="rId2"/>
    <sheet name="01-DgsOLD" sheetId="3" r:id="rId3"/>
    <sheet name="DGS_31-05-24" sheetId="4" r:id="rId4"/>
    <sheet name="2024" sheetId="5" r:id="rId5"/>
    <sheet name="02--_Tzgmrg" sheetId="6" r:id="rId6"/>
    <sheet name="01-03-HAKAN" sheetId="7" r:id="rId7"/>
    <sheet name="01-01-DGS" sheetId="8" r:id="rId8"/>
    <sheet name="01-02-DGS" sheetId="9" r:id="rId9"/>
    <sheet name="1203-YZD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" i="10" l="1"/>
  <c r="E7" i="10"/>
  <c r="D7" i="10"/>
  <c r="E22" i="9"/>
  <c r="E21" i="9"/>
  <c r="E23" i="9" s="1"/>
  <c r="D29" i="9" s="1"/>
  <c r="D10" i="9"/>
  <c r="F46" i="8"/>
  <c r="F47" i="8" s="1"/>
  <c r="F48" i="8" s="1"/>
  <c r="F49" i="8" s="1"/>
  <c r="F50" i="8" s="1"/>
  <c r="F51" i="8" s="1"/>
  <c r="F45" i="8"/>
  <c r="F36" i="8"/>
  <c r="F38" i="8" s="1"/>
  <c r="D36" i="8"/>
  <c r="D37" i="8" s="1"/>
  <c r="F32" i="8"/>
  <c r="C32" i="8"/>
  <c r="C30" i="8"/>
  <c r="D30" i="8" s="1"/>
  <c r="F180" i="7"/>
  <c r="C180" i="7"/>
  <c r="B179" i="7"/>
  <c r="C178" i="7"/>
  <c r="C176" i="7"/>
  <c r="B176" i="7"/>
  <c r="F176" i="7" s="1"/>
  <c r="C175" i="7"/>
  <c r="D174" i="7"/>
  <c r="D175" i="7" s="1"/>
  <c r="D176" i="7" s="1"/>
  <c r="D177" i="7" s="1"/>
  <c r="D178" i="7" s="1"/>
  <c r="C174" i="7"/>
  <c r="B174" i="7"/>
  <c r="F174" i="7" s="1"/>
  <c r="E153" i="7"/>
  <c r="C179" i="7" s="1"/>
  <c r="F179" i="7" s="1"/>
  <c r="D153" i="7"/>
  <c r="E134" i="7"/>
  <c r="D134" i="7"/>
  <c r="B178" i="7" s="1"/>
  <c r="F178" i="7" s="1"/>
  <c r="E123" i="7"/>
  <c r="C177" i="7" s="1"/>
  <c r="D123" i="7"/>
  <c r="B177" i="7" s="1"/>
  <c r="F177" i="7" s="1"/>
  <c r="E68" i="7"/>
  <c r="D68" i="7"/>
  <c r="E26" i="7"/>
  <c r="D26" i="7"/>
  <c r="B175" i="7" s="1"/>
  <c r="F175" i="7" s="1"/>
  <c r="F4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6" i="7" s="1"/>
  <c r="F127" i="7" s="1"/>
  <c r="F128" i="7" s="1"/>
  <c r="F129" i="7" s="1"/>
  <c r="F130" i="7" s="1"/>
  <c r="F131" i="7" s="1"/>
  <c r="F132" i="7" s="1"/>
  <c r="F133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4" i="7" s="1"/>
  <c r="F155" i="7" s="1"/>
  <c r="F160" i="7" s="1"/>
  <c r="G63" i="6"/>
  <c r="G65" i="6" s="1"/>
  <c r="G67" i="6" s="1"/>
  <c r="F63" i="6"/>
  <c r="D63" i="6"/>
  <c r="C63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E45" i="6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G44" i="6"/>
  <c r="E44" i="6"/>
  <c r="G27" i="6"/>
  <c r="G29" i="6" s="1"/>
  <c r="G31" i="6" s="1"/>
  <c r="F27" i="6"/>
  <c r="D27" i="6"/>
  <c r="C27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E9" i="6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G8" i="6"/>
  <c r="E8" i="6"/>
  <c r="H76" i="5"/>
  <c r="E76" i="5"/>
  <c r="D65" i="5"/>
  <c r="D66" i="5" s="1"/>
  <c r="F64" i="5"/>
  <c r="D64" i="5"/>
  <c r="F63" i="5"/>
  <c r="E59" i="5"/>
  <c r="F47" i="5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46" i="5"/>
  <c r="E43" i="5"/>
  <c r="L6" i="5" s="1"/>
  <c r="F31" i="5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E27" i="5"/>
  <c r="N16" i="5"/>
  <c r="O16" i="5" s="1"/>
  <c r="F14" i="5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O12" i="5"/>
  <c r="E11" i="5"/>
  <c r="L8" i="5"/>
  <c r="K8" i="5" s="1"/>
  <c r="L7" i="5"/>
  <c r="R7" i="5" s="1"/>
  <c r="J7" i="5"/>
  <c r="L5" i="5"/>
  <c r="R5" i="5" s="1"/>
  <c r="J5" i="5"/>
  <c r="F5" i="5"/>
  <c r="F6" i="5" s="1"/>
  <c r="F7" i="5" s="1"/>
  <c r="F8" i="5" s="1"/>
  <c r="F9" i="5" s="1"/>
  <c r="F10" i="5" s="1"/>
  <c r="R4" i="5"/>
  <c r="L4" i="5"/>
  <c r="O5" i="5" s="1"/>
  <c r="J4" i="5"/>
  <c r="F4" i="5"/>
  <c r="D20" i="4"/>
  <c r="E19" i="4"/>
  <c r="D19" i="4"/>
  <c r="F7" i="4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6" i="4"/>
  <c r="G137" i="3"/>
  <c r="G136" i="3"/>
  <c r="G135" i="3"/>
  <c r="G134" i="3"/>
  <c r="G133" i="3"/>
  <c r="G132" i="3"/>
  <c r="G131" i="3"/>
  <c r="G130" i="3"/>
  <c r="G129" i="3"/>
  <c r="G128" i="3"/>
  <c r="G127" i="3"/>
  <c r="G126" i="3"/>
  <c r="E120" i="3"/>
  <c r="E118" i="3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G111" i="3"/>
  <c r="G113" i="3" s="1"/>
  <c r="G114" i="3" s="1"/>
  <c r="F111" i="3"/>
  <c r="D111" i="3"/>
  <c r="C111" i="3"/>
  <c r="E111" i="3" s="1"/>
  <c r="G108" i="3"/>
  <c r="G107" i="3"/>
  <c r="G106" i="3"/>
  <c r="G105" i="3"/>
  <c r="G104" i="3"/>
  <c r="G103" i="3"/>
  <c r="G102" i="3"/>
  <c r="G100" i="3"/>
  <c r="G99" i="3"/>
  <c r="G98" i="3"/>
  <c r="G97" i="3"/>
  <c r="G96" i="3"/>
  <c r="G95" i="3"/>
  <c r="G94" i="3"/>
  <c r="G93" i="3"/>
  <c r="G92" i="3"/>
  <c r="G91" i="3"/>
  <c r="E91" i="3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G85" i="3"/>
  <c r="G84" i="3"/>
  <c r="E84" i="3"/>
  <c r="E85" i="3" s="1"/>
  <c r="D73" i="3"/>
  <c r="D74" i="3" s="1"/>
  <c r="C73" i="3"/>
  <c r="G71" i="3"/>
  <c r="G70" i="3"/>
  <c r="G69" i="3"/>
  <c r="G68" i="3"/>
  <c r="G67" i="3"/>
  <c r="G66" i="3"/>
  <c r="G65" i="3"/>
  <c r="G64" i="3"/>
  <c r="G63" i="3"/>
  <c r="G62" i="3"/>
  <c r="E62" i="3"/>
  <c r="E63" i="3" s="1"/>
  <c r="E64" i="3" s="1"/>
  <c r="E65" i="3" s="1"/>
  <c r="E66" i="3" s="1"/>
  <c r="E67" i="3" s="1"/>
  <c r="E68" i="3" s="1"/>
  <c r="E69" i="3" s="1"/>
  <c r="E70" i="3" s="1"/>
  <c r="E71" i="3" s="1"/>
  <c r="G61" i="3"/>
  <c r="E61" i="3"/>
  <c r="G60" i="3"/>
  <c r="E60" i="3"/>
  <c r="D53" i="3"/>
  <c r="D52" i="3"/>
  <c r="E40" i="3"/>
  <c r="C40" i="3"/>
  <c r="C41" i="3" s="1"/>
  <c r="E39" i="3"/>
  <c r="G38" i="3"/>
  <c r="G33" i="3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C45" i="3" s="1"/>
  <c r="H10" i="3"/>
  <c r="D10" i="3"/>
  <c r="K9" i="3"/>
  <c r="I9" i="3"/>
  <c r="H9" i="3"/>
  <c r="G9" i="3"/>
  <c r="F9" i="3"/>
  <c r="E9" i="3"/>
  <c r="C10" i="3" s="1"/>
  <c r="K8" i="3"/>
  <c r="I8" i="3"/>
  <c r="H8" i="3"/>
  <c r="F8" i="3"/>
  <c r="E8" i="3"/>
  <c r="K7" i="3"/>
  <c r="I7" i="3"/>
  <c r="F7" i="3"/>
  <c r="E7" i="3"/>
  <c r="K6" i="3"/>
  <c r="F6" i="3"/>
  <c r="H7" i="3" s="1"/>
  <c r="E6" i="3"/>
  <c r="E189" i="2"/>
  <c r="C185" i="2"/>
  <c r="C175" i="2"/>
  <c r="E174" i="2"/>
  <c r="E190" i="2" s="1"/>
  <c r="C174" i="2"/>
  <c r="E173" i="2"/>
  <c r="C173" i="2"/>
  <c r="C172" i="2"/>
  <c r="E171" i="2"/>
  <c r="C171" i="2"/>
  <c r="C170" i="2"/>
  <c r="E169" i="2"/>
  <c r="C169" i="2"/>
  <c r="E168" i="2"/>
  <c r="C168" i="2"/>
  <c r="E167" i="2"/>
  <c r="E184" i="2" s="1"/>
  <c r="C167" i="2"/>
  <c r="H148" i="2"/>
  <c r="H149" i="2" s="1"/>
  <c r="H150" i="2" s="1"/>
  <c r="H151" i="2" s="1"/>
  <c r="H152" i="2" s="1"/>
  <c r="G148" i="2"/>
  <c r="H147" i="2"/>
  <c r="H142" i="2"/>
  <c r="H141" i="2"/>
  <c r="F141" i="2"/>
  <c r="E132" i="2"/>
  <c r="E124" i="2"/>
  <c r="E175" i="2" s="1"/>
  <c r="G119" i="2"/>
  <c r="G113" i="2" s="1"/>
  <c r="H111" i="2" s="1"/>
  <c r="E102" i="2"/>
  <c r="E94" i="2"/>
  <c r="G90" i="2"/>
  <c r="G89" i="2"/>
  <c r="G88" i="2"/>
  <c r="H87" i="2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2" i="2" s="1"/>
  <c r="H103" i="2" s="1"/>
  <c r="H104" i="2" s="1"/>
  <c r="H105" i="2" s="1"/>
  <c r="H106" i="2" s="1"/>
  <c r="H107" i="2" s="1"/>
  <c r="H108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3" i="2" s="1"/>
  <c r="H134" i="2" s="1"/>
  <c r="H135" i="2" s="1"/>
  <c r="H136" i="2" s="1"/>
  <c r="H137" i="2" s="1"/>
  <c r="H138" i="2" s="1"/>
  <c r="H139" i="2" s="1"/>
  <c r="H140" i="2" s="1"/>
  <c r="G82" i="2"/>
  <c r="H81" i="2"/>
  <c r="H80" i="2"/>
  <c r="E71" i="2"/>
  <c r="E172" i="2" s="1"/>
  <c r="E64" i="2"/>
  <c r="H63" i="2"/>
  <c r="H64" i="2" s="1"/>
  <c r="H65" i="2" s="1"/>
  <c r="H66" i="2" s="1"/>
  <c r="H67" i="2" s="1"/>
  <c r="H68" i="2" s="1"/>
  <c r="H69" i="2" s="1"/>
  <c r="H71" i="2" s="1"/>
  <c r="H72" i="2" s="1"/>
  <c r="H73" i="2" s="1"/>
  <c r="H74" i="2" s="1"/>
  <c r="H75" i="2" s="1"/>
  <c r="H76" i="2" s="1"/>
  <c r="H77" i="2" s="1"/>
  <c r="H78" i="2" s="1"/>
  <c r="H62" i="2"/>
  <c r="G57" i="2"/>
  <c r="H56" i="2"/>
  <c r="H55" i="2"/>
  <c r="E38" i="2"/>
  <c r="E170" i="2" s="1"/>
  <c r="E31" i="2"/>
  <c r="H27" i="2"/>
  <c r="H28" i="2" s="1"/>
  <c r="H29" i="2" s="1"/>
  <c r="H30" i="2" s="1"/>
  <c r="H31" i="2" s="1"/>
  <c r="H32" i="2" s="1"/>
  <c r="H33" i="2" s="1"/>
  <c r="H34" i="2" s="1"/>
  <c r="H35" i="2" s="1"/>
  <c r="H36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G24" i="2"/>
  <c r="G58" i="2" s="1"/>
  <c r="G23" i="2"/>
  <c r="G22" i="2"/>
  <c r="H21" i="2"/>
  <c r="H20" i="2"/>
  <c r="E10" i="2"/>
  <c r="H8" i="2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G6" i="2"/>
  <c r="H4" i="2" s="1"/>
  <c r="H5" i="2"/>
  <c r="E5" i="1"/>
  <c r="F5" i="1" s="1"/>
  <c r="H3" i="1"/>
  <c r="H4" i="1" s="1"/>
  <c r="H5" i="1" s="1"/>
  <c r="H6" i="1" s="1"/>
  <c r="H7" i="1" s="1"/>
  <c r="H8" i="1" s="1"/>
  <c r="H9" i="1" s="1"/>
  <c r="H10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C46" i="3" l="1"/>
  <c r="E61" i="8"/>
  <c r="F61" i="8" s="1"/>
  <c r="E54" i="8"/>
  <c r="F54" i="8" s="1"/>
  <c r="F55" i="8" s="1"/>
  <c r="F56" i="8" s="1"/>
  <c r="F57" i="8" s="1"/>
  <c r="F58" i="8" s="1"/>
  <c r="F59" i="8" s="1"/>
  <c r="F10" i="3"/>
  <c r="I10" i="3" s="1"/>
  <c r="E10" i="3"/>
  <c r="D67" i="5"/>
  <c r="O6" i="5"/>
  <c r="O7" i="5" s="1"/>
  <c r="O8" i="5" s="1"/>
  <c r="O10" i="5"/>
  <c r="C42" i="3"/>
  <c r="E41" i="3"/>
  <c r="F159" i="7"/>
  <c r="B4" i="9"/>
  <c r="E63" i="6"/>
  <c r="E59" i="6"/>
  <c r="E60" i="6" s="1"/>
  <c r="E61" i="6" s="1"/>
  <c r="F182" i="7"/>
  <c r="R6" i="5"/>
  <c r="K7" i="5"/>
  <c r="K6" i="5"/>
  <c r="J6" i="5"/>
  <c r="L10" i="5"/>
  <c r="G59" i="2"/>
  <c r="G83" i="2" s="1"/>
  <c r="G60" i="2"/>
  <c r="N17" i="5"/>
  <c r="O17" i="5"/>
  <c r="D179" i="7"/>
  <c r="D180" i="7" s="1"/>
  <c r="F17" i="8" s="1"/>
  <c r="C31" i="8" s="1"/>
  <c r="D31" i="8" s="1"/>
  <c r="D32" i="8" s="1"/>
  <c r="E23" i="6"/>
  <c r="E24" i="6" s="1"/>
  <c r="E25" i="6" s="1"/>
  <c r="E27" i="6"/>
  <c r="G25" i="2"/>
  <c r="E185" i="2"/>
  <c r="F30" i="8"/>
  <c r="K5" i="5"/>
  <c r="E187" i="2"/>
  <c r="H112" i="2"/>
  <c r="F65" i="5"/>
  <c r="F66" i="5" s="1"/>
  <c r="E178" i="2"/>
  <c r="E179" i="2" s="1"/>
  <c r="E183" i="2" s="1"/>
  <c r="J8" i="5"/>
  <c r="G84" i="2" l="1"/>
  <c r="G114" i="2" s="1"/>
  <c r="G85" i="2"/>
  <c r="D4" i="9"/>
  <c r="F31" i="8"/>
  <c r="C4" i="9"/>
  <c r="D68" i="5"/>
  <c r="F67" i="5"/>
  <c r="C43" i="3"/>
  <c r="E42" i="3"/>
  <c r="B5" i="9"/>
  <c r="D5" i="9" s="1"/>
  <c r="D28" i="9" s="1"/>
  <c r="C33" i="8"/>
  <c r="F33" i="8" s="1"/>
  <c r="F34" i="8" s="1"/>
  <c r="F40" i="8" s="1"/>
  <c r="F64" i="8"/>
  <c r="B11" i="9" s="1"/>
  <c r="C47" i="3"/>
  <c r="C39" i="8"/>
  <c r="E31" i="8"/>
  <c r="N18" i="5"/>
  <c r="O18" i="5" s="1"/>
  <c r="F62" i="8"/>
  <c r="B6" i="9"/>
  <c r="D6" i="9" s="1"/>
  <c r="N19" i="5" l="1"/>
  <c r="O19" i="5"/>
  <c r="O22" i="5"/>
  <c r="G115" i="2"/>
  <c r="G116" i="2"/>
  <c r="H143" i="2" s="1"/>
  <c r="H144" i="2" s="1"/>
  <c r="C48" i="3"/>
  <c r="B7" i="9"/>
  <c r="B12" i="9"/>
  <c r="D11" i="9"/>
  <c r="D12" i="9" s="1"/>
  <c r="D69" i="5"/>
  <c r="F68" i="5"/>
  <c r="D27" i="9"/>
  <c r="E27" i="9" s="1"/>
  <c r="E28" i="9" s="1"/>
  <c r="E29" i="9" s="1"/>
  <c r="E30" i="9" s="1"/>
  <c r="E4" i="9"/>
  <c r="E5" i="9" s="1"/>
  <c r="E6" i="9" s="1"/>
  <c r="E10" i="9" s="1"/>
  <c r="E11" i="9" s="1"/>
  <c r="E12" i="9" s="1"/>
  <c r="E13" i="9" s="1"/>
  <c r="E14" i="9" s="1"/>
  <c r="D16" i="9" s="1"/>
  <c r="D7" i="9"/>
  <c r="D33" i="8"/>
  <c r="C44" i="3"/>
  <c r="E43" i="3"/>
  <c r="D70" i="5" l="1"/>
  <c r="F69" i="5"/>
  <c r="D17" i="9"/>
  <c r="D31" i="9"/>
  <c r="E44" i="3"/>
  <c r="E45" i="3" s="1"/>
  <c r="E46" i="3" s="1"/>
  <c r="E47" i="3" s="1"/>
  <c r="E31" i="9"/>
  <c r="E32" i="9" s="1"/>
  <c r="E33" i="9" s="1"/>
  <c r="C49" i="3"/>
  <c r="E48" i="3"/>
  <c r="D9" i="10" l="1"/>
  <c r="D34" i="9"/>
  <c r="E49" i="3"/>
  <c r="C50" i="3"/>
  <c r="E50" i="3" s="1"/>
  <c r="C52" i="3"/>
  <c r="C53" i="3" s="1"/>
  <c r="F70" i="5"/>
  <c r="D71" i="5"/>
  <c r="D72" i="5" l="1"/>
  <c r="F71" i="5"/>
  <c r="E9" i="10"/>
  <c r="E11" i="10" s="1"/>
  <c r="D11" i="10"/>
  <c r="D17" i="10" l="1"/>
  <c r="D18" i="10" s="1"/>
  <c r="D12" i="10"/>
  <c r="E17" i="10"/>
  <c r="E18" i="10" s="1"/>
  <c r="E12" i="10"/>
  <c r="D73" i="5"/>
  <c r="F72" i="5"/>
  <c r="D74" i="5" l="1"/>
  <c r="F73" i="5"/>
  <c r="E21" i="10"/>
  <c r="E15" i="10"/>
  <c r="D21" i="10"/>
  <c r="D15" i="10"/>
  <c r="F74" i="5" l="1"/>
</calcChain>
</file>

<file path=xl/sharedStrings.xml><?xml version="1.0" encoding="utf-8"?>
<sst xmlns="http://schemas.openxmlformats.org/spreadsheetml/2006/main" count="804" uniqueCount="511">
  <si>
    <t>HESAP</t>
  </si>
  <si>
    <t>noksan ödeme 15000-6500=8500</t>
  </si>
  <si>
    <t>mart 2025 ödeme 30-8-2024</t>
  </si>
  <si>
    <t>noksan ödeme gecikme</t>
  </si>
  <si>
    <t>nisan 2025 ödemesi 30-9</t>
  </si>
  <si>
    <t>mayıs 2025  ödemesi 30-10</t>
  </si>
  <si>
    <t>haziran 2025 ödemesi 30-11</t>
  </si>
  <si>
    <t>temmuz 2025 ödemesi 30-12</t>
  </si>
  <si>
    <t>ağustos 2025 ödemesi 30-01-25</t>
  </si>
  <si>
    <t xml:space="preserve">mart ayından itibaren kira bedeli 22000 TL olacak yıllık toplamda aylık ortalama kira 18500 TL olacaktı </t>
  </si>
  <si>
    <t xml:space="preserve">mart bedeli                      </t>
  </si>
  <si>
    <t>eylül 2025 ödemesi 28-2</t>
  </si>
  <si>
    <t>elektrik</t>
  </si>
  <si>
    <t xml:space="preserve">nisan bedeli                              </t>
  </si>
  <si>
    <t xml:space="preserve">mayıs bedeli       oturulan son ay </t>
  </si>
  <si>
    <t>elektrik gecikme</t>
  </si>
  <si>
    <t>su kartı</t>
  </si>
  <si>
    <t>elektrik tuvalet anahtar</t>
  </si>
  <si>
    <t>boya mlz. İşçilik</t>
  </si>
  <si>
    <t>iade ödeme sanayi işbanktan havale</t>
  </si>
  <si>
    <t>iade ödeme sanayi işbanktan havale YAPILACAK</t>
  </si>
  <si>
    <t>ADEM DUMAN - 2021-2025</t>
  </si>
  <si>
    <t>HESAP ÖZETİ</t>
  </si>
  <si>
    <t>DÖNEM 1 Aylık Tutar</t>
  </si>
  <si>
    <t>altın</t>
  </si>
  <si>
    <t>AÜ TL-Adet</t>
  </si>
  <si>
    <t>28-02-2021 27-02-2022 DÖNEMİ</t>
  </si>
  <si>
    <t>gr altın</t>
  </si>
  <si>
    <t>BANKA</t>
  </si>
  <si>
    <t>tutar</t>
  </si>
  <si>
    <t>bakiye</t>
  </si>
  <si>
    <t>DÖNEM 1 Hesabı</t>
  </si>
  <si>
    <t>6 aylık kapanış</t>
  </si>
  <si>
    <t>Ödeme</t>
  </si>
  <si>
    <t>2021-22 Tutarı       24000 TL</t>
  </si>
  <si>
    <t>Dönem Sonu Kalan BAKİYE</t>
  </si>
  <si>
    <t>DÖNEM 2  Aylık Tutar</t>
  </si>
  <si>
    <t>AÜ</t>
  </si>
  <si>
    <t>28-02-2022 27-02-2023 DÖNEMİ</t>
  </si>
  <si>
    <t>Önceki dönem tüfeli  bedel</t>
  </si>
  <si>
    <t>ŞUBAT 2022 TÜFE</t>
  </si>
  <si>
    <t>tüfeli toplam</t>
  </si>
  <si>
    <t>DÖNEM 2 Hesabı</t>
  </si>
  <si>
    <t>Nakit  2000 TL</t>
  </si>
  <si>
    <t>Nakit  3000 TL ödendi</t>
  </si>
  <si>
    <t>Nakit  3000 TL</t>
  </si>
  <si>
    <r>
      <rPr>
        <b/>
        <sz val="11"/>
        <color rgb="FF000000"/>
        <rFont val="Calibri"/>
        <family val="2"/>
        <charset val="162"/>
      </rP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</si>
  <si>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</si>
  <si>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rPr>
        <b/>
        <sz val="11"/>
        <color rgb="FF000000"/>
        <rFont val="Calibri"/>
        <family val="2"/>
        <charset val="162"/>
      </rP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</si>
  <si>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rPr>
        <b/>
        <sz val="11"/>
        <color rgb="FF000000"/>
        <rFont val="Calibri"/>
        <family val="2"/>
        <charset val="162"/>
      </rP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</si>
  <si>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r>
      <rPr>
        <b/>
        <sz val="11"/>
        <color rgb="FF000000"/>
        <rFont val="Calibri"/>
        <family val="2"/>
        <charset val="162"/>
      </rP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</si>
  <si>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rPr>
        <b/>
        <sz val="11"/>
        <color rgb="FF000000"/>
        <rFont val="Calibri"/>
        <family val="2"/>
        <charset val="162"/>
      </rP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</si>
  <si>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</si>
  <si>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</si>
  <si>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ŞUBAT 2023 TÜFE</t>
  </si>
  <si>
    <t>DÖNEM 3 Hesabı 12*5=   60000</t>
  </si>
  <si>
    <r>
      <rPr>
        <sz val="10"/>
        <color rgb="FF000000"/>
        <rFont val="Liberation Sans1"/>
        <charset val="162"/>
      </rP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</si>
  <si>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rPr>
        <sz val="10"/>
        <color rgb="FF000000"/>
        <rFont val="Liberation Sans1"/>
        <charset val="162"/>
      </rP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</si>
  <si>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rPr>
        <sz val="10"/>
        <color rgb="FF000000"/>
        <rFont val="Liberation Sans1"/>
        <charset val="162"/>
      </rP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</si>
  <si>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rPr>
        <sz val="10"/>
        <color rgb="FF000000"/>
        <rFont val="Liberation Sans1"/>
        <charset val="162"/>
      </rP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</si>
  <si>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</si>
  <si>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rPr>
        <sz val="10"/>
        <color rgb="FF000000"/>
        <rFont val="Liberation Sans1"/>
        <charset val="162"/>
      </rP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</si>
  <si>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</si>
  <si>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</si>
  <si>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ŞUBAT 2024 TÜFE</t>
  </si>
  <si>
    <t>DÖNEM 4 Hesabı           151216</t>
  </si>
  <si>
    <t>DÖNEM 3 Hesabı</t>
  </si>
  <si>
    <r>
      <rPr>
        <sz val="10"/>
        <color rgb="FF000000"/>
        <rFont val="Liberation Sans1"/>
        <charset val="162"/>
      </rP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</si>
  <si>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rPr>
        <sz val="10"/>
        <color rgb="FF000000"/>
        <rFont val="Liberation Sans1"/>
        <charset val="162"/>
      </rP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</si>
  <si>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rPr>
        <sz val="10"/>
        <color rgb="FF000000"/>
        <rFont val="Liberation Sans1"/>
        <charset val="162"/>
      </rP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</si>
  <si>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rPr>
        <sz val="10"/>
        <color rgb="FF000000"/>
        <rFont val="Liberation Sans1"/>
        <charset val="162"/>
      </rP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</si>
  <si>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</si>
  <si>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rPr>
        <sz val="10"/>
        <color rgb="FF000000"/>
        <rFont val="Liberation Sans1"/>
        <charset val="162"/>
      </rP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</si>
  <si>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banka</t>
  </si>
  <si>
    <t>DÖNEM 5 Aylık Tutar</t>
  </si>
  <si>
    <t xml:space="preserve">28-02-2025 28-02-2026 DÖNEMİ </t>
  </si>
  <si>
    <t>ŞUBAT 2025 TÜFE</t>
  </si>
  <si>
    <r>
      <rPr>
        <b/>
        <sz val="11"/>
        <color rgb="FF000000"/>
        <rFont val="Calibri"/>
        <family val="2"/>
        <charset val="162"/>
      </rP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</si>
  <si>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t>bankaya yatış trh</t>
  </si>
  <si>
    <r>
      <rPr>
        <sz val="10"/>
        <color rgb="FF000000"/>
        <rFont val="Liberation Sans1"/>
        <charset val="162"/>
      </rP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</si>
  <si>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r>
      <rPr>
        <sz val="10"/>
        <color rgb="FF000000"/>
        <rFont val="Liberation Sans1"/>
        <charset val="162"/>
      </rP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</si>
  <si>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rPr>
        <sz val="10"/>
        <color rgb="FF000000"/>
        <rFont val="Liberation Sans1"/>
        <charset val="162"/>
      </rPr>
      <t>Nakit  22104 TL                         09</t>
    </r>
    <r>
      <rPr>
        <b/>
        <sz val="10"/>
        <color rgb="FFFF0000"/>
        <rFont val="Liberation Sans1"/>
        <charset val="162"/>
      </rPr>
      <t>-11-2024</t>
    </r>
  </si>
  <si>
    <r>
      <rPr>
        <sz val="10"/>
        <color rgb="FF000000"/>
        <rFont val="Liberation Sans1"/>
        <charset val="162"/>
      </rPr>
      <t xml:space="preserve">Nakit  22104 TL kira bedeli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</si>
  <si>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r>
      <rPr>
        <sz val="10"/>
        <color rgb="FF000000"/>
        <rFont val="Liberation Sans1"/>
        <charset val="162"/>
      </rPr>
      <t xml:space="preserve">Nakit  22104 TL  elden alınan    </t>
    </r>
    <r>
      <rPr>
        <b/>
        <sz val="10"/>
        <color rgb="FFFF0000"/>
        <rFont val="Liberation Sans1"/>
        <charset val="162"/>
      </rPr>
      <t>14-01-2025</t>
    </r>
  </si>
  <si>
    <r>
      <rPr>
        <sz val="10"/>
        <color rgb="FF000000"/>
        <rFont val="Liberation Sans1"/>
        <charset val="162"/>
      </rPr>
      <t xml:space="preserve">Nakit  22104 TL  elden alınan    </t>
    </r>
    <r>
      <rPr>
        <b/>
        <sz val="10"/>
        <color rgb="FFFF0000"/>
        <rFont val="Liberation Sans1"/>
        <charset val="162"/>
      </rPr>
      <t>17-02-2025</t>
    </r>
  </si>
  <si>
    <r>
      <rPr>
        <sz val="10"/>
        <color rgb="FF000000"/>
        <rFont val="Liberation Sans1"/>
        <charset val="162"/>
      </rPr>
      <t xml:space="preserve">Nakit  22104 TL  elden alınan    </t>
    </r>
    <r>
      <rPr>
        <b/>
        <sz val="10"/>
        <color rgb="FFFF0000"/>
        <rFont val="Liberation Sans1"/>
        <charset val="162"/>
      </rPr>
      <t>05-03-2025</t>
    </r>
  </si>
  <si>
    <t xml:space="preserve">Nakit  22104 TL                    </t>
  </si>
  <si>
    <t>30.04.20245</t>
  </si>
  <si>
    <t>Nakit  22104 TL son oturduğu ay</t>
  </si>
  <si>
    <t>Nakit  22104 TL bu ay başında boşalttı</t>
  </si>
  <si>
    <t>Nakit  22104 TL</t>
  </si>
  <si>
    <t>toplam banka ödemesi</t>
  </si>
  <si>
    <t>Banka Ödemesi</t>
  </si>
  <si>
    <t>Tüfeli GENEL TOPLAM</t>
  </si>
  <si>
    <t>Ödenmesi Gereken</t>
  </si>
  <si>
    <t>HESAP SIFIRLAMA</t>
  </si>
  <si>
    <t>aylık ta noksan ödeme 15000-6500=8500</t>
  </si>
  <si>
    <t>yıllık tüfe</t>
  </si>
  <si>
    <t>5. dönem için toplam ödeme</t>
  </si>
  <si>
    <t>mart nisan mayıs bedeli  3*15000</t>
  </si>
  <si>
    <t>Yıllık peşin ödemeye geçildi</t>
  </si>
  <si>
    <t>2025-2026 dönemi için ödenecek bakiye için senet yapıldı</t>
  </si>
  <si>
    <t>senet</t>
  </si>
  <si>
    <t>Sennedin ödenmesiyle hesap sıfırlanacak</t>
  </si>
  <si>
    <t xml:space="preserve">senet sözleşme taahhüt  imzalanmadı </t>
  </si>
  <si>
    <t>boşaltacağını söyledi</t>
  </si>
  <si>
    <t>anahtarı teslim etti 2 adet</t>
  </si>
  <si>
    <t>1 anahtarı vermedi</t>
  </si>
  <si>
    <t>toplam alınan</t>
  </si>
  <si>
    <t>aylık kira  ortalama gram altın</t>
  </si>
  <si>
    <t>doğuş temmuz kira bedeli</t>
  </si>
  <si>
    <t xml:space="preserve"> en düşük</t>
  </si>
  <si>
    <t>ilk kiraya göre</t>
  </si>
  <si>
    <t>sonraki 6 ay tahmini (+ enflasyon</t>
  </si>
  <si>
    <t>tahmini enflasyon / 2</t>
  </si>
  <si>
    <t>en yüksek</t>
  </si>
  <si>
    <t>ilk kiraya göre olması gereken</t>
  </si>
  <si>
    <t>en yüksek kiraya göre olması gereken</t>
  </si>
  <si>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</si>
  <si>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</si>
  <si>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</si>
  <si>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</si>
  <si>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</si>
  <si>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</si>
  <si>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</si>
  <si>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</si>
  <si>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Bakiye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</si>
  <si>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</si>
  <si>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</si>
  <si>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</si>
  <si>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</si>
  <si>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</si>
  <si>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</si>
  <si>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</si>
  <si>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</si>
  <si>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</si>
  <si>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</si>
  <si>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28-02-24*27-02-25</t>
  </si>
  <si>
    <t>28/02/25-31/12/25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</si>
  <si>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</si>
  <si>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</si>
  <si>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</si>
  <si>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</si>
  <si>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</si>
  <si>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</si>
  <si>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</si>
  <si>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</si>
  <si>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</si>
  <si>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</si>
  <si>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</si>
  <si>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</si>
  <si>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</si>
  <si>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</si>
  <si>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</si>
  <si>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</si>
  <si>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</si>
  <si>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</si>
  <si>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28-02-2025 -31-12-2025 bedeli</t>
  </si>
  <si>
    <t>Ödenecek</t>
  </si>
  <si>
    <t>Ödenen</t>
  </si>
  <si>
    <t>28-02-2025 -27-02-2026 için yapılan ödemeler</t>
  </si>
  <si>
    <t>son ödeme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</si>
  <si>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</si>
  <si>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</si>
  <si>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</si>
  <si>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</si>
  <si>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</si>
  <si>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</si>
  <si>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</si>
  <si>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</si>
  <si>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Masraf</t>
  </si>
  <si>
    <t>Kalan NET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</si>
  <si>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</si>
  <si>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</si>
  <si>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</si>
  <si>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</si>
  <si>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</si>
  <si>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</si>
  <si>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</si>
  <si>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</si>
  <si>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</si>
  <si>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</si>
  <si>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</si>
  <si>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</si>
  <si>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</si>
  <si>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</si>
  <si>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</si>
  <si>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</si>
  <si>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</si>
  <si>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</si>
  <si>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</si>
  <si>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</si>
  <si>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</si>
  <si>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</si>
  <si>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</si>
  <si>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</si>
  <si>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</si>
  <si>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</si>
  <si>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</si>
  <si>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</si>
  <si>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</si>
  <si>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</si>
  <si>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</si>
  <si>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</si>
  <si>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</si>
  <si>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</si>
  <si>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</si>
  <si>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</si>
  <si>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</si>
  <si>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</si>
  <si>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</si>
  <si>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</si>
  <si>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</si>
  <si>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</si>
  <si>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</si>
  <si>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</si>
  <si>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</si>
  <si>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</si>
  <si>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</si>
  <si>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</si>
  <si>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</si>
  <si>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</si>
  <si>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</si>
  <si>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</si>
  <si>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</si>
  <si>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</si>
  <si>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</si>
  <si>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</si>
  <si>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</si>
  <si>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</si>
  <si>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</si>
  <si>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</si>
  <si>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</si>
  <si>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</si>
  <si>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</si>
  <si>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</si>
  <si>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</si>
  <si>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</si>
  <si>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</si>
  <si>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</si>
  <si>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</si>
  <si>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</si>
  <si>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</si>
  <si>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</si>
  <si>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</si>
  <si>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</si>
  <si>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</si>
  <si>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</si>
  <si>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</si>
  <si>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</si>
  <si>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</si>
  <si>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</si>
  <si>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</si>
  <si>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</si>
  <si>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</si>
  <si>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</si>
  <si>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</si>
  <si>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</si>
  <si>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</si>
  <si>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</si>
  <si>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</si>
  <si>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</si>
  <si>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</si>
  <si>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</si>
  <si>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</si>
  <si>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</si>
  <si>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</si>
  <si>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</si>
  <si>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</si>
  <si>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</si>
  <si>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</si>
  <si>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</si>
  <si>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</si>
  <si>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</si>
  <si>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</si>
  <si>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</si>
  <si>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</si>
  <si>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</si>
  <si>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</si>
  <si>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</si>
  <si>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</si>
  <si>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</si>
  <si>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</si>
  <si>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</si>
  <si>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</si>
  <si>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</si>
  <si>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</si>
  <si>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</si>
  <si>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</si>
  <si>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</si>
  <si>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</si>
  <si>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</si>
  <si>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</si>
  <si>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</si>
  <si>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</si>
  <si>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</si>
  <si>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</si>
  <si>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</si>
  <si>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</si>
  <si>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</si>
  <si>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</si>
  <si>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</si>
  <si>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</si>
  <si>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</si>
  <si>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</si>
  <si>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</si>
  <si>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</si>
  <si>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</si>
  <si>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</si>
  <si>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</si>
  <si>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</si>
  <si>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</si>
  <si>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</si>
  <si>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</si>
  <si>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</si>
  <si>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</si>
  <si>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</si>
  <si>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</si>
  <si>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</si>
  <si>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</si>
  <si>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</si>
  <si>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</si>
  <si>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</si>
  <si>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</si>
  <si>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</si>
  <si>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</si>
  <si>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</si>
  <si>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</si>
  <si>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</si>
  <si>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</si>
  <si>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</si>
  <si>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</si>
  <si>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</si>
  <si>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</si>
  <si>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</si>
  <si>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</si>
  <si>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</si>
  <si>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</si>
  <si>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</si>
  <si>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</si>
  <si>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</si>
  <si>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</si>
  <si>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</si>
  <si>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</si>
  <si>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</si>
  <si>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</si>
  <si>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</si>
  <si>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</si>
  <si>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</si>
  <si>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</si>
  <si>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</si>
  <si>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</si>
  <si>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</si>
  <si>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</si>
  <si>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</si>
  <si>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</si>
  <si>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</si>
  <si>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</si>
  <si>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</si>
  <si>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</si>
  <si>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</si>
  <si>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</si>
  <si>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</si>
  <si>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</si>
  <si>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</si>
  <si>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</si>
  <si>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</si>
  <si>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</si>
  <si>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</si>
  <si>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</si>
  <si>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</si>
  <si>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</si>
  <si>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</si>
  <si>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</si>
  <si>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</si>
  <si>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</si>
  <si>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</si>
  <si>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</si>
  <si>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</si>
  <si>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</si>
  <si>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</si>
  <si>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</si>
  <si>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</si>
  <si>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</si>
  <si>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</si>
  <si>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</si>
  <si>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</si>
  <si>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</si>
  <si>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</si>
  <si>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</si>
  <si>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</si>
  <si>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</si>
  <si>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</si>
  <si>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</si>
  <si>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</si>
  <si>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</si>
  <si>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</si>
  <si>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</si>
  <si>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</si>
  <si>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</si>
  <si>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</si>
  <si>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</si>
  <si>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</si>
  <si>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</si>
  <si>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</si>
  <si>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</si>
  <si>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</si>
  <si>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</si>
  <si>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</si>
  <si>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</si>
  <si>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</si>
  <si>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</si>
  <si>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</si>
  <si>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</si>
  <si>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</si>
  <si>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</si>
  <si>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</si>
  <si>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</si>
  <si>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</si>
  <si>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</si>
  <si>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</si>
  <si>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</si>
  <si>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</si>
  <si>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</si>
  <si>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</si>
  <si>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</si>
  <si>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rPr>
        <sz val="11"/>
        <color rgb="FF000000"/>
        <rFont val="Calibri"/>
        <family val="2"/>
        <charset val="162"/>
      </rP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</si>
  <si>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</si>
  <si>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</si>
  <si>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</si>
  <si>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</si>
  <si>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</si>
  <si>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</si>
  <si>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</si>
  <si>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</si>
  <si>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</si>
  <si>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</si>
  <si>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</si>
  <si>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</si>
  <si>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</si>
  <si>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</si>
  <si>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</si>
  <si>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</si>
  <si>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</si>
  <si>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</si>
  <si>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</si>
  <si>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</si>
  <si>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</si>
  <si>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</si>
  <si>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</si>
  <si>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</si>
  <si>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</si>
  <si>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</si>
  <si>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</si>
  <si>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</si>
  <si>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</si>
  <si>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</si>
  <si>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</si>
  <si>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</si>
  <si>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</si>
  <si>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</si>
  <si>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</si>
  <si>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</si>
  <si>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</si>
  <si>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</si>
  <si>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</si>
  <si>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</si>
  <si>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</si>
  <si>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</si>
  <si>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</si>
  <si>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</si>
  <si>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</si>
  <si>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</si>
  <si>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</si>
  <si>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</si>
  <si>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</si>
  <si>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</si>
  <si>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</si>
  <si>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</si>
  <si>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</si>
  <si>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</si>
  <si>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</si>
  <si>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</si>
  <si>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</si>
  <si>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</si>
  <si>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</si>
  <si>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</si>
  <si>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</si>
  <si>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</si>
  <si>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</si>
  <si>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</si>
  <si>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</si>
  <si>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</si>
  <si>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</si>
  <si>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</si>
  <si>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</si>
  <si>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</si>
  <si>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</si>
  <si>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</si>
  <si>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</si>
  <si>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</si>
  <si>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</si>
  <si>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</si>
  <si>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</si>
  <si>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</si>
  <si>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</si>
  <si>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</si>
  <si>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</si>
  <si>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</si>
  <si>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</si>
  <si>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işbank ta talimat ile havale edildi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</si>
</sst>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/mm/yy;@"/>
    <numFmt numFmtId="165" formatCode="#,##0&quot; Tl/gr&quot;"/>
    <numFmt numFmtId="166" formatCode="\ #,##0.00\ ;\-#,##0.00\ ;&quot; -&quot;#\ ;\ @\ "/>
    <numFmt numFmtId="167" formatCode="%0"/>
    <numFmt numFmtId="168" formatCode="%0.00"/>
    <numFmt numFmtId="169" formatCode="[$-F800]dddd&quot;, &quot;mmmm\ dd&quot;, &quot;yyyy"/>
    <numFmt numFmtId="170" formatCode="dd/mmm"/>
    <numFmt numFmtId="171" formatCode="dd\.mm\.yyyy"/>
    <numFmt numFmtId="172" formatCode="#,##0.000&quot; Gr/ay&quot;"/>
    <numFmt numFmtId="173" formatCode="dd/mm/yyyy"/>
    <numFmt numFmtId="174" formatCode="#,##0.00&quot; Tl/gr&quot;"/>
    <numFmt numFmtId="175" formatCode="#,##0&quot; Dönem&quot;"/>
    <numFmt numFmtId="176" formatCode="#,##0&quot; TL/ay&quot;"/>
    <numFmt numFmtId="177" formatCode="d\.mm\.yyyy"/>
    <numFmt numFmtId="178" formatCode="dd\.mm\.yy;@"/>
    <numFmt numFmtId="179" formatCode="d\.mmm"/>
    <numFmt numFmtId="180" formatCode="[$-41F]dddd&quot;, &quot;mmmm\ dd&quot;, &quot;yyyy"/>
    <numFmt numFmtId="181" formatCode="\-#,##0.00;[Red]\-#,##0.00"/>
    <numFmt numFmtId="182" formatCode="[$$-409]#,##0.00;[Red]\-[$$-409]#,##0.00"/>
    <numFmt numFmtId="183" formatCode="[$-41F]General"/>
    <numFmt numFmtId="184" formatCode="[$-41F]#,##0.00"/>
    <numFmt numFmtId="185" formatCode="[$]@"/>
    <numFmt numFmtId="186" formatCode="[$-41F]%0.00"/>
    <numFmt numFmtId="187" formatCode="#,##0.00000"/>
    <numFmt numFmtId="188" formatCode="[$₺-41F]#,##0.00;[Red]\-[$₺-41F]#,##0.00"/>
    <numFmt numFmtId="189" formatCode="[$$-409]#,##0.00;[Red][$$-409]#,##0.00"/>
    <numFmt numFmtId="190" formatCode="mmm\.yy"/>
    <numFmt numFmtId="191" formatCode="0.0000%"/>
  </numFmts>
  <fonts count="68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name val="Arial"/>
      <family val="2"/>
      <charset val="162"/>
    </font>
    <font>
      <sz val="11"/>
      <color theme="1"/>
      <name val="Calibri"/>
      <family val="2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4"/>
      <color rgb="FF000000"/>
      <name val="Liberation Sans1"/>
      <charset val="162"/>
    </font>
    <font>
      <b/>
      <sz val="10"/>
      <name val="Liberation Sans1"/>
      <charset val="162"/>
    </font>
    <font>
      <b/>
      <sz val="10"/>
      <color rgb="FFFF0000"/>
      <name val="Liberation Sans1"/>
      <charset val="162"/>
    </font>
    <font>
      <b/>
      <sz val="11"/>
      <color rgb="FF000000"/>
      <name val="Calibri"/>
      <family val="2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Liberation Sans1"/>
      <charset val="162"/>
    </font>
    <font>
      <b/>
      <u/>
      <sz val="11"/>
      <color rgb="FFFF0000"/>
      <name val="Calibri"/>
      <family val="2"/>
      <charset val="162"/>
    </font>
    <font>
      <b/>
      <i/>
      <u/>
      <sz val="11"/>
      <color rgb="FFFF0000"/>
      <name val="Calibri"/>
      <family val="2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u/>
      <sz val="10"/>
      <color rgb="FF000000"/>
      <name val="Adobe Gothic Std B"/>
      <family val="2"/>
      <charset val="128"/>
    </font>
    <font>
      <b/>
      <sz val="10"/>
      <color rgb="FF000000"/>
      <name val="Adobe Gothic Std B"/>
      <family val="2"/>
      <charset val="128"/>
    </font>
    <font>
      <sz val="9"/>
      <name val="Arial"/>
      <family val="2"/>
      <charset val="162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sz val="11"/>
      <color rgb="FF000000"/>
      <name val="Calibri"/>
      <family val="2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sz val="10"/>
      <color rgb="FF000000"/>
      <name val="Liberation Sans1"/>
      <charset val="162"/>
    </font>
  </fonts>
  <fills count="25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EEBF7"/>
      </patternFill>
    </fill>
    <fill>
      <patternFill patternType="solid">
        <fgColor rgb="FFFFCCCC"/>
        <bgColor rgb="FFF8CBAD"/>
      </patternFill>
    </fill>
    <fill>
      <patternFill patternType="solid">
        <fgColor rgb="FFCC0000"/>
        <bgColor rgb="FFC9211E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7" tint="0.79989013336588644"/>
        <bgColor rgb="FFFFFFCC"/>
      </patternFill>
    </fill>
    <fill>
      <patternFill patternType="solid">
        <fgColor theme="8" tint="0.79989013336588644"/>
        <bgColor rgb="FFE2EFDA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8" tint="0.59987182226020086"/>
        <bgColor rgb="FFDDDDDD"/>
      </patternFill>
    </fill>
    <fill>
      <patternFill patternType="solid">
        <fgColor theme="7"/>
        <bgColor rgb="FFFFD966"/>
      </patternFill>
    </fill>
    <fill>
      <patternFill patternType="solid">
        <fgColor rgb="FFFFFF00"/>
        <bgColor rgb="FFFFD966"/>
      </patternFill>
    </fill>
    <fill>
      <patternFill patternType="solid">
        <fgColor theme="9" tint="0.39988402966399123"/>
        <bgColor rgb="FFAFD095"/>
      </patternFill>
    </fill>
    <fill>
      <patternFill patternType="solid">
        <fgColor rgb="FF81D41A"/>
        <bgColor rgb="FFA9D18E"/>
      </patternFill>
    </fill>
    <fill>
      <patternFill patternType="solid">
        <fgColor rgb="FFAFD095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8CBAD"/>
      </patternFill>
    </fill>
    <fill>
      <patternFill patternType="solid">
        <fgColor rgb="FFF8CBAD"/>
        <bgColor rgb="FFFFCCCC"/>
      </patternFill>
    </fill>
    <fill>
      <patternFill patternType="solid">
        <fgColor rgb="FFE2EFDA"/>
        <bgColor rgb="FFE2F0D9"/>
      </patternFill>
    </fill>
    <fill>
      <patternFill patternType="solid">
        <fgColor rgb="FFFCE4D6"/>
        <bgColor rgb="FFFBE5D6"/>
      </patternFill>
    </fill>
    <fill>
      <patternFill patternType="solid">
        <fgColor rgb="FFE8F2A1"/>
        <bgColor rgb="FFE2F0D9"/>
      </patternFill>
    </fill>
  </fills>
  <borders count="4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5">
    <xf numFmtId="0" fontId="0" fillId="0" borderId="0"/>
    <xf numFmtId="166" fontId="67" fillId="0" borderId="0" applyBorder="0" applyProtection="0"/>
    <xf numFmtId="167" fontId="67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0" borderId="0">
      <alignment vertical="center"/>
    </xf>
    <xf numFmtId="0" fontId="13" fillId="0" borderId="0"/>
    <xf numFmtId="0" fontId="13" fillId="0" borderId="0"/>
    <xf numFmtId="0" fontId="14" fillId="8" borderId="1" applyProtection="0"/>
    <xf numFmtId="0" fontId="15" fillId="0" borderId="0" applyBorder="0" applyProtection="0"/>
    <xf numFmtId="0" fontId="67" fillId="0" borderId="0" applyBorder="0" applyProtection="0"/>
    <xf numFmtId="0" fontId="67" fillId="0" borderId="0" applyBorder="0" applyProtection="0"/>
    <xf numFmtId="0" fontId="3" fillId="0" borderId="0" applyBorder="0" applyProtection="0"/>
    <xf numFmtId="183" fontId="47" fillId="0" borderId="0" applyBorder="0" applyProtection="0"/>
  </cellStyleXfs>
  <cellXfs count="375">
    <xf numFmtId="0" fontId="0" fillId="0" borderId="0" xfId="0"/>
    <xf numFmtId="180" fontId="2" fillId="0" borderId="0" xfId="0" applyNumberFormat="1" applyFont="1" applyBorder="1" applyAlignment="1"/>
    <xf numFmtId="180" fontId="40" fillId="0" borderId="0" xfId="24" applyNumberFormat="1" applyFont="1" applyBorder="1" applyAlignment="1" applyProtection="1"/>
    <xf numFmtId="180" fontId="40" fillId="0" borderId="0" xfId="0" applyNumberFormat="1" applyFont="1" applyBorder="1" applyAlignment="1">
      <alignment horizontal="left"/>
    </xf>
    <xf numFmtId="180" fontId="40" fillId="0" borderId="0" xfId="0" applyNumberFormat="1" applyFont="1" applyBorder="1" applyAlignment="1"/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1" applyFont="1" applyBorder="1" applyAlignment="1" applyProtection="1"/>
    <xf numFmtId="164" fontId="16" fillId="0" borderId="0" xfId="0" applyNumberFormat="1" applyFont="1"/>
    <xf numFmtId="165" fontId="17" fillId="0" borderId="0" xfId="0" applyNumberFormat="1" applyFont="1"/>
    <xf numFmtId="0" fontId="18" fillId="0" borderId="0" xfId="0" applyFont="1"/>
    <xf numFmtId="164" fontId="0" fillId="9" borderId="0" xfId="0" applyNumberFormat="1" applyFill="1"/>
    <xf numFmtId="165" fontId="0" fillId="9" borderId="0" xfId="0" applyNumberFormat="1" applyFill="1"/>
    <xf numFmtId="0" fontId="0" fillId="9" borderId="0" xfId="0" applyFont="1" applyFill="1"/>
    <xf numFmtId="4" fontId="0" fillId="9" borderId="0" xfId="0" applyNumberFormat="1" applyFill="1"/>
    <xf numFmtId="164" fontId="0" fillId="10" borderId="0" xfId="0" applyNumberFormat="1" applyFill="1"/>
    <xf numFmtId="165" fontId="0" fillId="10" borderId="0" xfId="0" applyNumberFormat="1" applyFill="1"/>
    <xf numFmtId="0" fontId="2" fillId="10" borderId="0" xfId="0" applyFont="1" applyFill="1"/>
    <xf numFmtId="0" fontId="0" fillId="10" borderId="0" xfId="0" applyFill="1"/>
    <xf numFmtId="4" fontId="0" fillId="10" borderId="0" xfId="0" applyNumberFormat="1" applyFill="1"/>
    <xf numFmtId="168" fontId="0" fillId="9" borderId="0" xfId="2" applyNumberFormat="1" applyFont="1" applyFill="1" applyBorder="1" applyAlignment="1" applyProtection="1"/>
    <xf numFmtId="0" fontId="19" fillId="10" borderId="0" xfId="0" applyFont="1" applyFill="1"/>
    <xf numFmtId="168" fontId="0" fillId="10" borderId="0" xfId="2" applyNumberFormat="1" applyFont="1" applyFill="1" applyBorder="1" applyAlignment="1" applyProtection="1"/>
    <xf numFmtId="164" fontId="0" fillId="11" borderId="0" xfId="0" applyNumberFormat="1" applyFill="1"/>
    <xf numFmtId="165" fontId="0" fillId="11" borderId="0" xfId="0" applyNumberFormat="1" applyFill="1"/>
    <xf numFmtId="0" fontId="0" fillId="11" borderId="0" xfId="0" applyFont="1" applyFill="1"/>
    <xf numFmtId="4" fontId="0" fillId="11" borderId="0" xfId="0" applyNumberFormat="1" applyFill="1"/>
    <xf numFmtId="164" fontId="0" fillId="12" borderId="0" xfId="0" applyNumberFormat="1" applyFill="1"/>
    <xf numFmtId="165" fontId="0" fillId="12" borderId="0" xfId="0" applyNumberFormat="1" applyFill="1"/>
    <xf numFmtId="0" fontId="0" fillId="12" borderId="0" xfId="0" applyFont="1" applyFill="1"/>
    <xf numFmtId="4" fontId="0" fillId="12" borderId="0" xfId="0" applyNumberFormat="1" applyFill="1"/>
    <xf numFmtId="4" fontId="0" fillId="0" borderId="0" xfId="0" applyNumberFormat="1"/>
    <xf numFmtId="0" fontId="0" fillId="13" borderId="0" xfId="0" applyFont="1" applyFill="1"/>
    <xf numFmtId="4" fontId="2" fillId="13" borderId="0" xfId="0" applyNumberFormat="1" applyFont="1" applyFill="1"/>
    <xf numFmtId="4" fontId="0" fillId="13" borderId="0" xfId="0" applyNumberFormat="1" applyFill="1"/>
    <xf numFmtId="0" fontId="2" fillId="13" borderId="0" xfId="0" applyFont="1" applyFill="1"/>
    <xf numFmtId="164" fontId="20" fillId="0" borderId="0" xfId="0" applyNumberFormat="1" applyFont="1"/>
    <xf numFmtId="0" fontId="2" fillId="14" borderId="0" xfId="0" applyFont="1" applyFill="1"/>
    <xf numFmtId="0" fontId="0" fillId="14" borderId="0" xfId="0" applyFill="1"/>
    <xf numFmtId="4" fontId="0" fillId="14" borderId="0" xfId="0" applyNumberFormat="1" applyFill="1"/>
    <xf numFmtId="169" fontId="0" fillId="0" borderId="0" xfId="0" applyNumberFormat="1"/>
    <xf numFmtId="0" fontId="21" fillId="0" borderId="0" xfId="0" applyFont="1"/>
    <xf numFmtId="165" fontId="21" fillId="0" borderId="0" xfId="0" applyNumberFormat="1" applyFont="1"/>
    <xf numFmtId="0" fontId="22" fillId="0" borderId="0" xfId="0" applyFont="1"/>
    <xf numFmtId="0" fontId="0" fillId="13" borderId="2" xfId="0" applyFont="1" applyFill="1" applyBorder="1" applyAlignment="1">
      <alignment horizontal="center"/>
    </xf>
    <xf numFmtId="0" fontId="23" fillId="0" borderId="0" xfId="0" applyFont="1"/>
    <xf numFmtId="0" fontId="24" fillId="0" borderId="0" xfId="0" applyFont="1"/>
    <xf numFmtId="170" fontId="24" fillId="13" borderId="3" xfId="0" applyNumberFormat="1" applyFont="1" applyFill="1" applyBorder="1" applyAlignment="1">
      <alignment horizontal="center"/>
    </xf>
    <xf numFmtId="0" fontId="25" fillId="0" borderId="0" xfId="0" applyFont="1" applyAlignment="1">
      <alignment horizontal="right"/>
    </xf>
    <xf numFmtId="4" fontId="25" fillId="15" borderId="0" xfId="0" applyNumberFormat="1" applyFont="1" applyFill="1" applyAlignment="1">
      <alignment horizontal="right"/>
    </xf>
    <xf numFmtId="170" fontId="0" fillId="13" borderId="3" xfId="0" applyNumberFormat="1" applyFill="1" applyBorder="1" applyAlignment="1">
      <alignment horizontal="center"/>
    </xf>
    <xf numFmtId="4" fontId="21" fillId="0" borderId="0" xfId="0" applyNumberFormat="1" applyFont="1" applyAlignment="1">
      <alignment horizontal="right"/>
    </xf>
    <xf numFmtId="0" fontId="0" fillId="13" borderId="3" xfId="0" applyFont="1" applyFill="1" applyBorder="1" applyAlignment="1">
      <alignment horizontal="center"/>
    </xf>
    <xf numFmtId="0" fontId="2" fillId="0" borderId="0" xfId="0" applyFont="1"/>
    <xf numFmtId="0" fontId="21" fillId="0" borderId="0" xfId="0" applyFont="1" applyAlignment="1">
      <alignment horizontal="right"/>
    </xf>
    <xf numFmtId="171" fontId="26" fillId="0" borderId="0" xfId="0" applyNumberFormat="1" applyFont="1"/>
    <xf numFmtId="165" fontId="26" fillId="0" borderId="0" xfId="0" applyNumberFormat="1" applyFont="1"/>
    <xf numFmtId="0" fontId="0" fillId="13" borderId="4" xfId="0" applyFont="1" applyFill="1" applyBorder="1"/>
    <xf numFmtId="171" fontId="0" fillId="0" borderId="0" xfId="0" applyNumberFormat="1"/>
    <xf numFmtId="172" fontId="0" fillId="11" borderId="0" xfId="0" applyNumberFormat="1" applyFill="1"/>
    <xf numFmtId="4" fontId="0" fillId="0" borderId="0" xfId="0" applyNumberFormat="1" applyFont="1" applyAlignment="1">
      <alignment horizontal="right"/>
    </xf>
    <xf numFmtId="0" fontId="21" fillId="12" borderId="0" xfId="0" applyFont="1" applyFill="1"/>
    <xf numFmtId="168" fontId="0" fillId="12" borderId="0" xfId="2" applyNumberFormat="1" applyFont="1" applyFill="1" applyBorder="1" applyAlignment="1" applyProtection="1"/>
    <xf numFmtId="166" fontId="0" fillId="12" borderId="0" xfId="1" applyFont="1" applyFill="1" applyBorder="1" applyAlignment="1" applyProtection="1"/>
    <xf numFmtId="4" fontId="0" fillId="16" borderId="0" xfId="0" applyNumberFormat="1" applyFill="1"/>
    <xf numFmtId="168" fontId="0" fillId="0" borderId="0" xfId="2" applyNumberFormat="1" applyFont="1" applyBorder="1" applyAlignment="1" applyProtection="1"/>
    <xf numFmtId="49" fontId="28" fillId="0" borderId="0" xfId="0" applyNumberFormat="1" applyFont="1"/>
    <xf numFmtId="0" fontId="17" fillId="0" borderId="0" xfId="0" applyFont="1"/>
    <xf numFmtId="0" fontId="29" fillId="0" borderId="0" xfId="0" applyFont="1"/>
    <xf numFmtId="0" fontId="25" fillId="0" borderId="0" xfId="0" applyFont="1"/>
    <xf numFmtId="0" fontId="27" fillId="0" borderId="0" xfId="0" applyFont="1"/>
    <xf numFmtId="0" fontId="30" fillId="15" borderId="5" xfId="0" applyFont="1" applyFill="1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165" fontId="0" fillId="0" borderId="8" xfId="0" applyNumberFormat="1" applyBorder="1"/>
    <xf numFmtId="0" fontId="22" fillId="0" borderId="8" xfId="0" applyFont="1" applyBorder="1"/>
    <xf numFmtId="0" fontId="0" fillId="0" borderId="8" xfId="0" applyBorder="1"/>
    <xf numFmtId="0" fontId="29" fillId="0" borderId="9" xfId="0" applyFont="1" applyBorder="1"/>
    <xf numFmtId="0" fontId="0" fillId="0" borderId="10" xfId="0" applyBorder="1"/>
    <xf numFmtId="0" fontId="0" fillId="0" borderId="11" xfId="0" applyBorder="1"/>
    <xf numFmtId="165" fontId="0" fillId="0" borderId="0" xfId="0" applyNumberFormat="1" applyBorder="1"/>
    <xf numFmtId="0" fontId="24" fillId="0" borderId="0" xfId="0" applyFont="1" applyBorder="1"/>
    <xf numFmtId="0" fontId="25" fillId="0" borderId="0" xfId="0" applyFont="1" applyBorder="1" applyAlignment="1">
      <alignment horizontal="right"/>
    </xf>
    <xf numFmtId="4" fontId="25" fillId="15" borderId="12" xfId="0" applyNumberFormat="1" applyFont="1" applyFill="1" applyBorder="1" applyAlignment="1">
      <alignment horizontal="right"/>
    </xf>
    <xf numFmtId="0" fontId="0" fillId="0" borderId="13" xfId="0" applyBorder="1"/>
    <xf numFmtId="0" fontId="0" fillId="0" borderId="14" xfId="0" applyBorder="1"/>
    <xf numFmtId="165" fontId="0" fillId="0" borderId="15" xfId="0" applyNumberFormat="1" applyBorder="1"/>
    <xf numFmtId="0" fontId="21" fillId="0" borderId="15" xfId="0" applyFont="1" applyBorder="1"/>
    <xf numFmtId="0" fontId="0" fillId="0" borderId="15" xfId="0" applyBorder="1"/>
    <xf numFmtId="0" fontId="0" fillId="0" borderId="16" xfId="0" applyBorder="1"/>
    <xf numFmtId="0" fontId="32" fillId="0" borderId="0" xfId="0" applyFont="1" applyAlignment="1">
      <alignment horizontal="right"/>
    </xf>
    <xf numFmtId="0" fontId="30" fillId="17" borderId="5" xfId="0" applyFont="1" applyFill="1" applyBorder="1"/>
    <xf numFmtId="0" fontId="0" fillId="0" borderId="0" xfId="0" applyFont="1" applyAlignment="1">
      <alignment horizontal="right"/>
    </xf>
    <xf numFmtId="0" fontId="0" fillId="15" borderId="0" xfId="0" applyFill="1"/>
    <xf numFmtId="170" fontId="0" fillId="0" borderId="0" xfId="0" applyNumberFormat="1"/>
    <xf numFmtId="173" fontId="0" fillId="0" borderId="0" xfId="0" applyNumberFormat="1"/>
    <xf numFmtId="167" fontId="0" fillId="0" borderId="0" xfId="2" applyFont="1" applyBorder="1" applyAlignment="1" applyProtection="1"/>
    <xf numFmtId="17" fontId="0" fillId="0" borderId="0" xfId="0" applyNumberFormat="1"/>
    <xf numFmtId="174" fontId="0" fillId="11" borderId="0" xfId="0" applyNumberFormat="1" applyFill="1"/>
    <xf numFmtId="172" fontId="0" fillId="0" borderId="0" xfId="0" applyNumberFormat="1"/>
    <xf numFmtId="175" fontId="0" fillId="0" borderId="0" xfId="0" applyNumberFormat="1"/>
    <xf numFmtId="0" fontId="2" fillId="0" borderId="0" xfId="0" applyFont="1" applyAlignment="1">
      <alignment horizontal="right"/>
    </xf>
    <xf numFmtId="176" fontId="2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177" fontId="2" fillId="0" borderId="0" xfId="0" applyNumberFormat="1" applyFont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0" xfId="0" applyFont="1"/>
    <xf numFmtId="4" fontId="15" fillId="0" borderId="0" xfId="0" applyNumberFormat="1" applyFont="1" applyAlignment="1">
      <alignment horizontal="right"/>
    </xf>
    <xf numFmtId="177" fontId="0" fillId="0" borderId="0" xfId="0" applyNumberFormat="1" applyAlignment="1">
      <alignment horizontal="center" wrapText="1"/>
    </xf>
    <xf numFmtId="177" fontId="0" fillId="0" borderId="0" xfId="0" applyNumberFormat="1" applyAlignment="1">
      <alignment horizontal="center"/>
    </xf>
    <xf numFmtId="2" fontId="0" fillId="0" borderId="0" xfId="0" applyNumberFormat="1"/>
    <xf numFmtId="171" fontId="0" fillId="0" borderId="0" xfId="0" applyNumberFormat="1" applyAlignment="1">
      <alignment horizontal="center"/>
    </xf>
    <xf numFmtId="178" fontId="0" fillId="0" borderId="0" xfId="0" applyNumberFormat="1"/>
    <xf numFmtId="179" fontId="0" fillId="0" borderId="0" xfId="0" applyNumberFormat="1"/>
    <xf numFmtId="0" fontId="0" fillId="0" borderId="0" xfId="0"/>
    <xf numFmtId="177" fontId="0" fillId="0" borderId="0" xfId="0" applyNumberFormat="1"/>
    <xf numFmtId="177" fontId="20" fillId="15" borderId="5" xfId="0" applyNumberFormat="1" applyFont="1" applyFill="1" applyBorder="1"/>
    <xf numFmtId="0" fontId="20" fillId="15" borderId="5" xfId="0" applyFont="1" applyFill="1" applyBorder="1"/>
    <xf numFmtId="4" fontId="20" fillId="15" borderId="5" xfId="0" applyNumberFormat="1" applyFont="1" applyFill="1" applyBorder="1"/>
    <xf numFmtId="179" fontId="0" fillId="12" borderId="0" xfId="0" applyNumberFormat="1" applyFill="1"/>
    <xf numFmtId="171" fontId="2" fillId="18" borderId="0" xfId="0" applyNumberFormat="1" applyFont="1" applyFill="1" applyAlignment="1">
      <alignment horizontal="center"/>
    </xf>
    <xf numFmtId="4" fontId="33" fillId="0" borderId="0" xfId="0" applyNumberFormat="1" applyFont="1"/>
    <xf numFmtId="4" fontId="0" fillId="15" borderId="0" xfId="0" applyNumberFormat="1" applyFill="1"/>
    <xf numFmtId="171" fontId="2" fillId="12" borderId="0" xfId="0" applyNumberFormat="1" applyFont="1" applyFill="1" applyAlignment="1">
      <alignment horizontal="center"/>
    </xf>
    <xf numFmtId="0" fontId="34" fillId="12" borderId="0" xfId="0" applyFont="1" applyFill="1"/>
    <xf numFmtId="4" fontId="2" fillId="0" borderId="0" xfId="0" applyNumberFormat="1" applyFont="1"/>
    <xf numFmtId="4" fontId="2" fillId="15" borderId="0" xfId="0" applyNumberFormat="1" applyFont="1" applyFill="1"/>
    <xf numFmtId="168" fontId="0" fillId="0" borderId="0" xfId="0" applyNumberFormat="1"/>
    <xf numFmtId="0" fontId="35" fillId="0" borderId="0" xfId="0" applyFont="1"/>
    <xf numFmtId="171" fontId="0" fillId="18" borderId="0" xfId="0" applyNumberFormat="1" applyFill="1"/>
    <xf numFmtId="171" fontId="2" fillId="12" borderId="0" xfId="0" applyNumberFormat="1" applyFont="1" applyFill="1"/>
    <xf numFmtId="171" fontId="0" fillId="12" borderId="0" xfId="0" applyNumberFormat="1" applyFill="1"/>
    <xf numFmtId="178" fontId="0" fillId="0" borderId="0" xfId="0" applyNumberFormat="1" applyAlignment="1">
      <alignment horizontal="center"/>
    </xf>
    <xf numFmtId="178" fontId="0" fillId="0" borderId="0" xfId="0" applyNumberFormat="1" applyFont="1" applyAlignment="1">
      <alignment horizontal="left"/>
    </xf>
    <xf numFmtId="178" fontId="2" fillId="0" borderId="17" xfId="0" applyNumberFormat="1" applyFont="1" applyBorder="1" applyAlignment="1">
      <alignment horizontal="left"/>
    </xf>
    <xf numFmtId="0" fontId="0" fillId="0" borderId="18" xfId="0" applyBorder="1"/>
    <xf numFmtId="4" fontId="0" fillId="0" borderId="18" xfId="0" applyNumberFormat="1" applyBorder="1"/>
    <xf numFmtId="0" fontId="2" fillId="0" borderId="19" xfId="0" applyFont="1" applyBorder="1" applyAlignment="1">
      <alignment horizontal="right"/>
    </xf>
    <xf numFmtId="178" fontId="2" fillId="0" borderId="11" xfId="0" applyNumberFormat="1" applyFont="1" applyBorder="1" applyAlignment="1">
      <alignment horizontal="left"/>
    </xf>
    <xf numFmtId="0" fontId="2" fillId="0" borderId="20" xfId="0" applyFont="1" applyBorder="1" applyAlignment="1">
      <alignment horizontal="right"/>
    </xf>
    <xf numFmtId="178" fontId="2" fillId="0" borderId="21" xfId="0" applyNumberFormat="1" applyFont="1" applyBorder="1" applyAlignment="1">
      <alignment horizontal="left"/>
    </xf>
    <xf numFmtId="0" fontId="0" fillId="0" borderId="22" xfId="0" applyBorder="1"/>
    <xf numFmtId="4" fontId="0" fillId="0" borderId="22" xfId="0" applyNumberFormat="1" applyBorder="1"/>
    <xf numFmtId="0" fontId="2" fillId="0" borderId="23" xfId="0" applyFont="1" applyBorder="1" applyAlignment="1">
      <alignment horizontal="right"/>
    </xf>
    <xf numFmtId="178" fontId="0" fillId="0" borderId="21" xfId="0" applyNumberFormat="1" applyFont="1" applyBorder="1" applyAlignment="1">
      <alignment horizontal="center"/>
    </xf>
    <xf numFmtId="4" fontId="0" fillId="0" borderId="22" xfId="0" applyNumberFormat="1" applyFont="1" applyBorder="1" applyAlignment="1">
      <alignment horizontal="right"/>
    </xf>
    <xf numFmtId="0" fontId="0" fillId="0" borderId="22" xfId="0" applyFont="1" applyBorder="1" applyAlignment="1">
      <alignment horizontal="right"/>
    </xf>
    <xf numFmtId="0" fontId="0" fillId="0" borderId="24" xfId="0" applyFont="1" applyBorder="1" applyAlignment="1">
      <alignment horizontal="right"/>
    </xf>
    <xf numFmtId="178" fontId="0" fillId="0" borderId="10" xfId="0" applyNumberFormat="1" applyBorder="1" applyAlignment="1">
      <alignment horizontal="center"/>
    </xf>
    <xf numFmtId="179" fontId="0" fillId="0" borderId="0" xfId="0" applyNumberFormat="1" applyFont="1"/>
    <xf numFmtId="4" fontId="0" fillId="0" borderId="12" xfId="0" applyNumberFormat="1" applyBorder="1"/>
    <xf numFmtId="179" fontId="0" fillId="0" borderId="0" xfId="0" applyNumberFormat="1" applyFont="1" applyAlignment="1">
      <alignment horizontal="right"/>
    </xf>
    <xf numFmtId="4" fontId="2" fillId="0" borderId="12" xfId="0" applyNumberFormat="1" applyFont="1" applyBorder="1"/>
    <xf numFmtId="178" fontId="0" fillId="0" borderId="25" xfId="0" applyNumberFormat="1" applyBorder="1" applyAlignment="1">
      <alignment horizontal="center"/>
    </xf>
    <xf numFmtId="179" fontId="2" fillId="0" borderId="15" xfId="0" applyNumberFormat="1" applyFont="1" applyBorder="1"/>
    <xf numFmtId="4" fontId="2" fillId="0" borderId="15" xfId="0" applyNumberFormat="1" applyFont="1" applyBorder="1"/>
    <xf numFmtId="179" fontId="2" fillId="0" borderId="0" xfId="0" applyNumberFormat="1" applyFont="1"/>
    <xf numFmtId="178" fontId="2" fillId="0" borderId="17" xfId="0" applyNumberFormat="1" applyFont="1" applyBorder="1" applyAlignment="1">
      <alignment horizontal="center"/>
    </xf>
    <xf numFmtId="178" fontId="2" fillId="0" borderId="18" xfId="0" applyNumberFormat="1" applyFont="1" applyBorder="1" applyAlignment="1">
      <alignment horizontal="left"/>
    </xf>
    <xf numFmtId="4" fontId="2" fillId="0" borderId="18" xfId="0" applyNumberFormat="1" applyFont="1" applyBorder="1"/>
    <xf numFmtId="178" fontId="2" fillId="0" borderId="11" xfId="0" applyNumberFormat="1" applyFont="1" applyBorder="1" applyAlignment="1">
      <alignment horizontal="center"/>
    </xf>
    <xf numFmtId="178" fontId="2" fillId="0" borderId="0" xfId="0" applyNumberFormat="1" applyFont="1" applyAlignment="1">
      <alignment horizontal="left"/>
    </xf>
    <xf numFmtId="178" fontId="2" fillId="0" borderId="21" xfId="0" applyNumberFormat="1" applyFont="1" applyBorder="1" applyAlignment="1">
      <alignment horizontal="center"/>
    </xf>
    <xf numFmtId="178" fontId="2" fillId="0" borderId="22" xfId="0" applyNumberFormat="1" applyFont="1" applyBorder="1" applyAlignment="1">
      <alignment horizontal="left"/>
    </xf>
    <xf numFmtId="4" fontId="2" fillId="0" borderId="22" xfId="0" applyNumberFormat="1" applyFont="1" applyBorder="1"/>
    <xf numFmtId="178" fontId="0" fillId="0" borderId="26" xfId="0" applyNumberFormat="1" applyFont="1" applyBorder="1" applyAlignment="1">
      <alignment horizontal="center"/>
    </xf>
    <xf numFmtId="178" fontId="0" fillId="0" borderId="17" xfId="0" applyNumberFormat="1" applyBorder="1" applyAlignment="1">
      <alignment horizontal="center"/>
    </xf>
    <xf numFmtId="179" fontId="0" fillId="0" borderId="18" xfId="0" applyNumberFormat="1" applyFont="1" applyBorder="1"/>
    <xf numFmtId="0" fontId="0" fillId="0" borderId="19" xfId="0" applyBorder="1"/>
    <xf numFmtId="178" fontId="0" fillId="0" borderId="11" xfId="0" applyNumberFormat="1" applyBorder="1" applyAlignment="1">
      <alignment horizontal="center"/>
    </xf>
    <xf numFmtId="0" fontId="0" fillId="0" borderId="20" xfId="0" applyBorder="1"/>
    <xf numFmtId="179" fontId="0" fillId="0" borderId="22" xfId="0" applyNumberFormat="1" applyFont="1" applyBorder="1"/>
    <xf numFmtId="0" fontId="0" fillId="0" borderId="23" xfId="0" applyBorder="1"/>
    <xf numFmtId="178" fontId="36" fillId="0" borderId="0" xfId="0" applyNumberFormat="1" applyFont="1" applyAlignment="1">
      <alignment horizontal="left"/>
    </xf>
    <xf numFmtId="0" fontId="2" fillId="0" borderId="18" xfId="0" applyFont="1" applyBorder="1"/>
    <xf numFmtId="4" fontId="2" fillId="0" borderId="18" xfId="0" applyNumberFormat="1" applyFont="1" applyBorder="1" applyAlignment="1">
      <alignment horizontal="right"/>
    </xf>
    <xf numFmtId="0" fontId="2" fillId="0" borderId="18" xfId="0" applyFont="1" applyBorder="1" applyAlignment="1">
      <alignment horizontal="right"/>
    </xf>
    <xf numFmtId="0" fontId="0" fillId="0" borderId="5" xfId="0" applyBorder="1"/>
    <xf numFmtId="178" fontId="0" fillId="0" borderId="5" xfId="0" applyNumberFormat="1" applyBorder="1" applyAlignment="1">
      <alignment horizontal="center"/>
    </xf>
    <xf numFmtId="4" fontId="0" fillId="0" borderId="5" xfId="0" applyNumberFormat="1" applyBorder="1"/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right"/>
    </xf>
    <xf numFmtId="178" fontId="2" fillId="0" borderId="5" xfId="0" applyNumberFormat="1" applyFont="1" applyBorder="1" applyAlignment="1">
      <alignment horizontal="center"/>
    </xf>
    <xf numFmtId="0" fontId="2" fillId="0" borderId="5" xfId="0" applyFont="1" applyBorder="1"/>
    <xf numFmtId="4" fontId="2" fillId="0" borderId="5" xfId="0" applyNumberFormat="1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15" fillId="0" borderId="0" xfId="0" applyFont="1" applyAlignment="1">
      <alignment horizontal="right"/>
    </xf>
    <xf numFmtId="4" fontId="15" fillId="0" borderId="0" xfId="0" applyNumberFormat="1" applyFont="1" applyAlignment="1">
      <alignment horizontal="center"/>
    </xf>
    <xf numFmtId="168" fontId="0" fillId="0" borderId="0" xfId="2" applyNumberFormat="1" applyFont="1" applyBorder="1" applyAlignment="1" applyProtection="1">
      <alignment horizontal="right"/>
    </xf>
    <xf numFmtId="2" fontId="2" fillId="0" borderId="0" xfId="0" applyNumberFormat="1" applyFont="1"/>
    <xf numFmtId="4" fontId="2" fillId="0" borderId="5" xfId="0" applyNumberFormat="1" applyFont="1" applyBorder="1"/>
    <xf numFmtId="178" fontId="0" fillId="0" borderId="0" xfId="0" applyNumberFormat="1" applyAlignment="1">
      <alignment horizontal="center"/>
    </xf>
    <xf numFmtId="178" fontId="2" fillId="0" borderId="0" xfId="0" applyNumberFormat="1" applyFont="1" applyAlignment="1">
      <alignment horizontal="center"/>
    </xf>
    <xf numFmtId="4" fontId="33" fillId="0" borderId="0" xfId="0" applyNumberFormat="1" applyFont="1"/>
    <xf numFmtId="2" fontId="38" fillId="0" borderId="0" xfId="18" applyNumberFormat="1" applyFont="1" applyBorder="1"/>
    <xf numFmtId="4" fontId="35" fillId="0" borderId="0" xfId="0" applyNumberFormat="1" applyFont="1"/>
    <xf numFmtId="2" fontId="38" fillId="0" borderId="15" xfId="18" applyNumberFormat="1" applyFont="1" applyBorder="1"/>
    <xf numFmtId="0" fontId="39" fillId="0" borderId="0" xfId="0" applyFont="1"/>
    <xf numFmtId="4" fontId="39" fillId="0" borderId="0" xfId="0" applyNumberFormat="1" applyFont="1"/>
    <xf numFmtId="0" fontId="40" fillId="0" borderId="0" xfId="0" applyFont="1"/>
    <xf numFmtId="181" fontId="39" fillId="0" borderId="0" xfId="0" applyNumberFormat="1" applyFont="1"/>
    <xf numFmtId="0" fontId="41" fillId="4" borderId="0" xfId="0" applyFont="1" applyFill="1" applyAlignment="1">
      <alignment horizontal="right"/>
    </xf>
    <xf numFmtId="0" fontId="39" fillId="4" borderId="0" xfId="0" applyFont="1" applyFill="1"/>
    <xf numFmtId="4" fontId="41" fillId="4" borderId="0" xfId="0" applyNumberFormat="1" applyFont="1" applyFill="1" applyAlignment="1">
      <alignment horizontal="right"/>
    </xf>
    <xf numFmtId="181" fontId="41" fillId="4" borderId="0" xfId="0" applyNumberFormat="1" applyFont="1" applyFill="1" applyAlignment="1">
      <alignment horizontal="right"/>
    </xf>
    <xf numFmtId="4" fontId="42" fillId="0" borderId="0" xfId="0" applyNumberFormat="1" applyFont="1"/>
    <xf numFmtId="171" fontId="39" fillId="0" borderId="0" xfId="0" applyNumberFormat="1" applyFont="1"/>
    <xf numFmtId="4" fontId="40" fillId="0" borderId="0" xfId="0" applyNumberFormat="1" applyFont="1"/>
    <xf numFmtId="0" fontId="40" fillId="0" borderId="0" xfId="0" applyFont="1" applyAlignment="1">
      <alignment horizontal="right"/>
    </xf>
    <xf numFmtId="181" fontId="42" fillId="0" borderId="0" xfId="0" applyNumberFormat="1" applyFont="1"/>
    <xf numFmtId="181" fontId="43" fillId="0" borderId="0" xfId="0" applyNumberFormat="1" applyFont="1" applyAlignment="1">
      <alignment horizontal="right"/>
    </xf>
    <xf numFmtId="171" fontId="39" fillId="15" borderId="0" xfId="0" applyNumberFormat="1" applyFont="1" applyFill="1"/>
    <xf numFmtId="0" fontId="40" fillId="15" borderId="0" xfId="0" applyFont="1" applyFill="1"/>
    <xf numFmtId="4" fontId="40" fillId="15" borderId="0" xfId="0" applyNumberFormat="1" applyFont="1" applyFill="1"/>
    <xf numFmtId="0" fontId="44" fillId="4" borderId="0" xfId="0" applyFont="1" applyFill="1" applyAlignment="1">
      <alignment horizontal="right"/>
    </xf>
    <xf numFmtId="171" fontId="44" fillId="4" borderId="0" xfId="0" applyNumberFormat="1" applyFont="1" applyFill="1" applyAlignment="1">
      <alignment horizontal="right"/>
    </xf>
    <xf numFmtId="0" fontId="42" fillId="0" borderId="0" xfId="0" applyFont="1" applyAlignment="1">
      <alignment horizontal="right"/>
    </xf>
    <xf numFmtId="0" fontId="42" fillId="0" borderId="0" xfId="0" applyFont="1"/>
    <xf numFmtId="4" fontId="40" fillId="0" borderId="0" xfId="0" applyNumberFormat="1" applyFont="1" applyAlignment="1">
      <alignment horizontal="right"/>
    </xf>
    <xf numFmtId="0" fontId="45" fillId="0" borderId="0" xfId="0" applyFont="1" applyAlignment="1">
      <alignment horizontal="right" vertical="center"/>
    </xf>
    <xf numFmtId="4" fontId="46" fillId="0" borderId="0" xfId="0" applyNumberFormat="1" applyFont="1" applyAlignment="1">
      <alignment vertical="center"/>
    </xf>
    <xf numFmtId="181" fontId="45" fillId="0" borderId="0" xfId="0" applyNumberFormat="1" applyFont="1" applyAlignment="1">
      <alignment horizontal="right" vertical="center"/>
    </xf>
    <xf numFmtId="181" fontId="40" fillId="0" borderId="0" xfId="0" applyNumberFormat="1" applyFont="1" applyAlignment="1">
      <alignment horizontal="right"/>
    </xf>
    <xf numFmtId="182" fontId="39" fillId="0" borderId="0" xfId="0" applyNumberFormat="1" applyFont="1"/>
    <xf numFmtId="2" fontId="39" fillId="0" borderId="0" xfId="0" applyNumberFormat="1" applyFont="1"/>
    <xf numFmtId="4" fontId="39" fillId="19" borderId="0" xfId="0" applyNumberFormat="1" applyFont="1" applyFill="1"/>
    <xf numFmtId="182" fontId="39" fillId="15" borderId="0" xfId="0" applyNumberFormat="1" applyFont="1" applyFill="1"/>
    <xf numFmtId="182" fontId="46" fillId="15" borderId="0" xfId="0" applyNumberFormat="1" applyFont="1" applyFill="1"/>
    <xf numFmtId="182" fontId="40" fillId="15" borderId="0" xfId="0" applyNumberFormat="1" applyFont="1" applyFill="1" applyAlignment="1">
      <alignment horizontal="right"/>
    </xf>
    <xf numFmtId="0" fontId="39" fillId="0" borderId="0" xfId="0" applyFont="1"/>
    <xf numFmtId="183" fontId="39" fillId="0" borderId="0" xfId="24" applyFont="1" applyBorder="1" applyAlignment="1" applyProtection="1"/>
    <xf numFmtId="184" fontId="39" fillId="0" borderId="0" xfId="24" applyNumberFormat="1" applyFont="1" applyBorder="1" applyAlignment="1" applyProtection="1"/>
    <xf numFmtId="183" fontId="40" fillId="0" borderId="0" xfId="24" applyFont="1" applyBorder="1" applyAlignment="1" applyProtection="1"/>
    <xf numFmtId="180" fontId="2" fillId="0" borderId="0" xfId="0" applyNumberFormat="1" applyFont="1"/>
    <xf numFmtId="184" fontId="40" fillId="0" borderId="0" xfId="24" applyNumberFormat="1" applyFont="1" applyBorder="1" applyAlignment="1" applyProtection="1"/>
    <xf numFmtId="4" fontId="39" fillId="0" borderId="0" xfId="0" applyNumberFormat="1" applyFont="1"/>
    <xf numFmtId="184" fontId="48" fillId="0" borderId="0" xfId="24" applyNumberFormat="1" applyFont="1" applyBorder="1" applyAlignment="1" applyProtection="1"/>
    <xf numFmtId="184" fontId="42" fillId="0" borderId="0" xfId="24" applyNumberFormat="1" applyFont="1" applyBorder="1" applyAlignment="1" applyProtection="1"/>
    <xf numFmtId="0" fontId="39" fillId="0" borderId="0" xfId="0" applyFont="1" applyAlignment="1">
      <alignment horizontal="right"/>
    </xf>
    <xf numFmtId="184" fontId="49" fillId="0" borderId="0" xfId="24" applyNumberFormat="1" applyFont="1" applyBorder="1" applyAlignment="1" applyProtection="1"/>
    <xf numFmtId="184" fontId="39" fillId="0" borderId="0" xfId="24" applyNumberFormat="1" applyFont="1" applyBorder="1" applyAlignment="1" applyProtection="1">
      <alignment horizontal="right"/>
    </xf>
    <xf numFmtId="184" fontId="40" fillId="19" borderId="0" xfId="24" applyNumberFormat="1" applyFont="1" applyFill="1" applyBorder="1" applyAlignment="1" applyProtection="1"/>
    <xf numFmtId="184" fontId="39" fillId="0" borderId="6" xfId="24" applyNumberFormat="1" applyFont="1" applyBorder="1" applyAlignment="1" applyProtection="1"/>
    <xf numFmtId="184" fontId="39" fillId="0" borderId="8" xfId="24" applyNumberFormat="1" applyFont="1" applyBorder="1" applyAlignment="1" applyProtection="1"/>
    <xf numFmtId="184" fontId="39" fillId="0" borderId="9" xfId="24" applyNumberFormat="1" applyFont="1" applyBorder="1" applyAlignment="1" applyProtection="1"/>
    <xf numFmtId="184" fontId="47" fillId="0" borderId="10" xfId="24" applyNumberFormat="1" applyFont="1" applyBorder="1" applyAlignment="1" applyProtection="1"/>
    <xf numFmtId="184" fontId="39" fillId="0" borderId="12" xfId="24" applyNumberFormat="1" applyFont="1" applyBorder="1" applyAlignment="1" applyProtection="1"/>
    <xf numFmtId="184" fontId="39" fillId="0" borderId="10" xfId="24" applyNumberFormat="1" applyFont="1" applyBorder="1" applyAlignment="1" applyProtection="1"/>
    <xf numFmtId="184" fontId="50" fillId="0" borderId="27" xfId="24" applyNumberFormat="1" applyFont="1" applyBorder="1" applyAlignment="1" applyProtection="1"/>
    <xf numFmtId="184" fontId="39" fillId="0" borderId="28" xfId="24" applyNumberFormat="1" applyFont="1" applyBorder="1" applyAlignment="1" applyProtection="1"/>
    <xf numFmtId="184" fontId="39" fillId="0" borderId="29" xfId="24" applyNumberFormat="1" applyFont="1" applyBorder="1" applyAlignment="1" applyProtection="1"/>
    <xf numFmtId="184" fontId="40" fillId="0" borderId="0" xfId="24" applyNumberFormat="1" applyFont="1" applyBorder="1" applyAlignment="1" applyProtection="1">
      <alignment horizontal="right"/>
    </xf>
    <xf numFmtId="185" fontId="39" fillId="0" borderId="0" xfId="24" applyNumberFormat="1" applyFont="1" applyBorder="1" applyAlignment="1" applyProtection="1">
      <alignment horizontal="right"/>
    </xf>
    <xf numFmtId="186" fontId="39" fillId="0" borderId="0" xfId="24" applyNumberFormat="1" applyFont="1" applyBorder="1" applyAlignment="1" applyProtection="1"/>
    <xf numFmtId="187" fontId="39" fillId="0" borderId="0" xfId="0" applyNumberFormat="1" applyFont="1"/>
    <xf numFmtId="183" fontId="40" fillId="0" borderId="0" xfId="24" applyFont="1" applyBorder="1" applyAlignment="1" applyProtection="1">
      <alignment horizontal="right"/>
    </xf>
    <xf numFmtId="0" fontId="39" fillId="15" borderId="0" xfId="0" applyFont="1" applyFill="1"/>
    <xf numFmtId="183" fontId="40" fillId="15" borderId="0" xfId="24" applyFont="1" applyFill="1" applyBorder="1" applyAlignment="1" applyProtection="1">
      <alignment horizontal="right"/>
    </xf>
    <xf numFmtId="0" fontId="42" fillId="15" borderId="0" xfId="0" applyFont="1" applyFill="1" applyAlignment="1">
      <alignment horizontal="right"/>
    </xf>
    <xf numFmtId="184" fontId="42" fillId="15" borderId="0" xfId="24" applyNumberFormat="1" applyFont="1" applyFill="1" applyBorder="1" applyAlignment="1" applyProtection="1"/>
    <xf numFmtId="183" fontId="40" fillId="0" borderId="6" xfId="24" applyFont="1" applyBorder="1" applyAlignment="1" applyProtection="1"/>
    <xf numFmtId="183" fontId="39" fillId="0" borderId="10" xfId="24" applyFont="1" applyBorder="1" applyAlignment="1" applyProtection="1"/>
    <xf numFmtId="4" fontId="39" fillId="0" borderId="0" xfId="0" applyNumberFormat="1" applyFont="1" applyAlignment="1">
      <alignment horizontal="right"/>
    </xf>
    <xf numFmtId="183" fontId="40" fillId="4" borderId="10" xfId="24" applyFont="1" applyFill="1" applyBorder="1" applyAlignment="1" applyProtection="1"/>
    <xf numFmtId="184" fontId="51" fillId="4" borderId="12" xfId="24" applyNumberFormat="1" applyFont="1" applyFill="1" applyBorder="1" applyAlignment="1" applyProtection="1"/>
    <xf numFmtId="183" fontId="40" fillId="0" borderId="10" xfId="24" applyFont="1" applyBorder="1" applyAlignment="1" applyProtection="1"/>
    <xf numFmtId="4" fontId="40" fillId="0" borderId="30" xfId="0" applyNumberFormat="1" applyFont="1" applyBorder="1"/>
    <xf numFmtId="0" fontId="0" fillId="0" borderId="31" xfId="0" applyBorder="1"/>
    <xf numFmtId="4" fontId="39" fillId="0" borderId="31" xfId="0" applyNumberFormat="1" applyFont="1" applyBorder="1" applyAlignment="1">
      <alignment horizontal="right"/>
    </xf>
    <xf numFmtId="4" fontId="39" fillId="0" borderId="31" xfId="0" applyNumberFormat="1" applyFont="1" applyBorder="1"/>
    <xf numFmtId="184" fontId="51" fillId="0" borderId="32" xfId="24" applyNumberFormat="1" applyFont="1" applyBorder="1" applyAlignment="1" applyProtection="1"/>
    <xf numFmtId="4" fontId="40" fillId="0" borderId="10" xfId="0" applyNumberFormat="1" applyFont="1" applyBorder="1"/>
    <xf numFmtId="4" fontId="40" fillId="0" borderId="25" xfId="0" applyNumberFormat="1" applyFont="1" applyBorder="1"/>
    <xf numFmtId="4" fontId="40" fillId="0" borderId="15" xfId="0" applyNumberFormat="1" applyFont="1" applyBorder="1"/>
    <xf numFmtId="4" fontId="39" fillId="0" borderId="15" xfId="0" applyNumberFormat="1" applyFont="1" applyBorder="1"/>
    <xf numFmtId="184" fontId="51" fillId="0" borderId="16" xfId="24" applyNumberFormat="1" applyFont="1" applyBorder="1" applyAlignment="1" applyProtection="1"/>
    <xf numFmtId="0" fontId="52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52" fillId="15" borderId="0" xfId="0" applyFont="1" applyFill="1" applyAlignment="1">
      <alignment vertical="center"/>
    </xf>
    <xf numFmtId="184" fontId="52" fillId="0" borderId="0" xfId="24" applyNumberFormat="1" applyFont="1" applyBorder="1" applyAlignment="1" applyProtection="1">
      <alignment vertical="center"/>
    </xf>
    <xf numFmtId="4" fontId="52" fillId="0" borderId="0" xfId="0" applyNumberFormat="1" applyFont="1" applyAlignment="1">
      <alignment vertical="center"/>
    </xf>
    <xf numFmtId="182" fontId="53" fillId="20" borderId="0" xfId="0" applyNumberFormat="1" applyFont="1" applyFill="1" applyAlignment="1">
      <alignment vertical="center"/>
    </xf>
    <xf numFmtId="182" fontId="0" fillId="0" borderId="0" xfId="0" applyNumberFormat="1"/>
    <xf numFmtId="188" fontId="52" fillId="0" borderId="0" xfId="0" applyNumberFormat="1" applyFont="1" applyAlignment="1">
      <alignment vertical="center"/>
    </xf>
    <xf numFmtId="182" fontId="54" fillId="21" borderId="0" xfId="0" applyNumberFormat="1" applyFont="1" applyFill="1" applyAlignment="1">
      <alignment vertical="center"/>
    </xf>
    <xf numFmtId="189" fontId="0" fillId="0" borderId="0" xfId="0" applyNumberFormat="1"/>
    <xf numFmtId="182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8" fontId="53" fillId="0" borderId="0" xfId="0" applyNumberFormat="1" applyFont="1" applyAlignment="1">
      <alignment vertical="center"/>
    </xf>
    <xf numFmtId="182" fontId="55" fillId="0" borderId="0" xfId="0" applyNumberFormat="1" applyFont="1" applyAlignment="1">
      <alignment vertical="center"/>
    </xf>
    <xf numFmtId="188" fontId="0" fillId="0" borderId="0" xfId="0" applyNumberFormat="1"/>
    <xf numFmtId="182" fontId="56" fillId="0" borderId="0" xfId="0" applyNumberFormat="1" applyFont="1"/>
    <xf numFmtId="182" fontId="56" fillId="22" borderId="0" xfId="0" applyNumberFormat="1" applyFont="1" applyFill="1"/>
    <xf numFmtId="0" fontId="2" fillId="0" borderId="6" xfId="0" applyFont="1" applyBorder="1" applyAlignment="1">
      <alignment vertical="center"/>
    </xf>
    <xf numFmtId="188" fontId="0" fillId="0" borderId="8" xfId="0" applyNumberFormat="1" applyBorder="1" applyAlignment="1">
      <alignment vertical="center"/>
    </xf>
    <xf numFmtId="0" fontId="0" fillId="0" borderId="8" xfId="0" applyBorder="1" applyAlignment="1">
      <alignment vertical="center"/>
    </xf>
    <xf numFmtId="189" fontId="0" fillId="0" borderId="9" xfId="0" applyNumberFormat="1" applyBorder="1"/>
    <xf numFmtId="184" fontId="52" fillId="0" borderId="0" xfId="24" applyNumberFormat="1" applyFont="1" applyBorder="1" applyAlignment="1" applyProtection="1">
      <alignment horizontal="right" vertical="center"/>
    </xf>
    <xf numFmtId="188" fontId="52" fillId="0" borderId="0" xfId="24" applyNumberFormat="1" applyFont="1" applyBorder="1" applyAlignment="1" applyProtection="1">
      <alignment vertical="center"/>
    </xf>
    <xf numFmtId="182" fontId="52" fillId="0" borderId="12" xfId="0" applyNumberFormat="1" applyFont="1" applyBorder="1" applyAlignment="1">
      <alignment vertical="center"/>
    </xf>
    <xf numFmtId="188" fontId="52" fillId="0" borderId="0" xfId="24" applyNumberFormat="1" applyFont="1" applyBorder="1" applyAlignment="1" applyProtection="1">
      <alignment horizontal="right" vertical="center"/>
    </xf>
    <xf numFmtId="182" fontId="57" fillId="0" borderId="12" xfId="0" applyNumberFormat="1" applyFont="1" applyBorder="1" applyAlignment="1">
      <alignment vertical="center"/>
    </xf>
    <xf numFmtId="0" fontId="0" fillId="0" borderId="25" xfId="0" applyBorder="1"/>
    <xf numFmtId="0" fontId="0" fillId="23" borderId="15" xfId="0" applyFill="1" applyBorder="1" applyAlignment="1">
      <alignment horizontal="right"/>
    </xf>
    <xf numFmtId="0" fontId="0" fillId="23" borderId="15" xfId="0" applyFill="1" applyBorder="1"/>
    <xf numFmtId="0" fontId="2" fillId="23" borderId="15" xfId="0" applyFont="1" applyFill="1" applyBorder="1" applyAlignment="1">
      <alignment horizontal="right"/>
    </xf>
    <xf numFmtId="182" fontId="17" fillId="23" borderId="16" xfId="0" applyNumberFormat="1" applyFont="1" applyFill="1" applyBorder="1"/>
    <xf numFmtId="0" fontId="2" fillId="0" borderId="8" xfId="0" applyFont="1" applyBorder="1" applyAlignment="1">
      <alignment horizontal="right"/>
    </xf>
    <xf numFmtId="0" fontId="0" fillId="0" borderId="9" xfId="0" applyBorder="1"/>
    <xf numFmtId="0" fontId="2" fillId="0" borderId="33" xfId="0" applyFont="1" applyBorder="1" applyAlignment="1">
      <alignment horizontal="right"/>
    </xf>
    <xf numFmtId="182" fontId="2" fillId="0" borderId="12" xfId="0" applyNumberFormat="1" applyFont="1" applyBorder="1"/>
    <xf numFmtId="182" fontId="2" fillId="21" borderId="0" xfId="0" applyNumberFormat="1" applyFont="1" applyFill="1"/>
    <xf numFmtId="0" fontId="0" fillId="23" borderId="0" xfId="0" applyFont="1" applyFill="1" applyAlignment="1">
      <alignment horizontal="right"/>
    </xf>
    <xf numFmtId="182" fontId="2" fillId="23" borderId="0" xfId="0" applyNumberFormat="1" applyFont="1" applyFill="1"/>
    <xf numFmtId="0" fontId="0" fillId="0" borderId="10" xfId="0" applyBorder="1" applyAlignment="1">
      <alignment horizontal="right"/>
    </xf>
    <xf numFmtId="0" fontId="0" fillId="22" borderId="10" xfId="0" applyFill="1" applyBorder="1"/>
    <xf numFmtId="0" fontId="0" fillId="22" borderId="0" xfId="0" applyFill="1"/>
    <xf numFmtId="0" fontId="0" fillId="22" borderId="0" xfId="0" applyFont="1" applyFill="1" applyAlignment="1">
      <alignment horizontal="right"/>
    </xf>
    <xf numFmtId="182" fontId="0" fillId="22" borderId="0" xfId="0" applyNumberFormat="1" applyFill="1"/>
    <xf numFmtId="0" fontId="0" fillId="19" borderId="10" xfId="0" applyFill="1" applyBorder="1"/>
    <xf numFmtId="0" fontId="0" fillId="19" borderId="0" xfId="0" applyFill="1"/>
    <xf numFmtId="0" fontId="2" fillId="19" borderId="0" xfId="0" applyFont="1" applyFill="1" applyAlignment="1">
      <alignment horizontal="right"/>
    </xf>
    <xf numFmtId="0" fontId="2" fillId="19" borderId="0" xfId="0" applyFont="1" applyFill="1"/>
    <xf numFmtId="182" fontId="17" fillId="19" borderId="12" xfId="0" applyNumberFormat="1" applyFont="1" applyFill="1" applyBorder="1"/>
    <xf numFmtId="0" fontId="2" fillId="0" borderId="15" xfId="0" applyFont="1" applyBorder="1" applyAlignment="1">
      <alignment horizontal="right"/>
    </xf>
    <xf numFmtId="168" fontId="2" fillId="0" borderId="34" xfId="0" applyNumberFormat="1" applyFont="1" applyBorder="1"/>
    <xf numFmtId="190" fontId="58" fillId="0" borderId="0" xfId="0" applyNumberFormat="1" applyFont="1" applyAlignment="1">
      <alignment vertical="center"/>
    </xf>
    <xf numFmtId="0" fontId="0" fillId="0" borderId="0" xfId="0" applyAlignment="1"/>
    <xf numFmtId="190" fontId="58" fillId="0" borderId="0" xfId="0" applyNumberFormat="1" applyFont="1" applyAlignment="1">
      <alignment horizontal="center" vertical="center"/>
    </xf>
    <xf numFmtId="190" fontId="59" fillId="0" borderId="0" xfId="0" applyNumberFormat="1" applyFont="1" applyAlignment="1">
      <alignment vertical="center"/>
    </xf>
    <xf numFmtId="0" fontId="60" fillId="0" borderId="0" xfId="0" applyFont="1" applyAlignment="1">
      <alignment horizontal="right" vertical="center"/>
    </xf>
    <xf numFmtId="182" fontId="60" fillId="0" borderId="35" xfId="0" applyNumberFormat="1" applyFont="1" applyBorder="1" applyAlignment="1">
      <alignment vertical="center"/>
    </xf>
    <xf numFmtId="0" fontId="0" fillId="0" borderId="36" xfId="0" applyBorder="1"/>
    <xf numFmtId="0" fontId="60" fillId="0" borderId="37" xfId="0" applyFont="1" applyBorder="1" applyAlignment="1">
      <alignment horizontal="center" vertical="center"/>
    </xf>
    <xf numFmtId="0" fontId="61" fillId="24" borderId="37" xfId="0" applyFont="1" applyFill="1" applyBorder="1" applyAlignment="1">
      <alignment horizontal="center"/>
    </xf>
    <xf numFmtId="0" fontId="61" fillId="15" borderId="38" xfId="0" applyFont="1" applyFill="1" applyBorder="1" applyAlignment="1">
      <alignment horizontal="center"/>
    </xf>
    <xf numFmtId="0" fontId="61" fillId="0" borderId="0" xfId="0" applyFont="1"/>
    <xf numFmtId="0" fontId="60" fillId="0" borderId="8" xfId="0" applyFont="1" applyBorder="1" applyAlignment="1">
      <alignment horizontal="right" vertical="center"/>
    </xf>
    <xf numFmtId="167" fontId="61" fillId="0" borderId="8" xfId="0" applyNumberFormat="1" applyFont="1" applyBorder="1" applyAlignment="1">
      <alignment horizontal="center"/>
    </xf>
    <xf numFmtId="167" fontId="61" fillId="0" borderId="9" xfId="0" applyNumberFormat="1" applyFont="1" applyBorder="1" applyAlignment="1">
      <alignment horizontal="center"/>
    </xf>
    <xf numFmtId="0" fontId="60" fillId="0" borderId="15" xfId="0" applyFont="1" applyBorder="1" applyAlignment="1">
      <alignment horizontal="right" vertical="center"/>
    </xf>
    <xf numFmtId="182" fontId="61" fillId="0" borderId="15" xfId="0" applyNumberFormat="1" applyFont="1" applyBorder="1"/>
    <xf numFmtId="182" fontId="61" fillId="0" borderId="16" xfId="0" applyNumberFormat="1" applyFont="1" applyBorder="1"/>
    <xf numFmtId="182" fontId="61" fillId="0" borderId="0" xfId="0" applyNumberFormat="1" applyFont="1"/>
    <xf numFmtId="0" fontId="0" fillId="0" borderId="39" xfId="0" applyBorder="1"/>
    <xf numFmtId="0" fontId="61" fillId="0" borderId="40" xfId="0" applyFont="1" applyBorder="1" applyAlignment="1">
      <alignment horizontal="right"/>
    </xf>
    <xf numFmtId="182" fontId="61" fillId="0" borderId="40" xfId="0" applyNumberFormat="1" applyFont="1" applyBorder="1"/>
    <xf numFmtId="182" fontId="61" fillId="0" borderId="41" xfId="0" applyNumberFormat="1" applyFont="1" applyBorder="1"/>
    <xf numFmtId="0" fontId="61" fillId="0" borderId="0" xfId="0" applyFont="1" applyAlignment="1">
      <alignment horizontal="right"/>
    </xf>
    <xf numFmtId="182" fontId="9" fillId="0" borderId="0" xfId="0" applyNumberFormat="1" applyFont="1" applyAlignment="1">
      <alignment horizontal="center" wrapText="1"/>
    </xf>
    <xf numFmtId="182" fontId="61" fillId="0" borderId="8" xfId="0" applyNumberFormat="1" applyFont="1" applyBorder="1"/>
    <xf numFmtId="182" fontId="61" fillId="0" borderId="9" xfId="0" applyNumberFormat="1" applyFont="1" applyBorder="1"/>
    <xf numFmtId="0" fontId="62" fillId="0" borderId="15" xfId="0" applyFont="1" applyBorder="1" applyAlignment="1">
      <alignment horizontal="right"/>
    </xf>
    <xf numFmtId="191" fontId="61" fillId="24" borderId="15" xfId="0" applyNumberFormat="1" applyFont="1" applyFill="1" applyBorder="1"/>
    <xf numFmtId="191" fontId="61" fillId="24" borderId="16" xfId="0" applyNumberFormat="1" applyFont="1" applyFill="1" applyBorder="1"/>
    <xf numFmtId="0" fontId="0" fillId="0" borderId="27" xfId="0" applyBorder="1" applyAlignment="1">
      <alignment horizontal="center" vertical="center" wrapText="1"/>
    </xf>
    <xf numFmtId="189" fontId="61" fillId="0" borderId="29" xfId="0" applyNumberFormat="1" applyFont="1" applyBorder="1" applyAlignment="1">
      <alignment horizontal="center" vertical="center"/>
    </xf>
    <xf numFmtId="0" fontId="61" fillId="0" borderId="8" xfId="0" applyFont="1" applyBorder="1" applyAlignment="1">
      <alignment horizontal="right"/>
    </xf>
    <xf numFmtId="0" fontId="61" fillId="0" borderId="15" xfId="0" applyFont="1" applyBorder="1" applyAlignment="1">
      <alignment horizontal="right"/>
    </xf>
    <xf numFmtId="191" fontId="63" fillId="24" borderId="16" xfId="0" applyNumberFormat="1" applyFont="1" applyFill="1" applyBorder="1"/>
    <xf numFmtId="0" fontId="0" fillId="0" borderId="42" xfId="0" applyBorder="1"/>
    <xf numFmtId="182" fontId="61" fillId="0" borderId="35" xfId="0" applyNumberFormat="1" applyFont="1" applyBorder="1"/>
    <xf numFmtId="182" fontId="61" fillId="0" borderId="43" xfId="0" applyNumberFormat="1" applyFont="1" applyBorder="1"/>
    <xf numFmtId="0" fontId="0" fillId="0" borderId="44" xfId="0" applyBorder="1"/>
    <xf numFmtId="0" fontId="62" fillId="0" borderId="5" xfId="0" applyFont="1" applyBorder="1" applyAlignment="1">
      <alignment horizontal="right"/>
    </xf>
    <xf numFmtId="191" fontId="61" fillId="24" borderId="5" xfId="0" applyNumberFormat="1" applyFont="1" applyFill="1" applyBorder="1"/>
    <xf numFmtId="191" fontId="61" fillId="15" borderId="45" xfId="0" applyNumberFormat="1" applyFont="1" applyFill="1" applyBorder="1"/>
    <xf numFmtId="0" fontId="64" fillId="0" borderId="6" xfId="0" applyFont="1" applyBorder="1"/>
    <xf numFmtId="0" fontId="65" fillId="0" borderId="8" xfId="0" applyFont="1" applyBorder="1"/>
    <xf numFmtId="0" fontId="65" fillId="0" borderId="25" xfId="0" applyFont="1" applyBorder="1"/>
    <xf numFmtId="0" fontId="66" fillId="0" borderId="15" xfId="0" applyFont="1" applyBorder="1"/>
    <xf numFmtId="191" fontId="65" fillId="0" borderId="15" xfId="0" applyNumberFormat="1" applyFont="1" applyBorder="1"/>
    <xf numFmtId="191" fontId="65" fillId="0" borderId="16" xfId="0" applyNumberFormat="1" applyFont="1" applyBorder="1"/>
  </cellXfs>
  <cellStyles count="25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Normal" xfId="24" xr:uid="{00000000-0005-0000-0000-00001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rmal 2" xfId="16" xr:uid="{00000000-0005-0000-0000-000013000000}"/>
    <cellStyle name="Normal 3" xfId="17" xr:uid="{00000000-0005-0000-0000-000014000000}"/>
    <cellStyle name="Normal 4" xfId="18" xr:uid="{00000000-0005-0000-0000-000015000000}"/>
    <cellStyle name="Note 17" xfId="19" xr:uid="{00000000-0005-0000-0000-000016000000}"/>
    <cellStyle name="Result 18" xfId="20" xr:uid="{00000000-0005-0000-0000-000017000000}"/>
    <cellStyle name="Status 19" xfId="21" xr:uid="{00000000-0005-0000-0000-000018000000}"/>
    <cellStyle name="Text 20" xfId="22" xr:uid="{00000000-0005-0000-0000-000019000000}"/>
    <cellStyle name="Virgül" xfId="1" builtinId="3"/>
    <cellStyle name="Warning 21" xfId="23" xr:uid="{00000000-0005-0000-0000-00001A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AFD095"/>
      <rgbColor rgb="FF808080"/>
      <rgbColor rgb="FFDDDDDD"/>
      <rgbColor rgb="FF993366"/>
      <rgbColor rgb="FFFFFFCC"/>
      <rgbColor rgb="FFDEEBF7"/>
      <rgbColor rgb="FF660066"/>
      <rgbColor rgb="FFFCE4D6"/>
      <rgbColor rgb="FF2A6099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E8F2A1"/>
      <rgbColor rgb="FFA9D18E"/>
      <rgbColor rgb="FFF4B084"/>
      <rgbColor rgb="FFFFCCCC"/>
      <rgbColor rgb="FFF8CBAD"/>
      <rgbColor rgb="FF3366FF"/>
      <rgbColor rgb="FFFFF2CC"/>
      <rgbColor rgb="FF81D41A"/>
      <rgbColor rgb="FFFFC000"/>
      <rgbColor rgb="FFFBE5D6"/>
      <rgbColor rgb="FFFF6600"/>
      <rgbColor rgb="FF666699"/>
      <rgbColor rgb="FFE2EFDA"/>
      <rgbColor rgb="FF003366"/>
      <rgbColor rgb="FF339966"/>
      <rgbColor rgb="FF111111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9"/>
  <sheetViews>
    <sheetView tabSelected="1" topLeftCell="A13" zoomScale="160" zoomScaleNormal="160" workbookViewId="0">
      <selection activeCell="I27" sqref="I27"/>
    </sheetView>
  </sheetViews>
  <sheetFormatPr defaultColWidth="8.7109375" defaultRowHeight="12.75"/>
  <cols>
    <col min="1" max="1" width="3" customWidth="1"/>
    <col min="2" max="2" width="10.5703125" style="5" customWidth="1"/>
    <col min="3" max="3" width="1.42578125" style="6" customWidth="1"/>
    <col min="4" max="4" width="37.5703125" customWidth="1"/>
    <col min="5" max="5" width="13.140625" customWidth="1"/>
    <col min="6" max="6" width="10.42578125" style="7" customWidth="1"/>
    <col min="7" max="7" width="10.5703125" style="7" customWidth="1"/>
    <col min="8" max="8" width="11.42578125" style="7" customWidth="1"/>
    <col min="9" max="9" width="12.7109375" style="8" customWidth="1"/>
  </cols>
  <sheetData>
    <row r="2" spans="2:8" ht="18">
      <c r="B2" s="9">
        <v>45831</v>
      </c>
      <c r="C2" s="10"/>
      <c r="D2" s="11" t="s">
        <v>0</v>
      </c>
    </row>
    <row r="3" spans="2:8">
      <c r="B3" s="12">
        <v>45350</v>
      </c>
      <c r="C3" s="13"/>
      <c r="D3" s="14" t="s">
        <v>1</v>
      </c>
      <c r="E3" s="14"/>
      <c r="F3" s="15">
        <v>8500</v>
      </c>
      <c r="H3" s="7">
        <f t="shared" ref="H3:H10" si="0">H2+F3-G3</f>
        <v>8500</v>
      </c>
    </row>
    <row r="4" spans="2:8">
      <c r="B4" s="16">
        <v>45544</v>
      </c>
      <c r="C4" s="17"/>
      <c r="D4" s="18" t="s">
        <v>2</v>
      </c>
      <c r="E4" s="19"/>
      <c r="F4" s="20"/>
      <c r="G4" s="20">
        <v>15000</v>
      </c>
      <c r="H4" s="7">
        <f t="shared" si="0"/>
        <v>-6500</v>
      </c>
    </row>
    <row r="5" spans="2:8">
      <c r="B5" s="12">
        <v>45544</v>
      </c>
      <c r="C5" s="13"/>
      <c r="D5" s="14" t="s">
        <v>3</v>
      </c>
      <c r="E5" s="21">
        <f>50/365*(B4-B3)%</f>
        <v>0.26575342465753421</v>
      </c>
      <c r="F5" s="15">
        <f>F3*E5</f>
        <v>2258.9041095890407</v>
      </c>
      <c r="H5" s="7">
        <f t="shared" si="0"/>
        <v>-4241.0958904109593</v>
      </c>
    </row>
    <row r="6" spans="2:8">
      <c r="B6" s="16">
        <v>45574</v>
      </c>
      <c r="C6" s="17"/>
      <c r="D6" s="18" t="s">
        <v>4</v>
      </c>
      <c r="E6" s="19"/>
      <c r="F6" s="20"/>
      <c r="G6" s="20">
        <v>15000</v>
      </c>
      <c r="H6" s="7">
        <f t="shared" si="0"/>
        <v>-19241.095890410958</v>
      </c>
    </row>
    <row r="7" spans="2:8">
      <c r="B7" s="16">
        <v>45605</v>
      </c>
      <c r="C7" s="17"/>
      <c r="D7" s="18" t="s">
        <v>5</v>
      </c>
      <c r="E7" s="19"/>
      <c r="F7" s="20"/>
      <c r="G7" s="20">
        <v>15000</v>
      </c>
      <c r="H7" s="7">
        <f t="shared" si="0"/>
        <v>-34241.095890410958</v>
      </c>
    </row>
    <row r="8" spans="2:8">
      <c r="B8" s="16">
        <v>45637</v>
      </c>
      <c r="C8" s="17"/>
      <c r="D8" s="18" t="s">
        <v>6</v>
      </c>
      <c r="E8" s="19"/>
      <c r="F8" s="20"/>
      <c r="G8" s="20">
        <v>15000</v>
      </c>
      <c r="H8" s="7">
        <f t="shared" si="0"/>
        <v>-49241.095890410958</v>
      </c>
    </row>
    <row r="9" spans="2:8">
      <c r="B9" s="16">
        <v>45671</v>
      </c>
      <c r="C9" s="17"/>
      <c r="D9" s="22" t="s">
        <v>7</v>
      </c>
      <c r="E9" s="19"/>
      <c r="F9" s="20"/>
      <c r="G9" s="20">
        <v>15000</v>
      </c>
      <c r="H9" s="7">
        <f t="shared" si="0"/>
        <v>-64241.095890410958</v>
      </c>
    </row>
    <row r="10" spans="2:8">
      <c r="B10" s="16">
        <v>45705</v>
      </c>
      <c r="C10" s="17"/>
      <c r="D10" s="18" t="s">
        <v>8</v>
      </c>
      <c r="E10" s="23"/>
      <c r="F10" s="20"/>
      <c r="G10" s="20">
        <v>15000</v>
      </c>
      <c r="H10" s="7">
        <f t="shared" si="0"/>
        <v>-79241.095890410958</v>
      </c>
    </row>
    <row r="11" spans="2:8">
      <c r="B11" s="16"/>
      <c r="C11" s="17"/>
      <c r="D11" s="18" t="s">
        <v>9</v>
      </c>
      <c r="E11" s="23"/>
      <c r="F11" s="20"/>
      <c r="G11" s="20"/>
    </row>
    <row r="12" spans="2:8">
      <c r="B12" s="16"/>
      <c r="C12" s="17"/>
      <c r="D12" s="18"/>
      <c r="E12" s="23"/>
      <c r="F12" s="20"/>
      <c r="G12" s="20"/>
    </row>
    <row r="13" spans="2:8">
      <c r="B13" s="24">
        <v>45716</v>
      </c>
      <c r="C13" s="25"/>
      <c r="D13" s="26" t="s">
        <v>10</v>
      </c>
      <c r="E13" s="26"/>
      <c r="F13" s="27">
        <v>18500</v>
      </c>
      <c r="H13" s="7">
        <f>H10+F13-G13</f>
        <v>-60741.095890410958</v>
      </c>
    </row>
    <row r="14" spans="2:8">
      <c r="B14" s="16">
        <v>45721</v>
      </c>
      <c r="C14" s="17"/>
      <c r="D14" s="18" t="s">
        <v>11</v>
      </c>
      <c r="E14" s="19"/>
      <c r="F14" s="20"/>
      <c r="G14" s="20">
        <v>15000</v>
      </c>
      <c r="H14" s="7">
        <f t="shared" ref="H14:H28" si="1">H13+F14-G14</f>
        <v>-75741.095890410958</v>
      </c>
    </row>
    <row r="15" spans="2:8">
      <c r="B15" s="28">
        <v>45722</v>
      </c>
      <c r="C15" s="29"/>
      <c r="D15" s="30" t="s">
        <v>12</v>
      </c>
      <c r="E15" s="30"/>
      <c r="F15" s="31">
        <v>455</v>
      </c>
      <c r="H15" s="7">
        <f t="shared" si="1"/>
        <v>-75286.095890410958</v>
      </c>
    </row>
    <row r="16" spans="2:8">
      <c r="B16" s="24">
        <v>45746</v>
      </c>
      <c r="C16" s="25"/>
      <c r="D16" s="26" t="s">
        <v>13</v>
      </c>
      <c r="E16" s="26"/>
      <c r="F16" s="27">
        <v>18500</v>
      </c>
      <c r="H16" s="7">
        <f t="shared" si="1"/>
        <v>-56786.095890410958</v>
      </c>
    </row>
    <row r="17" spans="2:8">
      <c r="B17" s="28">
        <v>45750</v>
      </c>
      <c r="C17" s="29"/>
      <c r="D17" s="30" t="s">
        <v>12</v>
      </c>
      <c r="E17" s="30"/>
      <c r="F17" s="31">
        <v>315</v>
      </c>
      <c r="H17" s="7">
        <f t="shared" si="1"/>
        <v>-56471.095890410958</v>
      </c>
    </row>
    <row r="18" spans="2:8">
      <c r="B18" s="24">
        <v>45777</v>
      </c>
      <c r="C18" s="25"/>
      <c r="D18" s="26" t="s">
        <v>14</v>
      </c>
      <c r="E18" s="26"/>
      <c r="F18" s="27">
        <v>18500</v>
      </c>
      <c r="H18" s="7">
        <f t="shared" si="1"/>
        <v>-37971.095890410958</v>
      </c>
    </row>
    <row r="19" spans="2:8">
      <c r="B19" s="28">
        <v>45782</v>
      </c>
      <c r="C19" s="29"/>
      <c r="D19" s="30" t="s">
        <v>12</v>
      </c>
      <c r="E19" s="30"/>
      <c r="F19" s="31">
        <v>495</v>
      </c>
      <c r="H19" s="7">
        <f t="shared" si="1"/>
        <v>-37476.095890410958</v>
      </c>
    </row>
    <row r="20" spans="2:8">
      <c r="B20" s="28">
        <v>45818</v>
      </c>
      <c r="C20" s="29"/>
      <c r="D20" s="30" t="s">
        <v>12</v>
      </c>
      <c r="E20" s="30"/>
      <c r="F20" s="31">
        <v>435</v>
      </c>
      <c r="H20" s="7">
        <f t="shared" si="1"/>
        <v>-37041.095890410958</v>
      </c>
    </row>
    <row r="21" spans="2:8">
      <c r="B21" s="28">
        <v>45833</v>
      </c>
      <c r="C21" s="29"/>
      <c r="D21" s="30" t="s">
        <v>12</v>
      </c>
      <c r="E21" s="30"/>
      <c r="F21" s="31">
        <v>25</v>
      </c>
      <c r="G21" s="32"/>
      <c r="H21" s="7">
        <f t="shared" si="1"/>
        <v>-37016.095890410958</v>
      </c>
    </row>
    <row r="22" spans="2:8">
      <c r="D22" s="33" t="s">
        <v>15</v>
      </c>
      <c r="E22" s="33"/>
      <c r="F22" s="34">
        <v>300</v>
      </c>
      <c r="G22" s="32"/>
      <c r="H22" s="7">
        <f t="shared" si="1"/>
        <v>-36716.095890410958</v>
      </c>
    </row>
    <row r="23" spans="2:8">
      <c r="D23" s="33" t="s">
        <v>16</v>
      </c>
      <c r="E23" s="33"/>
      <c r="F23" s="35">
        <v>300</v>
      </c>
      <c r="G23" s="32"/>
      <c r="H23" s="7">
        <f t="shared" si="1"/>
        <v>-36416.095890410958</v>
      </c>
    </row>
    <row r="24" spans="2:8">
      <c r="D24" s="33" t="s">
        <v>17</v>
      </c>
      <c r="E24" s="33"/>
      <c r="F24" s="35">
        <v>150</v>
      </c>
      <c r="G24" s="32"/>
      <c r="H24" s="7">
        <f t="shared" si="1"/>
        <v>-36266.095890410958</v>
      </c>
    </row>
    <row r="25" spans="2:8">
      <c r="D25" s="33" t="s">
        <v>18</v>
      </c>
      <c r="E25" s="33"/>
      <c r="F25" s="34">
        <v>6766.1</v>
      </c>
      <c r="G25" s="32"/>
      <c r="H25" s="7">
        <f t="shared" si="1"/>
        <v>-29499.995890410959</v>
      </c>
    </row>
    <row r="26" spans="2:8">
      <c r="D26" s="33"/>
      <c r="E26" s="33"/>
      <c r="F26" s="35"/>
      <c r="G26" s="32"/>
      <c r="H26" s="7">
        <f t="shared" si="1"/>
        <v>-29499.995890410959</v>
      </c>
    </row>
    <row r="27" spans="2:8">
      <c r="B27" s="5">
        <v>46050</v>
      </c>
      <c r="D27" s="36" t="s">
        <v>19</v>
      </c>
      <c r="E27" s="33"/>
      <c r="F27" s="34">
        <v>20000</v>
      </c>
      <c r="G27" s="32"/>
      <c r="H27" s="35">
        <f t="shared" si="1"/>
        <v>-9499.995890410959</v>
      </c>
    </row>
    <row r="28" spans="2:8">
      <c r="B28" s="37">
        <v>46059</v>
      </c>
      <c r="D28" s="38" t="s">
        <v>20</v>
      </c>
      <c r="E28" s="39"/>
      <c r="F28" s="40">
        <v>9500</v>
      </c>
      <c r="G28" s="40"/>
      <c r="H28" s="40">
        <f t="shared" si="1"/>
        <v>4.109589041036088E-3</v>
      </c>
    </row>
    <row r="29" spans="2:8">
      <c r="B29" s="5">
        <v>46126</v>
      </c>
      <c r="D29" s="33" t="s">
        <v>510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0"/>
  <sheetViews>
    <sheetView topLeftCell="A134" zoomScale="160" zoomScaleNormal="160" workbookViewId="0">
      <selection activeCell="G138" sqref="G138"/>
    </sheetView>
  </sheetViews>
  <sheetFormatPr defaultColWidth="8.7109375" defaultRowHeight="12.75"/>
  <cols>
    <col min="1" max="1" width="3" customWidth="1"/>
    <col min="2" max="2" width="10.5703125" customWidth="1"/>
    <col min="3" max="3" width="12.28515625" style="6" customWidth="1"/>
    <col min="4" max="4" width="37.5703125" customWidth="1"/>
    <col min="5" max="5" width="13.140625" customWidth="1"/>
    <col min="6" max="6" width="7.85546875" customWidth="1"/>
    <col min="7" max="7" width="10.42578125" customWidth="1"/>
    <col min="8" max="8" width="11.42578125" customWidth="1"/>
    <col min="9" max="9" width="12.7109375" style="8" customWidth="1"/>
  </cols>
  <sheetData>
    <row r="1" spans="1:8">
      <c r="D1" s="41">
        <v>45727</v>
      </c>
    </row>
    <row r="2" spans="1:8" ht="15">
      <c r="B2" s="42" t="s">
        <v>21</v>
      </c>
      <c r="C2" s="43"/>
      <c r="H2" s="7"/>
    </row>
    <row r="3" spans="1:8">
      <c r="D3" t="s">
        <v>22</v>
      </c>
      <c r="H3" s="7"/>
    </row>
    <row r="4" spans="1:8" ht="21">
      <c r="D4" s="44" t="s">
        <v>23</v>
      </c>
      <c r="E4" s="45" t="s">
        <v>24</v>
      </c>
      <c r="H4" s="46">
        <f>G6/12</f>
        <v>2000</v>
      </c>
    </row>
    <row r="5" spans="1:8" ht="15">
      <c r="D5" s="47" t="s">
        <v>25</v>
      </c>
      <c r="E5" s="48">
        <v>45658</v>
      </c>
      <c r="F5" s="47"/>
      <c r="G5" s="49">
        <v>2324</v>
      </c>
      <c r="H5" s="50">
        <f>G8/G5</f>
        <v>10.327022375215146</v>
      </c>
    </row>
    <row r="6" spans="1:8" ht="15">
      <c r="D6" s="42" t="s">
        <v>26</v>
      </c>
      <c r="E6" s="51">
        <v>45839</v>
      </c>
      <c r="G6" s="52">
        <f>G8</f>
        <v>24000</v>
      </c>
      <c r="H6" s="52"/>
    </row>
    <row r="7" spans="1:8" ht="15">
      <c r="E7" s="53" t="s">
        <v>27</v>
      </c>
      <c r="F7" s="54" t="s">
        <v>28</v>
      </c>
      <c r="G7" s="55" t="s">
        <v>29</v>
      </c>
      <c r="H7" s="52" t="s">
        <v>30</v>
      </c>
    </row>
    <row r="8" spans="1:8">
      <c r="B8" s="56"/>
      <c r="C8" s="57"/>
      <c r="D8" t="s">
        <v>31</v>
      </c>
      <c r="E8" s="58" t="s">
        <v>32</v>
      </c>
      <c r="G8" s="7">
        <v>24000</v>
      </c>
      <c r="H8" s="7">
        <f>G8</f>
        <v>24000</v>
      </c>
    </row>
    <row r="9" spans="1:8">
      <c r="B9" s="56"/>
      <c r="C9" s="57"/>
      <c r="E9" s="25">
        <v>495</v>
      </c>
      <c r="G9" s="7"/>
      <c r="H9" s="7">
        <f t="shared" ref="H9:H18" si="0">H8-G9-F9</f>
        <v>24000</v>
      </c>
    </row>
    <row r="10" spans="1:8">
      <c r="B10" s="59">
        <v>44250</v>
      </c>
      <c r="D10" t="s">
        <v>33</v>
      </c>
      <c r="E10" s="60">
        <f>G10/E9</f>
        <v>4.0404040404040407</v>
      </c>
      <c r="G10" s="7">
        <v>2000</v>
      </c>
      <c r="H10" s="7">
        <f t="shared" si="0"/>
        <v>22000</v>
      </c>
    </row>
    <row r="11" spans="1:8">
      <c r="A11">
        <v>1</v>
      </c>
      <c r="B11" s="59">
        <v>44285</v>
      </c>
      <c r="D11" t="s">
        <v>33</v>
      </c>
      <c r="G11" s="7">
        <v>2000</v>
      </c>
      <c r="H11" s="7">
        <f t="shared" si="0"/>
        <v>20000</v>
      </c>
    </row>
    <row r="12" spans="1:8">
      <c r="A12">
        <v>2</v>
      </c>
      <c r="B12" s="59">
        <v>44316</v>
      </c>
      <c r="D12" t="s">
        <v>33</v>
      </c>
      <c r="G12" s="7">
        <v>2000</v>
      </c>
      <c r="H12" s="7">
        <f t="shared" si="0"/>
        <v>18000</v>
      </c>
    </row>
    <row r="13" spans="1:8">
      <c r="A13">
        <v>3</v>
      </c>
      <c r="B13" s="59">
        <v>44346</v>
      </c>
      <c r="D13" t="s">
        <v>33</v>
      </c>
      <c r="G13" s="7">
        <v>1000</v>
      </c>
      <c r="H13" s="7">
        <f t="shared" si="0"/>
        <v>17000</v>
      </c>
    </row>
    <row r="14" spans="1:8">
      <c r="A14">
        <v>4</v>
      </c>
      <c r="B14" s="59">
        <v>44377</v>
      </c>
      <c r="D14" t="s">
        <v>33</v>
      </c>
      <c r="G14" s="7">
        <v>3000</v>
      </c>
      <c r="H14" s="7">
        <f t="shared" si="0"/>
        <v>14000</v>
      </c>
    </row>
    <row r="15" spans="1:8">
      <c r="A15">
        <v>5</v>
      </c>
      <c r="B15" s="59">
        <v>44407</v>
      </c>
      <c r="D15" t="s">
        <v>33</v>
      </c>
      <c r="G15" s="7">
        <v>4000</v>
      </c>
      <c r="H15" s="7">
        <f t="shared" si="0"/>
        <v>10000</v>
      </c>
    </row>
    <row r="16" spans="1:8">
      <c r="A16">
        <v>6</v>
      </c>
      <c r="B16" s="59">
        <v>44788</v>
      </c>
      <c r="D16" t="s">
        <v>33</v>
      </c>
      <c r="G16" s="7">
        <v>10000</v>
      </c>
      <c r="H16" s="7">
        <f t="shared" si="0"/>
        <v>0</v>
      </c>
    </row>
    <row r="17" spans="1:10" ht="15">
      <c r="B17" s="59"/>
      <c r="D17" s="42" t="s">
        <v>34</v>
      </c>
      <c r="G17" s="7"/>
      <c r="H17" s="7">
        <f t="shared" si="0"/>
        <v>0</v>
      </c>
    </row>
    <row r="18" spans="1:10">
      <c r="B18" s="59"/>
      <c r="D18" s="61" t="s">
        <v>35</v>
      </c>
      <c r="E18" s="61"/>
      <c r="F18" s="61"/>
      <c r="H18" s="7">
        <f t="shared" si="0"/>
        <v>0</v>
      </c>
    </row>
    <row r="19" spans="1:10">
      <c r="B19" s="59"/>
      <c r="G19" s="7"/>
      <c r="H19" s="7"/>
    </row>
    <row r="20" spans="1:10" ht="21">
      <c r="D20" s="44" t="s">
        <v>36</v>
      </c>
      <c r="G20" s="7"/>
      <c r="H20" s="46">
        <f>G29/12</f>
        <v>3000</v>
      </c>
    </row>
    <row r="21" spans="1:10" ht="15">
      <c r="D21" s="47" t="s">
        <v>37</v>
      </c>
      <c r="E21" s="47"/>
      <c r="F21" s="47"/>
      <c r="G21" s="49">
        <v>2825</v>
      </c>
      <c r="H21" s="50">
        <f>G29/G21</f>
        <v>12.743362831858407</v>
      </c>
    </row>
    <row r="22" spans="1:10" ht="15">
      <c r="B22" s="56"/>
      <c r="C22" s="57"/>
      <c r="D22" s="42" t="s">
        <v>38</v>
      </c>
      <c r="G22">
        <f>G29</f>
        <v>36000</v>
      </c>
    </row>
    <row r="23" spans="1:10" ht="15">
      <c r="B23" s="56"/>
      <c r="C23" s="57"/>
      <c r="D23" s="42" t="s">
        <v>39</v>
      </c>
      <c r="G23" s="8">
        <f>G8</f>
        <v>24000</v>
      </c>
    </row>
    <row r="24" spans="1:10" ht="15">
      <c r="B24" s="56">
        <v>44407</v>
      </c>
      <c r="C24" s="57"/>
      <c r="D24" s="62" t="s">
        <v>40</v>
      </c>
      <c r="E24" s="63">
        <v>0.25979999999999998</v>
      </c>
      <c r="F24" s="30"/>
      <c r="G24" s="64">
        <f>G23*E24</f>
        <v>6235.2</v>
      </c>
    </row>
    <row r="25" spans="1:10" ht="15">
      <c r="D25" s="42" t="s">
        <v>41</v>
      </c>
      <c r="G25" s="65">
        <f>G23+G24</f>
        <v>30235.200000000001</v>
      </c>
      <c r="J25" s="66"/>
    </row>
    <row r="26" spans="1:10" ht="15">
      <c r="B26" s="56"/>
      <c r="C26" s="57"/>
      <c r="F26" s="54" t="s">
        <v>28</v>
      </c>
      <c r="G26" s="55" t="s">
        <v>29</v>
      </c>
      <c r="H26" s="52" t="s">
        <v>30</v>
      </c>
    </row>
    <row r="27" spans="1:10" ht="15">
      <c r="B27" s="56"/>
      <c r="C27" s="57"/>
      <c r="F27" s="66"/>
      <c r="G27" s="55"/>
      <c r="H27" s="7">
        <f>G27</f>
        <v>0</v>
      </c>
    </row>
    <row r="28" spans="1:10" ht="15">
      <c r="B28" s="56"/>
      <c r="C28" s="57"/>
      <c r="E28" s="66"/>
      <c r="F28" s="66"/>
      <c r="G28" s="55"/>
      <c r="H28" s="7">
        <f>H27+G28</f>
        <v>0</v>
      </c>
    </row>
    <row r="29" spans="1:10" ht="15">
      <c r="B29" s="56"/>
      <c r="C29" s="57"/>
      <c r="D29" t="s">
        <v>42</v>
      </c>
      <c r="G29" s="55">
        <v>36000</v>
      </c>
      <c r="H29" s="7">
        <f>H28+G29</f>
        <v>36000</v>
      </c>
    </row>
    <row r="30" spans="1:10" ht="15">
      <c r="B30" s="56"/>
      <c r="C30" s="57"/>
      <c r="E30" s="25">
        <v>783</v>
      </c>
      <c r="G30" s="55"/>
      <c r="H30" s="7">
        <f t="shared" ref="H30:H36" si="1">H29-G30-F30</f>
        <v>36000</v>
      </c>
    </row>
    <row r="31" spans="1:10">
      <c r="A31">
        <v>1</v>
      </c>
      <c r="B31" s="59">
        <v>44438</v>
      </c>
      <c r="D31" t="s">
        <v>43</v>
      </c>
      <c r="E31" s="60">
        <f>G32/E30</f>
        <v>2.554278416347382</v>
      </c>
      <c r="G31" s="7">
        <v>2000</v>
      </c>
      <c r="H31" s="7">
        <f t="shared" si="1"/>
        <v>34000</v>
      </c>
    </row>
    <row r="32" spans="1:10">
      <c r="A32">
        <v>2</v>
      </c>
      <c r="B32" s="59">
        <v>44469</v>
      </c>
      <c r="D32" t="s">
        <v>43</v>
      </c>
      <c r="G32" s="7">
        <v>2000</v>
      </c>
      <c r="H32" s="7">
        <f t="shared" si="1"/>
        <v>32000</v>
      </c>
    </row>
    <row r="33" spans="1:8">
      <c r="A33">
        <v>3</v>
      </c>
      <c r="B33" s="59">
        <v>44499</v>
      </c>
      <c r="D33" t="s">
        <v>43</v>
      </c>
      <c r="G33" s="7">
        <v>2000</v>
      </c>
      <c r="H33" s="7">
        <f t="shared" si="1"/>
        <v>30000</v>
      </c>
    </row>
    <row r="34" spans="1:8">
      <c r="A34">
        <v>4</v>
      </c>
      <c r="B34" s="59">
        <v>44530</v>
      </c>
      <c r="D34" t="s">
        <v>43</v>
      </c>
      <c r="G34" s="7">
        <v>2000</v>
      </c>
      <c r="H34" s="7">
        <f t="shared" si="1"/>
        <v>28000</v>
      </c>
    </row>
    <row r="35" spans="1:8">
      <c r="A35">
        <v>5</v>
      </c>
      <c r="B35" s="59">
        <v>44560</v>
      </c>
      <c r="D35" t="s">
        <v>43</v>
      </c>
      <c r="G35" s="7">
        <v>2000</v>
      </c>
      <c r="H35" s="7">
        <f t="shared" si="1"/>
        <v>26000</v>
      </c>
    </row>
    <row r="36" spans="1:8">
      <c r="A36">
        <v>6</v>
      </c>
      <c r="B36" s="59">
        <v>44591</v>
      </c>
      <c r="D36" t="s">
        <v>43</v>
      </c>
      <c r="G36" s="7">
        <v>2000</v>
      </c>
      <c r="H36" s="7">
        <f t="shared" si="1"/>
        <v>24000</v>
      </c>
    </row>
    <row r="37" spans="1:8">
      <c r="B37" s="59"/>
      <c r="E37" s="25">
        <v>968</v>
      </c>
      <c r="G37" s="7"/>
      <c r="H37" s="7"/>
    </row>
    <row r="38" spans="1:8">
      <c r="A38">
        <v>7</v>
      </c>
      <c r="B38" s="59">
        <v>44620</v>
      </c>
      <c r="D38" t="s">
        <v>44</v>
      </c>
      <c r="E38" s="60">
        <f>G38/E37</f>
        <v>3.0991735537190084</v>
      </c>
      <c r="G38" s="7">
        <v>3000</v>
      </c>
      <c r="H38" s="7">
        <f>H36-G38-F38</f>
        <v>21000</v>
      </c>
    </row>
    <row r="39" spans="1:8">
      <c r="A39">
        <v>8</v>
      </c>
      <c r="B39" s="59">
        <v>44650</v>
      </c>
      <c r="D39" t="s">
        <v>45</v>
      </c>
      <c r="G39" s="7">
        <v>3000</v>
      </c>
      <c r="H39" s="7">
        <f t="shared" ref="H39:H47" si="2">H38-G39-F39</f>
        <v>18000</v>
      </c>
    </row>
    <row r="40" spans="1:8" ht="15">
      <c r="A40">
        <v>9</v>
      </c>
      <c r="B40" s="59">
        <v>44681</v>
      </c>
      <c r="D40" s="42" t="s">
        <v>46</v>
      </c>
      <c r="G40" s="7">
        <v>5000</v>
      </c>
      <c r="H40" s="7">
        <f t="shared" si="2"/>
        <v>13000</v>
      </c>
    </row>
    <row r="41" spans="1:8" ht="15">
      <c r="A41">
        <v>10</v>
      </c>
      <c r="B41" s="59">
        <v>44711</v>
      </c>
      <c r="D41" s="42" t="s">
        <v>47</v>
      </c>
      <c r="E41" s="67"/>
      <c r="F41" s="67"/>
      <c r="G41" s="7">
        <v>3000</v>
      </c>
      <c r="H41" s="7">
        <f t="shared" si="2"/>
        <v>10000</v>
      </c>
    </row>
    <row r="42" spans="1:8" ht="15">
      <c r="A42">
        <v>11</v>
      </c>
      <c r="B42" s="59">
        <v>44742</v>
      </c>
      <c r="D42" s="42" t="s">
        <v>48</v>
      </c>
      <c r="F42" s="68">
        <v>4000</v>
      </c>
      <c r="G42" s="7"/>
      <c r="H42" s="7">
        <f t="shared" si="2"/>
        <v>6000</v>
      </c>
    </row>
    <row r="43" spans="1:8" ht="15">
      <c r="A43">
        <v>12</v>
      </c>
      <c r="B43" s="59">
        <v>44772</v>
      </c>
      <c r="D43" s="42" t="s">
        <v>49</v>
      </c>
      <c r="F43" s="68">
        <v>5000</v>
      </c>
      <c r="G43" s="7"/>
      <c r="H43" s="7">
        <f t="shared" si="2"/>
        <v>1000</v>
      </c>
    </row>
    <row r="44" spans="1:8" ht="15">
      <c r="A44">
        <v>13</v>
      </c>
      <c r="B44" s="59"/>
      <c r="D44" s="42" t="s">
        <v>50</v>
      </c>
      <c r="G44" s="7"/>
      <c r="H44" s="7">
        <f t="shared" si="2"/>
        <v>1000</v>
      </c>
    </row>
    <row r="45" spans="1:8" ht="15">
      <c r="A45">
        <v>14</v>
      </c>
      <c r="B45" s="59"/>
      <c r="D45" s="42" t="s">
        <v>51</v>
      </c>
      <c r="G45" s="7">
        <v>1000</v>
      </c>
      <c r="H45" s="7">
        <f t="shared" si="2"/>
        <v>0</v>
      </c>
    </row>
    <row r="46" spans="1:8">
      <c r="B46" s="59"/>
      <c r="G46" s="7"/>
      <c r="H46" s="7">
        <f t="shared" si="2"/>
        <v>0</v>
      </c>
    </row>
    <row r="47" spans="1:8">
      <c r="B47" s="59"/>
      <c r="D47" s="61" t="s">
        <v>35</v>
      </c>
      <c r="H47" s="7">
        <f t="shared" si="2"/>
        <v>0</v>
      </c>
    </row>
    <row r="48" spans="1:8">
      <c r="B48" s="59"/>
      <c r="G48" s="61"/>
      <c r="H48" s="7"/>
    </row>
    <row r="49" spans="1:8">
      <c r="B49" s="59"/>
      <c r="G49" s="61"/>
      <c r="H49" s="7"/>
    </row>
    <row r="50" spans="1:8">
      <c r="B50" s="59"/>
      <c r="G50" s="61"/>
      <c r="H50" s="7"/>
    </row>
    <row r="51" spans="1:8">
      <c r="B51" s="59"/>
      <c r="G51" s="61"/>
      <c r="H51" s="7"/>
    </row>
    <row r="52" spans="1:8">
      <c r="B52" s="59"/>
      <c r="G52" s="61"/>
      <c r="H52" s="7"/>
    </row>
    <row r="53" spans="1:8">
      <c r="B53" s="59"/>
      <c r="G53" s="61"/>
      <c r="H53" s="7"/>
    </row>
    <row r="54" spans="1:8">
      <c r="B54" s="59"/>
      <c r="G54" s="61"/>
      <c r="H54" s="7"/>
    </row>
    <row r="55" spans="1:8" ht="21">
      <c r="D55" s="44" t="s">
        <v>52</v>
      </c>
      <c r="G55" s="61"/>
      <c r="H55" s="46">
        <f>G57/12</f>
        <v>5000</v>
      </c>
    </row>
    <row r="56" spans="1:8" ht="15">
      <c r="D56" s="47" t="s">
        <v>37</v>
      </c>
      <c r="E56" s="47"/>
      <c r="F56" s="47"/>
      <c r="G56" s="49">
        <v>4253</v>
      </c>
      <c r="H56" s="50">
        <f>G62/G56</f>
        <v>14.107688690336234</v>
      </c>
    </row>
    <row r="57" spans="1:8" ht="15">
      <c r="D57" s="42" t="s">
        <v>53</v>
      </c>
      <c r="F57" s="54"/>
      <c r="G57">
        <f>G62</f>
        <v>60000</v>
      </c>
      <c r="H57" s="7"/>
    </row>
    <row r="58" spans="1:8" ht="15">
      <c r="D58" s="42" t="s">
        <v>39</v>
      </c>
      <c r="F58" s="54"/>
      <c r="G58" s="8">
        <f>G23+G24</f>
        <v>30235.200000000001</v>
      </c>
      <c r="H58" s="7"/>
    </row>
    <row r="59" spans="1:8" ht="15">
      <c r="B59" s="56">
        <v>44772</v>
      </c>
      <c r="C59" s="57"/>
      <c r="D59" s="62" t="s">
        <v>54</v>
      </c>
      <c r="E59" s="63">
        <v>0.71830000000000005</v>
      </c>
      <c r="F59" s="30"/>
      <c r="G59" s="64">
        <f>G58*E59</f>
        <v>21717.944160000003</v>
      </c>
      <c r="H59" s="7"/>
    </row>
    <row r="60" spans="1:8" ht="15">
      <c r="D60" s="42" t="s">
        <v>41</v>
      </c>
      <c r="F60" s="54"/>
      <c r="G60" s="65">
        <f>G58+G59</f>
        <v>51953.144160000003</v>
      </c>
    </row>
    <row r="61" spans="1:8" ht="15">
      <c r="F61" s="54" t="s">
        <v>28</v>
      </c>
      <c r="G61" s="55" t="s">
        <v>29</v>
      </c>
      <c r="H61" s="52" t="s">
        <v>30</v>
      </c>
    </row>
    <row r="62" spans="1:8" ht="15">
      <c r="D62" s="42" t="s">
        <v>55</v>
      </c>
      <c r="G62" s="55">
        <v>60000</v>
      </c>
      <c r="H62" s="7">
        <f>G62</f>
        <v>60000</v>
      </c>
    </row>
    <row r="63" spans="1:8" ht="15">
      <c r="D63" s="42"/>
      <c r="E63" s="25">
        <v>1095</v>
      </c>
      <c r="G63" s="55"/>
      <c r="H63" s="7">
        <f t="shared" ref="H63:H69" si="3">H62-G63-F63</f>
        <v>60000</v>
      </c>
    </row>
    <row r="64" spans="1:8">
      <c r="A64">
        <v>1</v>
      </c>
      <c r="B64" s="59">
        <v>44803</v>
      </c>
      <c r="D64" t="s">
        <v>45</v>
      </c>
      <c r="E64" s="60">
        <f>G64/E63</f>
        <v>2.7397260273972601</v>
      </c>
      <c r="G64">
        <v>3000</v>
      </c>
      <c r="H64" s="7">
        <f t="shared" si="3"/>
        <v>57000</v>
      </c>
    </row>
    <row r="65" spans="1:8" ht="15">
      <c r="A65">
        <v>2</v>
      </c>
      <c r="B65" s="59">
        <v>44834</v>
      </c>
      <c r="D65" t="s">
        <v>56</v>
      </c>
      <c r="G65">
        <v>3000</v>
      </c>
      <c r="H65" s="7">
        <f t="shared" si="3"/>
        <v>54000</v>
      </c>
    </row>
    <row r="66" spans="1:8">
      <c r="A66">
        <v>3</v>
      </c>
      <c r="B66" s="59">
        <v>44864</v>
      </c>
      <c r="D66" t="s">
        <v>45</v>
      </c>
      <c r="G66">
        <v>3000</v>
      </c>
      <c r="H66" s="7">
        <f t="shared" si="3"/>
        <v>51000</v>
      </c>
    </row>
    <row r="67" spans="1:8" ht="15">
      <c r="A67">
        <v>4</v>
      </c>
      <c r="B67" s="59">
        <v>44895</v>
      </c>
      <c r="D67" t="s">
        <v>57</v>
      </c>
      <c r="G67">
        <v>3000</v>
      </c>
      <c r="H67" s="7">
        <f t="shared" si="3"/>
        <v>48000</v>
      </c>
    </row>
    <row r="68" spans="1:8">
      <c r="A68">
        <v>5</v>
      </c>
      <c r="B68" s="59">
        <v>44925</v>
      </c>
      <c r="D68" t="s">
        <v>45</v>
      </c>
      <c r="F68" s="68">
        <v>3000</v>
      </c>
      <c r="H68" s="7">
        <f t="shared" si="3"/>
        <v>45000</v>
      </c>
    </row>
    <row r="69" spans="1:8" ht="15">
      <c r="A69">
        <v>6</v>
      </c>
      <c r="B69" s="59">
        <v>44956</v>
      </c>
      <c r="D69" t="s">
        <v>58</v>
      </c>
      <c r="F69" s="68">
        <v>6000</v>
      </c>
      <c r="H69" s="7">
        <f t="shared" si="3"/>
        <v>39000</v>
      </c>
    </row>
    <row r="70" spans="1:8">
      <c r="B70" s="59"/>
      <c r="E70" s="25">
        <v>1607</v>
      </c>
      <c r="F70" s="68"/>
      <c r="H70" s="7"/>
    </row>
    <row r="71" spans="1:8" ht="15">
      <c r="A71">
        <v>7</v>
      </c>
      <c r="B71" s="59">
        <v>44985</v>
      </c>
      <c r="D71" t="s">
        <v>59</v>
      </c>
      <c r="E71" s="60">
        <f>G71/E70</f>
        <v>4.0448039825762292</v>
      </c>
      <c r="G71">
        <v>6500</v>
      </c>
      <c r="H71" s="7">
        <f>H69-G71-F71</f>
        <v>32500</v>
      </c>
    </row>
    <row r="72" spans="1:8">
      <c r="A72">
        <v>8</v>
      </c>
      <c r="B72" s="59">
        <v>45015</v>
      </c>
      <c r="D72" t="s">
        <v>60</v>
      </c>
      <c r="G72">
        <v>6500</v>
      </c>
      <c r="H72" s="7">
        <f t="shared" ref="H72:H78" si="4">H71-G72-F72</f>
        <v>26000</v>
      </c>
    </row>
    <row r="73" spans="1:8">
      <c r="A73">
        <v>9</v>
      </c>
      <c r="B73" s="59">
        <v>45046</v>
      </c>
      <c r="D73" t="s">
        <v>60</v>
      </c>
      <c r="G73">
        <v>6500</v>
      </c>
      <c r="H73" s="7">
        <f t="shared" si="4"/>
        <v>19500</v>
      </c>
    </row>
    <row r="74" spans="1:8" ht="15">
      <c r="A74">
        <v>10</v>
      </c>
      <c r="B74" s="59">
        <v>45076</v>
      </c>
      <c r="D74" t="s">
        <v>61</v>
      </c>
      <c r="G74">
        <v>6500</v>
      </c>
      <c r="H74" s="7">
        <f t="shared" si="4"/>
        <v>13000</v>
      </c>
    </row>
    <row r="75" spans="1:8">
      <c r="A75">
        <v>11</v>
      </c>
      <c r="B75" s="59">
        <v>45107</v>
      </c>
      <c r="D75" t="s">
        <v>60</v>
      </c>
      <c r="G75">
        <v>6500</v>
      </c>
      <c r="H75" s="7">
        <f t="shared" si="4"/>
        <v>6500</v>
      </c>
    </row>
    <row r="76" spans="1:8">
      <c r="A76">
        <v>12</v>
      </c>
      <c r="B76" s="59">
        <v>45137</v>
      </c>
      <c r="D76" t="s">
        <v>60</v>
      </c>
      <c r="G76">
        <v>6500</v>
      </c>
      <c r="H76" s="7">
        <f t="shared" si="4"/>
        <v>0</v>
      </c>
    </row>
    <row r="77" spans="1:8">
      <c r="H77" s="7">
        <f t="shared" si="4"/>
        <v>0</v>
      </c>
    </row>
    <row r="78" spans="1:8">
      <c r="D78" s="61" t="s">
        <v>35</v>
      </c>
      <c r="H78" s="7">
        <f t="shared" si="4"/>
        <v>0</v>
      </c>
    </row>
    <row r="79" spans="1:8">
      <c r="H79" s="7"/>
    </row>
    <row r="80" spans="1:8" ht="21">
      <c r="D80" s="44" t="s">
        <v>62</v>
      </c>
      <c r="H80" s="69">
        <f>(G82)/12</f>
        <v>12600</v>
      </c>
    </row>
    <row r="81" spans="1:8" ht="15">
      <c r="D81" s="47" t="s">
        <v>37</v>
      </c>
      <c r="E81" s="47"/>
      <c r="F81" s="47"/>
      <c r="G81" s="49">
        <v>17002</v>
      </c>
      <c r="H81" s="50">
        <f>(G88+G89+G90)/G81</f>
        <v>8.8930714033643099</v>
      </c>
    </row>
    <row r="82" spans="1:8" ht="15">
      <c r="D82" s="42" t="s">
        <v>63</v>
      </c>
      <c r="G82" s="55">
        <f>SUM(G88:G90)</f>
        <v>151200</v>
      </c>
      <c r="H82" s="7"/>
    </row>
    <row r="83" spans="1:8" ht="15">
      <c r="D83" s="42" t="s">
        <v>39</v>
      </c>
      <c r="G83" s="8">
        <f>G58+G59</f>
        <v>51953.144160000003</v>
      </c>
      <c r="H83" s="7"/>
    </row>
    <row r="84" spans="1:8" ht="15">
      <c r="B84" s="56">
        <v>45137</v>
      </c>
      <c r="C84" s="57"/>
      <c r="D84" s="62" t="s">
        <v>64</v>
      </c>
      <c r="E84" s="63">
        <v>0.55910000000000004</v>
      </c>
      <c r="F84" s="30"/>
      <c r="G84" s="64">
        <f>G83*E84</f>
        <v>29047.002899856005</v>
      </c>
      <c r="H84" s="7"/>
    </row>
    <row r="85" spans="1:8" ht="15">
      <c r="D85" s="42" t="s">
        <v>41</v>
      </c>
      <c r="G85" s="65">
        <f>G83+G84</f>
        <v>81000.147059856012</v>
      </c>
    </row>
    <row r="86" spans="1:8" ht="15">
      <c r="F86" s="54" t="s">
        <v>28</v>
      </c>
      <c r="G86" s="55" t="s">
        <v>29</v>
      </c>
      <c r="H86" s="52" t="s">
        <v>30</v>
      </c>
    </row>
    <row r="87" spans="1:8" ht="15">
      <c r="D87" t="s">
        <v>65</v>
      </c>
      <c r="G87" s="55"/>
      <c r="H87" s="7">
        <f>G87</f>
        <v>0</v>
      </c>
    </row>
    <row r="88" spans="1:8" ht="15">
      <c r="D88">
        <v>6500</v>
      </c>
      <c r="E88">
        <v>6</v>
      </c>
      <c r="G88" s="55">
        <f>E88*D88</f>
        <v>39000</v>
      </c>
      <c r="H88" s="7">
        <f>H87+G88</f>
        <v>39000</v>
      </c>
    </row>
    <row r="89" spans="1:8" ht="15">
      <c r="D89">
        <v>17000</v>
      </c>
      <c r="E89">
        <v>4</v>
      </c>
      <c r="G89" s="55">
        <f>E89*D89</f>
        <v>68000</v>
      </c>
      <c r="H89" s="7">
        <f>H88+G89</f>
        <v>107000</v>
      </c>
    </row>
    <row r="90" spans="1:8" ht="15">
      <c r="D90">
        <v>22100</v>
      </c>
      <c r="E90">
        <v>2</v>
      </c>
      <c r="G90" s="55">
        <f>E90*D90</f>
        <v>44200</v>
      </c>
      <c r="H90" s="7">
        <f>H89+G90</f>
        <v>151200</v>
      </c>
    </row>
    <row r="91" spans="1:8">
      <c r="H91" s="7">
        <f>H90+G91</f>
        <v>151200</v>
      </c>
    </row>
    <row r="92" spans="1:8" ht="15">
      <c r="D92" s="70" t="s">
        <v>66</v>
      </c>
      <c r="E92" s="47"/>
      <c r="F92" s="47"/>
      <c r="G92" s="49"/>
      <c r="H92" s="7">
        <f>H91+G92</f>
        <v>151200</v>
      </c>
    </row>
    <row r="93" spans="1:8" ht="15">
      <c r="D93" s="70"/>
      <c r="E93" s="25">
        <v>1954</v>
      </c>
      <c r="F93" s="47"/>
      <c r="G93" s="49"/>
      <c r="H93" s="7">
        <f t="shared" ref="H93:H100" si="5">H92-G93-F93</f>
        <v>151200</v>
      </c>
    </row>
    <row r="94" spans="1:8">
      <c r="A94">
        <v>1</v>
      </c>
      <c r="B94" s="59">
        <v>45168</v>
      </c>
      <c r="D94" t="s">
        <v>60</v>
      </c>
      <c r="E94" s="60">
        <f>G94/E93</f>
        <v>3.3265097236438077</v>
      </c>
      <c r="G94">
        <v>6500</v>
      </c>
      <c r="H94" s="7">
        <f t="shared" si="5"/>
        <v>144700</v>
      </c>
    </row>
    <row r="95" spans="1:8" ht="15">
      <c r="A95">
        <v>2</v>
      </c>
      <c r="B95" s="59">
        <v>45199</v>
      </c>
      <c r="D95" t="s">
        <v>67</v>
      </c>
      <c r="F95" s="68">
        <v>6500</v>
      </c>
      <c r="H95" s="7">
        <f t="shared" si="5"/>
        <v>138200</v>
      </c>
    </row>
    <row r="96" spans="1:8">
      <c r="A96">
        <v>3</v>
      </c>
      <c r="B96" s="59">
        <v>45229</v>
      </c>
      <c r="D96" t="s">
        <v>60</v>
      </c>
      <c r="G96">
        <v>6500</v>
      </c>
      <c r="H96" s="7">
        <f t="shared" si="5"/>
        <v>131700</v>
      </c>
    </row>
    <row r="97" spans="1:8">
      <c r="A97">
        <v>4</v>
      </c>
      <c r="B97" s="59">
        <v>45260</v>
      </c>
      <c r="D97" t="s">
        <v>60</v>
      </c>
      <c r="G97">
        <v>6500</v>
      </c>
      <c r="H97" s="7">
        <f t="shared" si="5"/>
        <v>125200</v>
      </c>
    </row>
    <row r="98" spans="1:8">
      <c r="A98">
        <v>5</v>
      </c>
      <c r="B98" s="59">
        <v>45290</v>
      </c>
      <c r="D98" t="s">
        <v>60</v>
      </c>
      <c r="G98">
        <v>6500</v>
      </c>
      <c r="H98" s="7">
        <f t="shared" si="5"/>
        <v>118700</v>
      </c>
    </row>
    <row r="99" spans="1:8" ht="15">
      <c r="A99">
        <v>6</v>
      </c>
      <c r="B99" s="59">
        <v>45321</v>
      </c>
      <c r="D99" t="s">
        <v>68</v>
      </c>
      <c r="G99">
        <v>6500</v>
      </c>
      <c r="H99" s="7">
        <f t="shared" si="5"/>
        <v>112200</v>
      </c>
    </row>
    <row r="100" spans="1:8" ht="15">
      <c r="A100">
        <v>7</v>
      </c>
      <c r="B100" s="59">
        <v>45350</v>
      </c>
      <c r="D100" t="s">
        <v>69</v>
      </c>
      <c r="G100" s="71">
        <v>6500</v>
      </c>
      <c r="H100" s="7">
        <f t="shared" si="5"/>
        <v>105700</v>
      </c>
    </row>
    <row r="101" spans="1:8" ht="15">
      <c r="B101" s="59"/>
      <c r="E101" s="25">
        <v>2442</v>
      </c>
      <c r="G101" s="71"/>
      <c r="H101" s="7"/>
    </row>
    <row r="102" spans="1:8" ht="15">
      <c r="A102">
        <v>8</v>
      </c>
      <c r="B102" s="59">
        <v>45381</v>
      </c>
      <c r="D102" t="s">
        <v>70</v>
      </c>
      <c r="E102" s="60">
        <f>G102/E101</f>
        <v>6.1425061425061429</v>
      </c>
      <c r="G102">
        <v>15000</v>
      </c>
      <c r="H102" s="7">
        <f>H100-G102-F102</f>
        <v>90700</v>
      </c>
    </row>
    <row r="103" spans="1:8">
      <c r="A103">
        <v>9</v>
      </c>
      <c r="B103" s="59">
        <v>45412</v>
      </c>
      <c r="D103" t="s">
        <v>71</v>
      </c>
      <c r="G103">
        <v>15000</v>
      </c>
      <c r="H103" s="7">
        <f t="shared" ref="H103:H108" si="6">H102-G103-F103</f>
        <v>75700</v>
      </c>
    </row>
    <row r="104" spans="1:8">
      <c r="A104">
        <v>10</v>
      </c>
      <c r="B104" s="59">
        <v>45442</v>
      </c>
      <c r="D104" t="s">
        <v>71</v>
      </c>
      <c r="G104">
        <v>15000</v>
      </c>
      <c r="H104" s="7">
        <f t="shared" si="6"/>
        <v>60700</v>
      </c>
    </row>
    <row r="105" spans="1:8" ht="15">
      <c r="A105">
        <v>11</v>
      </c>
      <c r="B105" s="59">
        <v>45473</v>
      </c>
      <c r="D105" t="s">
        <v>72</v>
      </c>
      <c r="E105" s="72" t="s">
        <v>73</v>
      </c>
      <c r="F105" s="68">
        <v>15000</v>
      </c>
      <c r="H105" s="7">
        <f t="shared" si="6"/>
        <v>45700</v>
      </c>
    </row>
    <row r="106" spans="1:8">
      <c r="A106">
        <v>12</v>
      </c>
      <c r="B106" s="59">
        <v>45503</v>
      </c>
      <c r="D106" t="s">
        <v>71</v>
      </c>
      <c r="G106">
        <v>15000</v>
      </c>
      <c r="H106" s="7">
        <f t="shared" si="6"/>
        <v>30700</v>
      </c>
    </row>
    <row r="107" spans="1:8">
      <c r="H107" s="7">
        <f t="shared" si="6"/>
        <v>30700</v>
      </c>
    </row>
    <row r="108" spans="1:8">
      <c r="D108" s="61" t="s">
        <v>35</v>
      </c>
      <c r="H108" s="7">
        <f t="shared" si="6"/>
        <v>30700</v>
      </c>
    </row>
    <row r="109" spans="1:8">
      <c r="H109" s="7"/>
    </row>
    <row r="110" spans="1:8">
      <c r="A110" s="73"/>
      <c r="H110" s="7"/>
    </row>
    <row r="111" spans="1:8" ht="21">
      <c r="A111" s="74"/>
      <c r="B111" s="75"/>
      <c r="C111" s="76"/>
      <c r="D111" s="77" t="s">
        <v>74</v>
      </c>
      <c r="E111" s="78"/>
      <c r="F111" s="78"/>
      <c r="G111" s="78"/>
      <c r="H111" s="79">
        <f>G113/12</f>
        <v>25000</v>
      </c>
    </row>
    <row r="112" spans="1:8" ht="15">
      <c r="A112" s="80"/>
      <c r="B112" s="81"/>
      <c r="C112" s="82"/>
      <c r="D112" s="83" t="s">
        <v>37</v>
      </c>
      <c r="E112" s="83"/>
      <c r="F112" s="83"/>
      <c r="G112" s="84">
        <v>22104</v>
      </c>
      <c r="H112" s="85">
        <f>G119/G112</f>
        <v>13.572204125950055</v>
      </c>
    </row>
    <row r="113" spans="1:8" ht="15">
      <c r="A113" s="86"/>
      <c r="B113" s="87"/>
      <c r="C113" s="88"/>
      <c r="D113" s="89" t="s">
        <v>75</v>
      </c>
      <c r="E113" s="90"/>
      <c r="F113" s="90"/>
      <c r="G113" s="90">
        <f>G119</f>
        <v>300000</v>
      </c>
      <c r="H113" s="91"/>
    </row>
    <row r="114" spans="1:8" ht="15">
      <c r="D114" s="42" t="s">
        <v>39</v>
      </c>
      <c r="G114" s="8">
        <f>G83+G84</f>
        <v>81000.147059856012</v>
      </c>
      <c r="H114" s="7"/>
    </row>
    <row r="115" spans="1:8" ht="15">
      <c r="B115" s="56">
        <v>45503</v>
      </c>
      <c r="C115" s="57"/>
      <c r="D115" s="62" t="s">
        <v>76</v>
      </c>
      <c r="E115" s="63">
        <v>0.5383</v>
      </c>
      <c r="F115" s="30"/>
      <c r="G115" s="64">
        <f>G114*E115</f>
        <v>43602.379162320489</v>
      </c>
      <c r="H115" s="7"/>
    </row>
    <row r="116" spans="1:8" ht="15">
      <c r="D116" s="42" t="s">
        <v>41</v>
      </c>
      <c r="G116" s="65">
        <f>G114+G115</f>
        <v>124602.5262221765</v>
      </c>
    </row>
    <row r="117" spans="1:8" ht="15">
      <c r="F117" s="54" t="s">
        <v>28</v>
      </c>
      <c r="G117" s="55" t="s">
        <v>29</v>
      </c>
      <c r="H117" s="52" t="s">
        <v>30</v>
      </c>
    </row>
    <row r="118" spans="1:8" ht="15">
      <c r="D118" s="42" t="s">
        <v>77</v>
      </c>
      <c r="G118" s="55"/>
      <c r="H118" s="7">
        <f>H108</f>
        <v>30700</v>
      </c>
    </row>
    <row r="119" spans="1:8" ht="15">
      <c r="D119">
        <v>25000</v>
      </c>
      <c r="E119">
        <v>12</v>
      </c>
      <c r="G119" s="55">
        <f>E119*D119</f>
        <v>300000</v>
      </c>
      <c r="H119" s="7">
        <f>H118+G119</f>
        <v>330700</v>
      </c>
    </row>
    <row r="120" spans="1:8" ht="15">
      <c r="G120" s="55"/>
      <c r="H120" s="7">
        <f>H119+G120</f>
        <v>330700</v>
      </c>
    </row>
    <row r="121" spans="1:8" ht="15">
      <c r="G121" s="55"/>
      <c r="H121" s="7">
        <f>H120+G121</f>
        <v>330700</v>
      </c>
    </row>
    <row r="122" spans="1:8" ht="15">
      <c r="G122" s="55"/>
      <c r="H122" s="7">
        <f>H121+G122</f>
        <v>330700</v>
      </c>
    </row>
    <row r="123" spans="1:8" ht="15">
      <c r="D123" s="70"/>
      <c r="E123" s="25">
        <v>2981</v>
      </c>
      <c r="G123" s="49"/>
      <c r="H123" s="7">
        <f>H122+G123</f>
        <v>330700</v>
      </c>
    </row>
    <row r="124" spans="1:8" ht="15">
      <c r="D124" s="92" t="s">
        <v>78</v>
      </c>
      <c r="E124" s="60">
        <f>F125/E123</f>
        <v>5.0318685005031867</v>
      </c>
      <c r="F124" s="47"/>
      <c r="G124" s="49"/>
      <c r="H124" s="7">
        <f t="shared" ref="H124:H130" si="7">H123-G124-F124</f>
        <v>330700</v>
      </c>
    </row>
    <row r="125" spans="1:8">
      <c r="A125">
        <v>1</v>
      </c>
      <c r="B125" s="59">
        <v>45534</v>
      </c>
      <c r="D125" t="s">
        <v>79</v>
      </c>
      <c r="E125" s="72" t="s">
        <v>73</v>
      </c>
      <c r="F125" s="68">
        <v>15000</v>
      </c>
      <c r="H125" s="7">
        <f t="shared" si="7"/>
        <v>315700</v>
      </c>
    </row>
    <row r="126" spans="1:8">
      <c r="A126">
        <v>2</v>
      </c>
      <c r="B126" s="59">
        <v>45565</v>
      </c>
      <c r="D126" t="s">
        <v>80</v>
      </c>
      <c r="E126" s="72" t="s">
        <v>73</v>
      </c>
      <c r="F126" s="68">
        <v>15000</v>
      </c>
      <c r="H126" s="7">
        <f t="shared" si="7"/>
        <v>300700</v>
      </c>
    </row>
    <row r="127" spans="1:8">
      <c r="A127">
        <v>3</v>
      </c>
      <c r="B127" s="59">
        <v>45595</v>
      </c>
      <c r="D127" t="s">
        <v>81</v>
      </c>
      <c r="E127" s="72" t="s">
        <v>73</v>
      </c>
      <c r="F127" s="68">
        <v>15000</v>
      </c>
      <c r="H127" s="7">
        <f t="shared" si="7"/>
        <v>285700</v>
      </c>
    </row>
    <row r="128" spans="1:8">
      <c r="A128">
        <v>4</v>
      </c>
      <c r="B128" s="59">
        <v>45626</v>
      </c>
      <c r="D128" t="s">
        <v>82</v>
      </c>
      <c r="E128" s="72" t="s">
        <v>73</v>
      </c>
      <c r="F128" s="68">
        <v>15000</v>
      </c>
      <c r="H128" s="7">
        <f t="shared" si="7"/>
        <v>270700</v>
      </c>
    </row>
    <row r="129" spans="1:8">
      <c r="A129">
        <v>5</v>
      </c>
      <c r="B129" s="59">
        <v>45656</v>
      </c>
      <c r="D129" t="s">
        <v>83</v>
      </c>
      <c r="E129" s="93" t="s">
        <v>73</v>
      </c>
      <c r="F129" s="68">
        <v>15000</v>
      </c>
      <c r="H129" s="7">
        <f t="shared" si="7"/>
        <v>255700</v>
      </c>
    </row>
    <row r="130" spans="1:8">
      <c r="A130">
        <v>6</v>
      </c>
      <c r="B130" s="59">
        <v>45687</v>
      </c>
      <c r="D130" t="s">
        <v>84</v>
      </c>
      <c r="E130" s="93" t="s">
        <v>73</v>
      </c>
      <c r="F130" s="68">
        <v>15000</v>
      </c>
      <c r="H130" s="7">
        <f t="shared" si="7"/>
        <v>240700</v>
      </c>
    </row>
    <row r="131" spans="1:8">
      <c r="B131" s="59"/>
      <c r="E131" s="25">
        <v>4292</v>
      </c>
      <c r="F131" s="68"/>
      <c r="H131" s="7"/>
    </row>
    <row r="132" spans="1:8">
      <c r="B132" s="59"/>
      <c r="E132" s="60">
        <f>F133/E131</f>
        <v>3.4948741845293569</v>
      </c>
      <c r="F132" s="68"/>
      <c r="H132" s="7"/>
    </row>
    <row r="133" spans="1:8" ht="15">
      <c r="A133">
        <v>7</v>
      </c>
      <c r="B133" s="59">
        <v>45716</v>
      </c>
      <c r="D133" t="s">
        <v>85</v>
      </c>
      <c r="E133" s="93" t="s">
        <v>73</v>
      </c>
      <c r="F133" s="68">
        <v>15000</v>
      </c>
      <c r="G133" s="71"/>
      <c r="H133" s="7">
        <f>H130-G133-F133</f>
        <v>225700</v>
      </c>
    </row>
    <row r="134" spans="1:8">
      <c r="A134">
        <v>8</v>
      </c>
      <c r="B134" s="59">
        <v>45746</v>
      </c>
      <c r="D134" t="s">
        <v>86</v>
      </c>
      <c r="F134" s="68"/>
      <c r="H134" s="7">
        <f t="shared" ref="H134:H140" si="8">H133-G134-F134</f>
        <v>225700</v>
      </c>
    </row>
    <row r="135" spans="1:8">
      <c r="A135">
        <v>9</v>
      </c>
      <c r="B135" s="59" t="s">
        <v>87</v>
      </c>
      <c r="D135" t="s">
        <v>88</v>
      </c>
      <c r="F135" s="68"/>
      <c r="H135" s="7">
        <f t="shared" si="8"/>
        <v>225700</v>
      </c>
    </row>
    <row r="136" spans="1:8">
      <c r="A136">
        <v>10</v>
      </c>
      <c r="B136" s="59">
        <v>45807</v>
      </c>
      <c r="D136" t="s">
        <v>89</v>
      </c>
      <c r="H136" s="7">
        <f t="shared" si="8"/>
        <v>225700</v>
      </c>
    </row>
    <row r="137" spans="1:8">
      <c r="A137">
        <v>11</v>
      </c>
      <c r="B137" s="59">
        <v>45838</v>
      </c>
      <c r="D137" t="s">
        <v>90</v>
      </c>
      <c r="H137" s="7">
        <f t="shared" si="8"/>
        <v>225700</v>
      </c>
    </row>
    <row r="138" spans="1:8">
      <c r="A138">
        <v>12</v>
      </c>
      <c r="B138" s="59">
        <v>45868</v>
      </c>
      <c r="D138" t="s">
        <v>90</v>
      </c>
      <c r="H138" s="7">
        <f t="shared" si="8"/>
        <v>225700</v>
      </c>
    </row>
    <row r="139" spans="1:8">
      <c r="H139" s="7">
        <f t="shared" si="8"/>
        <v>225700</v>
      </c>
    </row>
    <row r="140" spans="1:8">
      <c r="D140" s="61" t="s">
        <v>35</v>
      </c>
      <c r="H140" s="7">
        <f t="shared" si="8"/>
        <v>225700</v>
      </c>
    </row>
    <row r="141" spans="1:8" ht="15">
      <c r="E141" s="94" t="s">
        <v>91</v>
      </c>
      <c r="F141" s="95">
        <f>SUM(F125:F140)</f>
        <v>105000</v>
      </c>
      <c r="G141" s="95"/>
      <c r="H141" s="50">
        <f>F141/G112</f>
        <v>4.7502714440825189</v>
      </c>
    </row>
    <row r="142" spans="1:8">
      <c r="D142" t="s">
        <v>92</v>
      </c>
      <c r="H142" s="8">
        <f>SUM(F8:F140)</f>
        <v>144500</v>
      </c>
    </row>
    <row r="143" spans="1:8">
      <c r="D143" t="s">
        <v>93</v>
      </c>
      <c r="H143" s="8">
        <f>SUM(G8)+G25+G60+G85+G116</f>
        <v>311791.01744203252</v>
      </c>
    </row>
    <row r="144" spans="1:8">
      <c r="D144" t="s">
        <v>94</v>
      </c>
      <c r="H144" s="8">
        <f>H143-H142</f>
        <v>167291.01744203252</v>
      </c>
    </row>
    <row r="145" spans="2:8">
      <c r="H145" s="7"/>
    </row>
    <row r="146" spans="2:8">
      <c r="B146" s="96">
        <v>45831</v>
      </c>
      <c r="D146" t="s">
        <v>95</v>
      </c>
      <c r="H146" s="7"/>
    </row>
    <row r="147" spans="2:8">
      <c r="B147" s="97">
        <v>45350</v>
      </c>
      <c r="D147" t="s">
        <v>96</v>
      </c>
      <c r="G147">
        <v>8500</v>
      </c>
      <c r="H147" s="7">
        <f t="shared" ref="H147:H152" si="9">H146-G147-F147</f>
        <v>-8500</v>
      </c>
    </row>
    <row r="148" spans="2:8">
      <c r="D148" t="s">
        <v>97</v>
      </c>
      <c r="E148" s="98">
        <v>0.5</v>
      </c>
      <c r="G148">
        <f>G147*E148</f>
        <v>4250</v>
      </c>
      <c r="H148" s="7">
        <f t="shared" si="9"/>
        <v>-12750</v>
      </c>
    </row>
    <row r="149" spans="2:8">
      <c r="D149" t="s">
        <v>98</v>
      </c>
      <c r="F149">
        <v>-105000</v>
      </c>
      <c r="H149" s="7">
        <f t="shared" si="9"/>
        <v>92250</v>
      </c>
    </row>
    <row r="150" spans="2:8">
      <c r="D150" t="s">
        <v>99</v>
      </c>
      <c r="G150">
        <v>45000</v>
      </c>
      <c r="H150" s="7">
        <f t="shared" si="9"/>
        <v>47250</v>
      </c>
    </row>
    <row r="151" spans="2:8">
      <c r="D151" t="s">
        <v>12</v>
      </c>
      <c r="H151" s="7">
        <f t="shared" si="9"/>
        <v>47250</v>
      </c>
    </row>
    <row r="152" spans="2:8">
      <c r="B152" s="96">
        <v>45722</v>
      </c>
      <c r="G152">
        <v>455</v>
      </c>
      <c r="H152" s="7">
        <f t="shared" si="9"/>
        <v>46795</v>
      </c>
    </row>
    <row r="153" spans="2:8">
      <c r="B153" s="96">
        <v>45750</v>
      </c>
      <c r="G153">
        <v>315</v>
      </c>
      <c r="H153" s="7"/>
    </row>
    <row r="154" spans="2:8">
      <c r="H154" s="7"/>
    </row>
    <row r="155" spans="2:8">
      <c r="D155" t="s">
        <v>100</v>
      </c>
      <c r="H155" s="7"/>
    </row>
    <row r="156" spans="2:8">
      <c r="B156" s="96">
        <v>45728</v>
      </c>
      <c r="D156" t="s">
        <v>101</v>
      </c>
    </row>
    <row r="157" spans="2:8">
      <c r="B157" s="96">
        <v>45777</v>
      </c>
      <c r="D157" t="s">
        <v>102</v>
      </c>
      <c r="H157" s="7">
        <v>150000</v>
      </c>
    </row>
    <row r="158" spans="2:8">
      <c r="D158" t="s">
        <v>103</v>
      </c>
      <c r="H158" s="7"/>
    </row>
    <row r="159" spans="2:8">
      <c r="H159" s="7"/>
    </row>
    <row r="160" spans="2:8">
      <c r="B160" s="96">
        <v>45740</v>
      </c>
      <c r="D160" t="s">
        <v>104</v>
      </c>
      <c r="H160" s="7"/>
    </row>
    <row r="161" spans="2:8">
      <c r="D161" t="s">
        <v>105</v>
      </c>
      <c r="H161" s="7"/>
    </row>
    <row r="163" spans="2:8">
      <c r="B163" s="96">
        <v>45807</v>
      </c>
      <c r="D163" t="s">
        <v>106</v>
      </c>
    </row>
    <row r="164" spans="2:8">
      <c r="D164" t="s">
        <v>107</v>
      </c>
    </row>
    <row r="167" spans="2:8">
      <c r="B167" s="99">
        <v>44197</v>
      </c>
      <c r="C167" s="100">
        <f>E9</f>
        <v>495</v>
      </c>
      <c r="E167" s="101">
        <f>E10</f>
        <v>4.0404040404040407</v>
      </c>
    </row>
    <row r="168" spans="2:8">
      <c r="B168" s="99">
        <v>44378</v>
      </c>
      <c r="C168" s="100">
        <f>E9</f>
        <v>495</v>
      </c>
      <c r="E168" s="101">
        <f>E10</f>
        <v>4.0404040404040407</v>
      </c>
    </row>
    <row r="169" spans="2:8">
      <c r="B169" s="99">
        <v>44562</v>
      </c>
      <c r="C169" s="100">
        <f>E30</f>
        <v>783</v>
      </c>
      <c r="E169" s="101">
        <f>E31</f>
        <v>2.554278416347382</v>
      </c>
    </row>
    <row r="170" spans="2:8">
      <c r="B170" s="99">
        <v>44743</v>
      </c>
      <c r="C170" s="100">
        <f>E37</f>
        <v>968</v>
      </c>
      <c r="E170" s="101">
        <f>E38</f>
        <v>3.0991735537190084</v>
      </c>
    </row>
    <row r="171" spans="2:8">
      <c r="B171" s="99">
        <v>44927</v>
      </c>
      <c r="C171" s="100">
        <f>E63</f>
        <v>1095</v>
      </c>
      <c r="E171" s="101">
        <f>E64</f>
        <v>2.7397260273972601</v>
      </c>
    </row>
    <row r="172" spans="2:8">
      <c r="B172" s="99">
        <v>45108</v>
      </c>
      <c r="C172" s="100">
        <f>E70</f>
        <v>1607</v>
      </c>
      <c r="E172" s="101">
        <f>E71</f>
        <v>4.0448039825762292</v>
      </c>
    </row>
    <row r="173" spans="2:8">
      <c r="B173" s="99">
        <v>45292</v>
      </c>
      <c r="C173" s="100">
        <f>E93</f>
        <v>1954</v>
      </c>
      <c r="E173" s="101">
        <f>E94</f>
        <v>3.3265097236438077</v>
      </c>
    </row>
    <row r="174" spans="2:8">
      <c r="B174" s="99">
        <v>45474</v>
      </c>
      <c r="C174" s="100">
        <f>E101</f>
        <v>2442</v>
      </c>
      <c r="E174" s="101">
        <f>E102</f>
        <v>6.1425061425061429</v>
      </c>
    </row>
    <row r="175" spans="2:8">
      <c r="B175" s="99">
        <v>45658</v>
      </c>
      <c r="C175" s="100">
        <f>E123</f>
        <v>2981</v>
      </c>
      <c r="E175" s="101">
        <f>E124</f>
        <v>5.0318685005031867</v>
      </c>
    </row>
    <row r="176" spans="2:8">
      <c r="B176" s="99"/>
      <c r="C176" s="100"/>
      <c r="E176" s="101"/>
    </row>
    <row r="177" spans="2:5">
      <c r="B177" s="99"/>
    </row>
    <row r="178" spans="2:5">
      <c r="B178" s="102">
        <v>9</v>
      </c>
      <c r="C178" s="102"/>
      <c r="D178" t="s">
        <v>108</v>
      </c>
      <c r="E178" s="101">
        <f>SUM(E167:E177)</f>
        <v>35.019674427501101</v>
      </c>
    </row>
    <row r="179" spans="2:5">
      <c r="B179" s="102">
        <v>9</v>
      </c>
      <c r="C179" s="102"/>
      <c r="D179" t="s">
        <v>109</v>
      </c>
      <c r="E179" s="101">
        <f>E178/B179</f>
        <v>3.8910749363890114</v>
      </c>
    </row>
    <row r="180" spans="2:5">
      <c r="B180" s="99"/>
    </row>
    <row r="181" spans="2:5">
      <c r="B181" s="99"/>
    </row>
    <row r="182" spans="2:5">
      <c r="B182" s="99"/>
      <c r="D182" t="s">
        <v>110</v>
      </c>
    </row>
    <row r="183" spans="2:5">
      <c r="B183" s="99">
        <v>45839</v>
      </c>
      <c r="C183" s="100">
        <v>4250</v>
      </c>
      <c r="D183" s="103" t="s">
        <v>111</v>
      </c>
      <c r="E183" s="104">
        <f>E179*C183</f>
        <v>16537.068479653299</v>
      </c>
    </row>
    <row r="184" spans="2:5">
      <c r="B184" s="99"/>
      <c r="D184" s="103" t="s">
        <v>112</v>
      </c>
      <c r="E184" s="104">
        <f>E167*C183</f>
        <v>17171.717171717173</v>
      </c>
    </row>
    <row r="185" spans="2:5">
      <c r="B185" s="99">
        <v>46023</v>
      </c>
      <c r="C185" s="6">
        <f>C183+(C183*C186)</f>
        <v>5100</v>
      </c>
      <c r="D185" s="94" t="s">
        <v>113</v>
      </c>
      <c r="E185" s="104">
        <f>E167*C185</f>
        <v>20606.060606060608</v>
      </c>
    </row>
    <row r="186" spans="2:5">
      <c r="C186" s="98">
        <v>0.2</v>
      </c>
      <c r="D186" s="94" t="s">
        <v>114</v>
      </c>
    </row>
    <row r="187" spans="2:5">
      <c r="D187" t="s">
        <v>115</v>
      </c>
      <c r="E187" s="104">
        <f>E174*C185</f>
        <v>31326.781326781329</v>
      </c>
    </row>
    <row r="189" spans="2:5">
      <c r="B189" s="97">
        <v>46012</v>
      </c>
      <c r="C189" s="100">
        <v>6000</v>
      </c>
      <c r="D189" t="s">
        <v>116</v>
      </c>
      <c r="E189" s="104">
        <f>E167*C189</f>
        <v>24242.424242424244</v>
      </c>
    </row>
    <row r="190" spans="2:5">
      <c r="D190" t="s">
        <v>117</v>
      </c>
      <c r="E190" s="104">
        <f>E174*C189</f>
        <v>36855.036855036858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8"/>
  <sheetViews>
    <sheetView topLeftCell="A34" zoomScale="190" zoomScaleNormal="190" workbookViewId="0">
      <selection activeCell="D46" sqref="D46"/>
    </sheetView>
  </sheetViews>
  <sheetFormatPr defaultColWidth="8.7109375"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customWidth="1"/>
    <col min="8" max="10" width="10.85546875" customWidth="1"/>
    <col min="11" max="11" width="5.5703125" customWidth="1"/>
    <col min="12" max="12" width="10.28515625" customWidth="1"/>
    <col min="13" max="13" width="6.7109375" customWidth="1"/>
    <col min="14" max="14" width="9.140625" customWidth="1"/>
  </cols>
  <sheetData>
    <row r="1" spans="1:11">
      <c r="A1" s="105"/>
      <c r="B1" s="54" t="s">
        <v>118</v>
      </c>
      <c r="C1" t="s">
        <v>119</v>
      </c>
      <c r="D1" s="7"/>
      <c r="E1" s="7"/>
      <c r="F1" s="7"/>
      <c r="G1" s="7"/>
      <c r="H1" s="7"/>
      <c r="I1" s="7"/>
      <c r="J1" s="7"/>
      <c r="K1" s="7"/>
    </row>
    <row r="2" spans="1:11" ht="25.5">
      <c r="A2" s="106" t="s">
        <v>120</v>
      </c>
      <c r="C2" s="7"/>
      <c r="D2" s="7"/>
      <c r="E2" s="7"/>
      <c r="F2" s="7"/>
      <c r="G2" s="7" t="s">
        <v>121</v>
      </c>
      <c r="H2" s="7" t="s">
        <v>122</v>
      </c>
      <c r="I2" s="7"/>
    </row>
    <row r="3" spans="1:11">
      <c r="A3" s="107" t="s">
        <v>123</v>
      </c>
      <c r="B3" s="108" t="s">
        <v>124</v>
      </c>
      <c r="C3" s="109" t="s">
        <v>125</v>
      </c>
      <c r="D3" s="109" t="s">
        <v>33</v>
      </c>
      <c r="E3" s="109" t="s">
        <v>126</v>
      </c>
      <c r="F3" s="109" t="s">
        <v>127</v>
      </c>
      <c r="G3" s="109" t="s">
        <v>128</v>
      </c>
      <c r="H3" s="109"/>
      <c r="I3" s="109" t="s">
        <v>129</v>
      </c>
      <c r="J3" s="109" t="s">
        <v>130</v>
      </c>
      <c r="K3" s="109" t="s">
        <v>131</v>
      </c>
    </row>
    <row r="4" spans="1:11">
      <c r="A4" s="107"/>
      <c r="B4" s="108" t="s">
        <v>132</v>
      </c>
      <c r="C4" s="109"/>
      <c r="D4" s="109"/>
      <c r="E4" s="109"/>
      <c r="F4" s="109"/>
      <c r="G4" s="109"/>
      <c r="H4" s="109"/>
      <c r="I4" s="109"/>
      <c r="J4" s="109"/>
      <c r="K4" s="109"/>
    </row>
    <row r="5" spans="1:11">
      <c r="A5" s="110"/>
      <c r="B5" t="s">
        <v>133</v>
      </c>
      <c r="C5" s="61"/>
      <c r="D5" s="61"/>
      <c r="E5" s="7"/>
      <c r="F5" s="61"/>
      <c r="G5" s="61"/>
      <c r="H5" s="61"/>
      <c r="I5" s="61"/>
    </row>
    <row r="6" spans="1:11">
      <c r="A6" s="111">
        <v>44255</v>
      </c>
      <c r="B6" t="s">
        <v>134</v>
      </c>
      <c r="C6" s="61">
        <v>24000</v>
      </c>
      <c r="D6" s="61">
        <v>24000</v>
      </c>
      <c r="E6" s="7">
        <f>C6-D6</f>
        <v>0</v>
      </c>
      <c r="F6" s="61">
        <f>D6/12</f>
        <v>2000</v>
      </c>
      <c r="G6" s="61"/>
      <c r="H6" s="61"/>
      <c r="I6" s="61"/>
      <c r="J6">
        <v>2320</v>
      </c>
      <c r="K6" s="112">
        <f>D6/J6</f>
        <v>10.344827586206897</v>
      </c>
    </row>
    <row r="7" spans="1:11">
      <c r="A7" s="111">
        <v>44407</v>
      </c>
      <c r="B7" t="s">
        <v>135</v>
      </c>
      <c r="C7" s="61">
        <v>36000</v>
      </c>
      <c r="D7" s="61">
        <v>36000</v>
      </c>
      <c r="E7" s="7">
        <f>C7-D7</f>
        <v>0</v>
      </c>
      <c r="F7" s="61">
        <f>D7/12</f>
        <v>3000</v>
      </c>
      <c r="G7" s="61">
        <v>19.25</v>
      </c>
      <c r="H7" s="61">
        <f>F6*(100+G7)/100</f>
        <v>2385</v>
      </c>
      <c r="I7" s="61">
        <f>F7/F6-1</f>
        <v>0.5</v>
      </c>
      <c r="J7">
        <v>2830</v>
      </c>
      <c r="K7" s="112">
        <f>D7/J7</f>
        <v>12.720848056537102</v>
      </c>
    </row>
    <row r="8" spans="1:11">
      <c r="A8" s="113">
        <v>44772</v>
      </c>
      <c r="B8" t="s">
        <v>136</v>
      </c>
      <c r="C8" s="7">
        <v>60000</v>
      </c>
      <c r="D8" s="7">
        <v>60000</v>
      </c>
      <c r="E8" s="7">
        <f>C8-D8</f>
        <v>0</v>
      </c>
      <c r="F8" s="61">
        <f>D8/12</f>
        <v>5000</v>
      </c>
      <c r="G8" s="61">
        <v>80.209999999999994</v>
      </c>
      <c r="H8" s="61">
        <f>F7*(100+G8)/100</f>
        <v>5406.2999999999993</v>
      </c>
      <c r="I8" s="61">
        <f>F8/F7-1</f>
        <v>0.66666666666666674</v>
      </c>
      <c r="J8">
        <v>5500</v>
      </c>
      <c r="K8" s="112">
        <f>D8/J8</f>
        <v>10.909090909090908</v>
      </c>
    </row>
    <row r="9" spans="1:11">
      <c r="A9" s="113">
        <v>45137</v>
      </c>
      <c r="B9" s="59" t="s">
        <v>137</v>
      </c>
      <c r="C9" s="7">
        <v>129000</v>
      </c>
      <c r="D9" s="7">
        <v>120500</v>
      </c>
      <c r="E9" s="7">
        <f>C9-D9</f>
        <v>8500</v>
      </c>
      <c r="F9" s="61">
        <f>C9/12</f>
        <v>10750</v>
      </c>
      <c r="G9" s="61">
        <f>58.94/2</f>
        <v>29.47</v>
      </c>
      <c r="H9" s="61">
        <f>F8*(100+(G9/2))/100</f>
        <v>5736.75</v>
      </c>
      <c r="I9" s="61">
        <f>F9/F8-1</f>
        <v>1.1499999999999999</v>
      </c>
      <c r="J9">
        <v>11400</v>
      </c>
      <c r="K9" s="112">
        <f>D9/J9</f>
        <v>10.570175438596491</v>
      </c>
    </row>
    <row r="10" spans="1:11">
      <c r="A10" s="113">
        <v>45701</v>
      </c>
      <c r="B10" t="s">
        <v>138</v>
      </c>
      <c r="C10" s="7">
        <f>J10*K10+E9</f>
        <v>229540</v>
      </c>
      <c r="D10" s="7">
        <f>D52</f>
        <v>120000</v>
      </c>
      <c r="E10" s="7">
        <f>C10-D10</f>
        <v>109540</v>
      </c>
      <c r="F10">
        <f>ROUND((C10-E9)/10,)</f>
        <v>22104</v>
      </c>
      <c r="G10" s="61">
        <v>75</v>
      </c>
      <c r="H10" s="61">
        <f>F9*(100+(G10/2))/100</f>
        <v>14781.25</v>
      </c>
      <c r="I10" s="61">
        <f>F10/F9-1</f>
        <v>1.0561860465116277</v>
      </c>
      <c r="J10">
        <v>22104</v>
      </c>
      <c r="K10" s="112">
        <v>10</v>
      </c>
    </row>
    <row r="11" spans="1:11">
      <c r="A11" s="113"/>
      <c r="C11" s="7"/>
      <c r="D11" s="7"/>
      <c r="E11" s="7"/>
    </row>
    <row r="12" spans="1:11">
      <c r="A12" s="113"/>
      <c r="E12" s="7"/>
    </row>
    <row r="13" spans="1:11">
      <c r="A13" s="113"/>
      <c r="E13" s="7"/>
    </row>
    <row r="14" spans="1:11">
      <c r="A14" t="s">
        <v>139</v>
      </c>
    </row>
    <row r="15" spans="1:11">
      <c r="A15" t="s">
        <v>140</v>
      </c>
    </row>
    <row r="16" spans="1:11">
      <c r="A16" t="s">
        <v>141</v>
      </c>
    </row>
    <row r="17" spans="1:2">
      <c r="A17" s="59">
        <v>45168</v>
      </c>
      <c r="B17" t="s">
        <v>142</v>
      </c>
    </row>
    <row r="18" spans="1:2">
      <c r="A18" t="s">
        <v>143</v>
      </c>
    </row>
    <row r="19" spans="1:2">
      <c r="A19" t="s">
        <v>144</v>
      </c>
    </row>
    <row r="20" spans="1:2">
      <c r="A20" t="s">
        <v>145</v>
      </c>
    </row>
    <row r="21" spans="1:2">
      <c r="A21" t="s">
        <v>146</v>
      </c>
    </row>
    <row r="22" spans="1:2">
      <c r="A22" t="s">
        <v>147</v>
      </c>
    </row>
    <row r="23" spans="1:2">
      <c r="A23" t="s">
        <v>148</v>
      </c>
    </row>
    <row r="24" spans="1:2">
      <c r="A24" t="s">
        <v>149</v>
      </c>
    </row>
    <row r="25" spans="1:2">
      <c r="A25" t="s">
        <v>150</v>
      </c>
    </row>
    <row r="26" spans="1:2">
      <c r="A26" s="114">
        <v>45350</v>
      </c>
      <c r="B26" t="s">
        <v>151</v>
      </c>
    </row>
    <row r="27" spans="1:2">
      <c r="A27" s="115"/>
      <c r="B27" t="s">
        <v>152</v>
      </c>
    </row>
    <row r="28" spans="1:2">
      <c r="A28" s="115"/>
      <c r="B28" t="s">
        <v>153</v>
      </c>
    </row>
    <row r="29" spans="1:2">
      <c r="A29" s="115"/>
      <c r="B29" t="s">
        <v>154</v>
      </c>
    </row>
    <row r="30" spans="1:2">
      <c r="B30" t="s">
        <v>155</v>
      </c>
    </row>
    <row r="31" spans="1:2">
      <c r="B31" t="s">
        <v>156</v>
      </c>
    </row>
    <row r="33" spans="1:7">
      <c r="A33" t="s">
        <v>157</v>
      </c>
      <c r="C33">
        <v>22104</v>
      </c>
      <c r="D33">
        <v>12</v>
      </c>
      <c r="G33">
        <f>D33*C33</f>
        <v>265248</v>
      </c>
    </row>
    <row r="35" spans="1:7">
      <c r="C35" t="s">
        <v>158</v>
      </c>
      <c r="D35" t="s">
        <v>159</v>
      </c>
      <c r="E35" t="s">
        <v>126</v>
      </c>
    </row>
    <row r="37" spans="1:7">
      <c r="A37" t="s">
        <v>160</v>
      </c>
    </row>
    <row r="38" spans="1:7">
      <c r="G38" s="7">
        <f>G33-D38</f>
        <v>265248</v>
      </c>
    </row>
    <row r="39" spans="1:7">
      <c r="A39" s="59">
        <v>45534</v>
      </c>
      <c r="B39" s="116"/>
      <c r="C39">
        <v>15000</v>
      </c>
      <c r="D39">
        <v>15000</v>
      </c>
      <c r="E39" s="7">
        <f>C39-D39</f>
        <v>0</v>
      </c>
      <c r="F39" s="7"/>
      <c r="G39" s="7">
        <f>G33-D39</f>
        <v>250248</v>
      </c>
    </row>
    <row r="40" spans="1:7">
      <c r="A40" s="115">
        <v>45565</v>
      </c>
      <c r="C40">
        <f>C39</f>
        <v>15000</v>
      </c>
      <c r="D40">
        <v>15000</v>
      </c>
      <c r="E40" s="7">
        <f t="shared" ref="E40:E50" si="0">C40-D40+E39</f>
        <v>0</v>
      </c>
      <c r="G40" s="7">
        <f t="shared" ref="G40:G50" si="1">G39-D40</f>
        <v>235248</v>
      </c>
    </row>
    <row r="41" spans="1:7">
      <c r="A41" s="115">
        <v>45595</v>
      </c>
      <c r="C41">
        <f>C40</f>
        <v>15000</v>
      </c>
      <c r="D41">
        <v>15000</v>
      </c>
      <c r="E41" s="7">
        <f t="shared" si="0"/>
        <v>0</v>
      </c>
      <c r="G41" s="7">
        <f t="shared" si="1"/>
        <v>220248</v>
      </c>
    </row>
    <row r="42" spans="1:7">
      <c r="A42" s="115">
        <v>45626</v>
      </c>
      <c r="C42">
        <f>C41</f>
        <v>15000</v>
      </c>
      <c r="D42">
        <v>15000</v>
      </c>
      <c r="E42" s="7">
        <f t="shared" si="0"/>
        <v>0</v>
      </c>
      <c r="G42" s="7">
        <f t="shared" si="1"/>
        <v>205248</v>
      </c>
    </row>
    <row r="43" spans="1:7">
      <c r="A43" s="115">
        <v>45656</v>
      </c>
      <c r="C43">
        <f>C42</f>
        <v>15000</v>
      </c>
      <c r="D43">
        <v>15000</v>
      </c>
      <c r="E43" s="7">
        <f t="shared" si="0"/>
        <v>0</v>
      </c>
      <c r="G43" s="7">
        <f t="shared" si="1"/>
        <v>190248</v>
      </c>
    </row>
    <row r="44" spans="1:7">
      <c r="A44" s="117">
        <v>45687</v>
      </c>
      <c r="C44">
        <f>C43</f>
        <v>15000</v>
      </c>
      <c r="D44">
        <v>15000</v>
      </c>
      <c r="E44" s="7">
        <f t="shared" si="0"/>
        <v>0</v>
      </c>
      <c r="G44" s="7">
        <f t="shared" si="1"/>
        <v>175248</v>
      </c>
    </row>
    <row r="45" spans="1:7">
      <c r="A45" s="118">
        <v>45716</v>
      </c>
      <c r="B45" s="119"/>
      <c r="C45">
        <f>G50/6</f>
        <v>24208</v>
      </c>
      <c r="D45" s="119">
        <v>15000</v>
      </c>
      <c r="E45" s="120">
        <f t="shared" si="0"/>
        <v>9208</v>
      </c>
      <c r="F45" s="119"/>
      <c r="G45" s="7">
        <f t="shared" si="1"/>
        <v>160248</v>
      </c>
    </row>
    <row r="46" spans="1:7">
      <c r="A46" s="117">
        <v>45721</v>
      </c>
      <c r="B46" t="s">
        <v>161</v>
      </c>
      <c r="C46">
        <f>C45</f>
        <v>24208</v>
      </c>
      <c r="D46">
        <v>15000</v>
      </c>
      <c r="E46" s="7">
        <f t="shared" si="0"/>
        <v>18416</v>
      </c>
      <c r="G46" s="7">
        <f t="shared" si="1"/>
        <v>145248</v>
      </c>
    </row>
    <row r="47" spans="1:7">
      <c r="A47" s="117">
        <v>45777</v>
      </c>
      <c r="C47">
        <f>C46</f>
        <v>24208</v>
      </c>
      <c r="E47" s="7">
        <f t="shared" si="0"/>
        <v>42624</v>
      </c>
      <c r="G47" s="7">
        <f t="shared" si="1"/>
        <v>145248</v>
      </c>
    </row>
    <row r="48" spans="1:7">
      <c r="A48" s="117">
        <v>45807</v>
      </c>
      <c r="C48">
        <f>C47</f>
        <v>24208</v>
      </c>
      <c r="E48" s="7">
        <f t="shared" si="0"/>
        <v>66832</v>
      </c>
      <c r="G48" s="7">
        <f t="shared" si="1"/>
        <v>145248</v>
      </c>
    </row>
    <row r="49" spans="1:11">
      <c r="A49" s="117">
        <v>45838</v>
      </c>
      <c r="C49">
        <f>C48</f>
        <v>24208</v>
      </c>
      <c r="E49" s="7">
        <f t="shared" si="0"/>
        <v>91040</v>
      </c>
      <c r="G49" s="7">
        <f t="shared" si="1"/>
        <v>145248</v>
      </c>
    </row>
    <row r="50" spans="1:11">
      <c r="A50" s="117">
        <v>45868</v>
      </c>
      <c r="C50">
        <f>C49</f>
        <v>24208</v>
      </c>
      <c r="E50" s="7">
        <f t="shared" si="0"/>
        <v>115248</v>
      </c>
      <c r="G50" s="7">
        <f t="shared" si="1"/>
        <v>145248</v>
      </c>
    </row>
    <row r="52" spans="1:11">
      <c r="B52" t="s">
        <v>162</v>
      </c>
      <c r="C52">
        <f>SUM(C39:C51)</f>
        <v>235248</v>
      </c>
      <c r="D52">
        <f>SUM(D39:D51)</f>
        <v>120000</v>
      </c>
    </row>
    <row r="53" spans="1:11">
      <c r="B53" t="s">
        <v>163</v>
      </c>
      <c r="C53">
        <f>C52/12</f>
        <v>19604</v>
      </c>
      <c r="D53">
        <f>D52/12</f>
        <v>10000</v>
      </c>
    </row>
    <row r="56" spans="1:11">
      <c r="C56" t="s">
        <v>158</v>
      </c>
      <c r="D56" t="s">
        <v>159</v>
      </c>
      <c r="E56" t="s">
        <v>126</v>
      </c>
    </row>
    <row r="57" spans="1:11">
      <c r="A57" t="s">
        <v>164</v>
      </c>
      <c r="C57">
        <v>78000</v>
      </c>
    </row>
    <row r="58" spans="1:11">
      <c r="A58" t="s">
        <v>165</v>
      </c>
    </row>
    <row r="60" spans="1:11">
      <c r="A60" s="59">
        <v>45168</v>
      </c>
      <c r="B60" s="116" t="s">
        <v>166</v>
      </c>
      <c r="C60">
        <v>6500</v>
      </c>
      <c r="D60">
        <v>6500</v>
      </c>
      <c r="E60" s="7">
        <f>C60-D60</f>
        <v>0</v>
      </c>
      <c r="F60" s="7"/>
      <c r="G60" s="7">
        <f t="shared" ref="G60:G71" si="2">D60-F60</f>
        <v>6500</v>
      </c>
      <c r="H60" s="7"/>
      <c r="I60" s="7"/>
      <c r="J60" s="7"/>
      <c r="K60" s="7"/>
    </row>
    <row r="61" spans="1:11">
      <c r="A61" s="121">
        <v>45199</v>
      </c>
      <c r="B61" s="30" t="s">
        <v>167</v>
      </c>
      <c r="C61" s="30">
        <v>6500</v>
      </c>
      <c r="D61" s="30">
        <v>6500</v>
      </c>
      <c r="E61" s="31">
        <f t="shared" ref="E61:E71" si="3">C61-D61+E60</f>
        <v>0</v>
      </c>
      <c r="F61" s="30"/>
      <c r="G61" s="31">
        <f t="shared" si="2"/>
        <v>6500</v>
      </c>
      <c r="H61" s="7"/>
      <c r="I61" s="7"/>
      <c r="J61" s="7"/>
      <c r="K61" s="7"/>
    </row>
    <row r="62" spans="1:11">
      <c r="A62" s="115">
        <v>45229</v>
      </c>
      <c r="B62" t="s">
        <v>168</v>
      </c>
      <c r="C62">
        <v>6500</v>
      </c>
      <c r="D62">
        <v>6500</v>
      </c>
      <c r="E62" s="7">
        <f t="shared" si="3"/>
        <v>0</v>
      </c>
      <c r="G62" s="7">
        <f t="shared" si="2"/>
        <v>6500</v>
      </c>
      <c r="H62" s="7"/>
      <c r="I62" s="7"/>
      <c r="J62" s="7"/>
      <c r="K62" s="7"/>
    </row>
    <row r="63" spans="1:11">
      <c r="A63" s="115">
        <v>45260</v>
      </c>
      <c r="B63" t="s">
        <v>168</v>
      </c>
      <c r="C63">
        <v>6500</v>
      </c>
      <c r="D63">
        <v>6500</v>
      </c>
      <c r="E63" s="7">
        <f t="shared" si="3"/>
        <v>0</v>
      </c>
      <c r="G63" s="7">
        <f t="shared" si="2"/>
        <v>6500</v>
      </c>
      <c r="H63" s="7"/>
      <c r="I63" s="7"/>
      <c r="J63" s="7"/>
      <c r="K63" s="7"/>
    </row>
    <row r="64" spans="1:11">
      <c r="A64" s="115">
        <v>45290</v>
      </c>
      <c r="B64" t="s">
        <v>168</v>
      </c>
      <c r="C64">
        <v>6500</v>
      </c>
      <c r="D64">
        <v>6500</v>
      </c>
      <c r="E64" s="7">
        <f t="shared" si="3"/>
        <v>0</v>
      </c>
      <c r="G64" s="7">
        <f t="shared" si="2"/>
        <v>6500</v>
      </c>
      <c r="H64" s="7"/>
      <c r="I64" s="7"/>
      <c r="J64" s="7"/>
      <c r="K64" s="7"/>
    </row>
    <row r="65" spans="1:11">
      <c r="A65" s="117">
        <v>45321</v>
      </c>
      <c r="C65">
        <v>6500</v>
      </c>
      <c r="D65">
        <v>6500</v>
      </c>
      <c r="E65" s="7">
        <f t="shared" si="3"/>
        <v>0</v>
      </c>
      <c r="G65" s="7">
        <f t="shared" si="2"/>
        <v>6500</v>
      </c>
      <c r="H65" s="7"/>
      <c r="I65" s="7"/>
      <c r="J65" s="7"/>
      <c r="K65" s="7"/>
    </row>
    <row r="66" spans="1:11">
      <c r="A66" s="118">
        <v>45350</v>
      </c>
      <c r="B66" s="119"/>
      <c r="C66" s="119">
        <v>15000</v>
      </c>
      <c r="D66" s="119">
        <v>6500</v>
      </c>
      <c r="E66" s="120">
        <f t="shared" si="3"/>
        <v>8500</v>
      </c>
      <c r="F66" s="119"/>
      <c r="G66" s="120">
        <f t="shared" si="2"/>
        <v>6500</v>
      </c>
      <c r="H66" s="7"/>
      <c r="I66" s="7"/>
      <c r="J66" s="7"/>
      <c r="K66" s="7"/>
    </row>
    <row r="67" spans="1:11">
      <c r="A67" s="117">
        <v>45381</v>
      </c>
      <c r="C67">
        <v>15000</v>
      </c>
      <c r="D67">
        <v>15000</v>
      </c>
      <c r="E67" s="7">
        <f t="shared" si="3"/>
        <v>8500</v>
      </c>
      <c r="G67" s="7">
        <f t="shared" si="2"/>
        <v>15000</v>
      </c>
      <c r="H67" s="7"/>
      <c r="I67" s="7"/>
      <c r="J67" s="7"/>
      <c r="K67" s="7"/>
    </row>
    <row r="68" spans="1:11">
      <c r="A68" s="117">
        <v>45412</v>
      </c>
      <c r="C68">
        <v>15000</v>
      </c>
      <c r="D68">
        <v>15000</v>
      </c>
      <c r="E68" s="7">
        <f t="shared" si="3"/>
        <v>8500</v>
      </c>
      <c r="G68" s="7">
        <f t="shared" si="2"/>
        <v>15000</v>
      </c>
      <c r="H68" s="7"/>
      <c r="I68" s="7"/>
      <c r="J68" s="7"/>
      <c r="K68" s="7"/>
    </row>
    <row r="69" spans="1:11">
      <c r="A69" s="117">
        <v>45442</v>
      </c>
      <c r="C69">
        <v>15000</v>
      </c>
      <c r="D69">
        <v>15000</v>
      </c>
      <c r="E69" s="7">
        <f t="shared" si="3"/>
        <v>8500</v>
      </c>
      <c r="G69" s="7">
        <f t="shared" si="2"/>
        <v>15000</v>
      </c>
      <c r="H69" s="7"/>
      <c r="I69" s="7"/>
      <c r="J69" s="7"/>
      <c r="K69" s="7"/>
    </row>
    <row r="70" spans="1:11">
      <c r="A70" s="117">
        <v>45473</v>
      </c>
      <c r="C70">
        <v>15000</v>
      </c>
      <c r="D70">
        <v>15000</v>
      </c>
      <c r="E70" s="7">
        <f t="shared" si="3"/>
        <v>8500</v>
      </c>
      <c r="G70" s="7">
        <f t="shared" si="2"/>
        <v>15000</v>
      </c>
      <c r="H70" s="7"/>
      <c r="I70" s="7"/>
      <c r="J70" s="7"/>
      <c r="K70" s="7"/>
    </row>
    <row r="71" spans="1:11">
      <c r="A71" s="117">
        <v>45503</v>
      </c>
      <c r="C71">
        <v>15000</v>
      </c>
      <c r="D71">
        <v>15000</v>
      </c>
      <c r="E71" s="7">
        <f t="shared" si="3"/>
        <v>8500</v>
      </c>
      <c r="G71" s="7">
        <f t="shared" si="2"/>
        <v>15000</v>
      </c>
      <c r="H71" s="7"/>
      <c r="I71" s="7"/>
      <c r="J71" s="7"/>
      <c r="K71" s="7"/>
    </row>
    <row r="73" spans="1:11">
      <c r="B73" t="s">
        <v>162</v>
      </c>
      <c r="C73">
        <f>SUM(C60:C72)</f>
        <v>129000</v>
      </c>
      <c r="D73">
        <f>SUM(D60:D72)</f>
        <v>120500</v>
      </c>
    </row>
    <row r="74" spans="1:11">
      <c r="B74" t="s">
        <v>163</v>
      </c>
      <c r="D74">
        <f>D73/12</f>
        <v>10041.666666666666</v>
      </c>
    </row>
    <row r="83" spans="1:11">
      <c r="A83" s="107" t="s">
        <v>123</v>
      </c>
      <c r="B83" s="108" t="s">
        <v>124</v>
      </c>
      <c r="C83" s="109" t="s">
        <v>169</v>
      </c>
      <c r="D83" s="109" t="s">
        <v>33</v>
      </c>
      <c r="E83" s="109" t="s">
        <v>126</v>
      </c>
      <c r="F83" s="109" t="s">
        <v>170</v>
      </c>
      <c r="G83" s="109" t="s">
        <v>171</v>
      </c>
      <c r="H83" s="109"/>
      <c r="I83" s="109"/>
      <c r="J83" s="109"/>
      <c r="K83" s="109"/>
    </row>
    <row r="84" spans="1:11">
      <c r="A84" s="107">
        <v>2021</v>
      </c>
      <c r="B84" t="s">
        <v>172</v>
      </c>
      <c r="C84" s="7">
        <v>24000</v>
      </c>
      <c r="D84" s="7"/>
      <c r="E84" s="7">
        <f>C84-D84</f>
        <v>24000</v>
      </c>
      <c r="F84" s="7"/>
      <c r="G84" s="7">
        <f>D84-F84</f>
        <v>0</v>
      </c>
      <c r="H84" s="7"/>
      <c r="I84" s="7"/>
      <c r="J84" s="7"/>
      <c r="K84" s="7"/>
    </row>
    <row r="85" spans="1:11">
      <c r="A85" s="113"/>
      <c r="B85" s="59"/>
      <c r="C85" s="7"/>
      <c r="D85" s="7">
        <v>24000</v>
      </c>
      <c r="E85" s="7">
        <f>E84-D85</f>
        <v>0</v>
      </c>
      <c r="F85" s="7"/>
      <c r="G85" s="7">
        <f>D85-F85</f>
        <v>24000</v>
      </c>
      <c r="H85" s="7"/>
      <c r="I85" s="7"/>
      <c r="J85" s="7"/>
      <c r="K85" s="7"/>
    </row>
    <row r="86" spans="1:11">
      <c r="B86" t="s">
        <v>173</v>
      </c>
      <c r="C86" s="7"/>
      <c r="D86" s="7"/>
      <c r="E86" s="7"/>
      <c r="F86" s="7"/>
      <c r="G86" s="7"/>
      <c r="H86" s="7"/>
      <c r="I86" s="7"/>
      <c r="J86" s="7"/>
      <c r="K86" s="7"/>
    </row>
    <row r="90" spans="1:11">
      <c r="A90" s="107" t="s">
        <v>123</v>
      </c>
      <c r="B90" s="108" t="s">
        <v>124</v>
      </c>
      <c r="C90" s="109" t="s">
        <v>169</v>
      </c>
      <c r="D90" s="109" t="s">
        <v>33</v>
      </c>
      <c r="E90" s="109" t="s">
        <v>126</v>
      </c>
      <c r="F90" s="109" t="s">
        <v>170</v>
      </c>
      <c r="G90" s="109" t="s">
        <v>171</v>
      </c>
      <c r="H90" s="109"/>
      <c r="I90" s="109"/>
      <c r="J90" s="109"/>
      <c r="K90" s="109"/>
    </row>
    <row r="91" spans="1:11">
      <c r="A91" s="107">
        <v>2022</v>
      </c>
      <c r="B91" t="s">
        <v>172</v>
      </c>
      <c r="C91" s="7">
        <v>36000</v>
      </c>
      <c r="D91" s="7"/>
      <c r="E91" s="7">
        <f>C91-D91</f>
        <v>36000</v>
      </c>
      <c r="F91" s="7"/>
      <c r="G91" s="7">
        <f t="shared" ref="G91:G100" si="4">D91-F91</f>
        <v>0</v>
      </c>
      <c r="H91" s="7"/>
      <c r="I91" s="7"/>
      <c r="J91" s="7"/>
      <c r="K91" s="7"/>
    </row>
    <row r="92" spans="1:11">
      <c r="A92" s="113"/>
      <c r="B92" s="59"/>
      <c r="C92" s="7"/>
      <c r="D92" s="7"/>
      <c r="E92" s="7">
        <f t="shared" ref="E92:E108" si="5">E91-D92</f>
        <v>36000</v>
      </c>
      <c r="F92" s="7"/>
      <c r="G92" s="7">
        <f t="shared" si="4"/>
        <v>0</v>
      </c>
      <c r="H92" s="7"/>
      <c r="I92" s="7"/>
      <c r="J92" s="7"/>
      <c r="K92" s="7"/>
    </row>
    <row r="93" spans="1:11">
      <c r="B93" t="s">
        <v>174</v>
      </c>
      <c r="C93" s="7"/>
      <c r="D93" s="7"/>
      <c r="E93" s="7">
        <f t="shared" si="5"/>
        <v>36000</v>
      </c>
      <c r="F93" s="7"/>
      <c r="G93" s="7">
        <f t="shared" si="4"/>
        <v>0</v>
      </c>
      <c r="H93" s="7"/>
      <c r="I93" s="7"/>
      <c r="J93" s="7"/>
      <c r="K93" s="7"/>
    </row>
    <row r="94" spans="1:11">
      <c r="A94" s="113"/>
      <c r="B94" s="59"/>
      <c r="C94" s="7"/>
      <c r="D94" s="7"/>
      <c r="E94" s="7">
        <f t="shared" si="5"/>
        <v>36000</v>
      </c>
      <c r="F94" s="7"/>
      <c r="G94" s="7">
        <f t="shared" si="4"/>
        <v>0</v>
      </c>
      <c r="H94" s="7"/>
      <c r="I94" s="7"/>
      <c r="J94" s="7"/>
      <c r="K94" s="7"/>
    </row>
    <row r="95" spans="1:11">
      <c r="A95" s="113">
        <v>44438</v>
      </c>
      <c r="B95" s="59" t="s">
        <v>175</v>
      </c>
      <c r="C95" s="7">
        <v>2000</v>
      </c>
      <c r="D95" s="7">
        <v>0</v>
      </c>
      <c r="E95" s="7">
        <f t="shared" si="5"/>
        <v>36000</v>
      </c>
      <c r="F95" s="7"/>
      <c r="G95" s="7">
        <f t="shared" si="4"/>
        <v>0</v>
      </c>
      <c r="H95" s="7"/>
      <c r="I95" s="7"/>
      <c r="J95" s="7"/>
      <c r="K95" s="7"/>
    </row>
    <row r="96" spans="1:11">
      <c r="A96" s="113">
        <v>44469</v>
      </c>
      <c r="B96" s="59" t="s">
        <v>175</v>
      </c>
      <c r="C96" s="7">
        <v>2000</v>
      </c>
      <c r="D96" s="7">
        <v>4000</v>
      </c>
      <c r="E96" s="7">
        <f t="shared" si="5"/>
        <v>32000</v>
      </c>
      <c r="F96" s="7"/>
      <c r="G96" s="7">
        <f t="shared" si="4"/>
        <v>4000</v>
      </c>
      <c r="H96" s="7"/>
      <c r="I96" s="7"/>
      <c r="J96" s="7"/>
      <c r="K96" s="7"/>
    </row>
    <row r="97" spans="1:12">
      <c r="A97" s="113">
        <v>44499</v>
      </c>
      <c r="B97" t="s">
        <v>175</v>
      </c>
      <c r="C97" s="7">
        <v>2000</v>
      </c>
      <c r="D97" s="7">
        <v>2000</v>
      </c>
      <c r="E97" s="7">
        <f t="shared" si="5"/>
        <v>30000</v>
      </c>
      <c r="F97" s="7"/>
      <c r="G97" s="7">
        <f t="shared" si="4"/>
        <v>2000</v>
      </c>
      <c r="H97" s="7"/>
      <c r="I97" s="7"/>
      <c r="J97" s="7"/>
      <c r="K97" s="7"/>
    </row>
    <row r="98" spans="1:12">
      <c r="A98" s="113">
        <v>44530</v>
      </c>
      <c r="B98" t="s">
        <v>176</v>
      </c>
      <c r="C98" s="7">
        <v>2000</v>
      </c>
      <c r="D98" s="7">
        <v>2000</v>
      </c>
      <c r="E98" s="7">
        <f t="shared" si="5"/>
        <v>28000</v>
      </c>
      <c r="F98" s="7"/>
      <c r="G98" s="7">
        <f t="shared" si="4"/>
        <v>2000</v>
      </c>
      <c r="H98" s="7"/>
      <c r="I98" s="7"/>
      <c r="J98" s="7"/>
      <c r="K98" s="7"/>
    </row>
    <row r="99" spans="1:12">
      <c r="A99" s="113">
        <v>44560</v>
      </c>
      <c r="B99" t="s">
        <v>177</v>
      </c>
      <c r="C99" s="7">
        <v>2000</v>
      </c>
      <c r="D99" s="7">
        <v>2000</v>
      </c>
      <c r="E99" s="7">
        <f t="shared" si="5"/>
        <v>26000</v>
      </c>
      <c r="F99" s="7"/>
      <c r="G99" s="7">
        <f t="shared" si="4"/>
        <v>2000</v>
      </c>
      <c r="H99" s="7"/>
      <c r="I99" s="7"/>
      <c r="J99" s="7"/>
      <c r="K99" s="7"/>
    </row>
    <row r="100" spans="1:12">
      <c r="A100" s="122">
        <v>44591</v>
      </c>
      <c r="B100" s="95" t="s">
        <v>177</v>
      </c>
      <c r="C100" s="7">
        <v>2000</v>
      </c>
      <c r="D100" s="7">
        <v>2000</v>
      </c>
      <c r="E100" s="7">
        <f t="shared" si="5"/>
        <v>24000</v>
      </c>
      <c r="F100" s="7"/>
      <c r="G100" s="7">
        <f t="shared" si="4"/>
        <v>2000</v>
      </c>
      <c r="H100" s="7"/>
      <c r="I100" s="7"/>
      <c r="J100" s="7"/>
      <c r="K100" s="7"/>
      <c r="L100" t="s">
        <v>129</v>
      </c>
    </row>
    <row r="101" spans="1:12">
      <c r="E101" s="7">
        <f t="shared" si="5"/>
        <v>24000</v>
      </c>
    </row>
    <row r="102" spans="1:12">
      <c r="A102" s="122">
        <v>44620</v>
      </c>
      <c r="B102" s="95" t="s">
        <v>178</v>
      </c>
      <c r="C102" s="7">
        <v>3000</v>
      </c>
      <c r="D102" s="7">
        <v>3000</v>
      </c>
      <c r="E102" s="7">
        <f t="shared" si="5"/>
        <v>21000</v>
      </c>
      <c r="F102" s="7"/>
      <c r="G102" s="7">
        <f t="shared" ref="G102:G108" si="6">D102-F102</f>
        <v>3000</v>
      </c>
      <c r="H102" s="7"/>
      <c r="I102" s="7"/>
      <c r="J102" s="7"/>
      <c r="K102" s="7"/>
      <c r="L102" t="s">
        <v>129</v>
      </c>
    </row>
    <row r="103" spans="1:12">
      <c r="A103" s="122">
        <v>44650</v>
      </c>
      <c r="B103" s="95" t="s">
        <v>178</v>
      </c>
      <c r="C103" s="7">
        <v>3000</v>
      </c>
      <c r="D103" s="123">
        <v>3000</v>
      </c>
      <c r="E103" s="7">
        <f t="shared" si="5"/>
        <v>18000</v>
      </c>
      <c r="F103" s="7"/>
      <c r="G103" s="7">
        <f t="shared" si="6"/>
        <v>3000</v>
      </c>
      <c r="H103" s="7"/>
      <c r="I103" s="7"/>
      <c r="J103" s="7"/>
      <c r="K103" s="7"/>
      <c r="L103" t="s">
        <v>129</v>
      </c>
    </row>
    <row r="104" spans="1:12">
      <c r="A104" s="122">
        <v>44681</v>
      </c>
      <c r="B104" t="s">
        <v>179</v>
      </c>
      <c r="C104" s="7">
        <v>3000</v>
      </c>
      <c r="D104" s="124">
        <v>5000</v>
      </c>
      <c r="E104" s="7">
        <f t="shared" si="5"/>
        <v>13000</v>
      </c>
      <c r="F104" s="7"/>
      <c r="G104" s="7">
        <f t="shared" si="6"/>
        <v>5000</v>
      </c>
      <c r="H104" s="7"/>
      <c r="I104" s="7"/>
      <c r="J104" s="7"/>
      <c r="K104" s="7"/>
      <c r="L104" s="59">
        <v>44691</v>
      </c>
    </row>
    <row r="105" spans="1:12">
      <c r="A105" s="122">
        <v>44711</v>
      </c>
      <c r="B105" t="s">
        <v>180</v>
      </c>
      <c r="C105" s="7">
        <v>5000</v>
      </c>
      <c r="D105" s="124">
        <v>3000</v>
      </c>
      <c r="E105" s="7">
        <f t="shared" si="5"/>
        <v>10000</v>
      </c>
      <c r="F105" s="7"/>
      <c r="G105" s="7">
        <f t="shared" si="6"/>
        <v>3000</v>
      </c>
      <c r="H105" s="7"/>
      <c r="I105" s="7"/>
      <c r="J105" s="7"/>
      <c r="K105" s="7"/>
      <c r="L105" s="59">
        <v>44711</v>
      </c>
    </row>
    <row r="106" spans="1:12">
      <c r="A106" s="125">
        <v>44742</v>
      </c>
      <c r="B106" s="126" t="s">
        <v>181</v>
      </c>
      <c r="C106" s="31">
        <v>5000</v>
      </c>
      <c r="D106" s="31">
        <v>4000</v>
      </c>
      <c r="E106" s="31">
        <f t="shared" si="5"/>
        <v>6000</v>
      </c>
      <c r="F106" s="31"/>
      <c r="G106" s="31">
        <f t="shared" si="6"/>
        <v>4000</v>
      </c>
      <c r="H106" s="7"/>
      <c r="I106" s="7"/>
      <c r="J106" s="7"/>
      <c r="K106" s="7"/>
      <c r="L106" s="59">
        <v>44747</v>
      </c>
    </row>
    <row r="107" spans="1:12">
      <c r="A107" s="125">
        <v>44772</v>
      </c>
      <c r="B107" s="30" t="s">
        <v>182</v>
      </c>
      <c r="C107" s="31">
        <v>5000</v>
      </c>
      <c r="D107" s="31">
        <v>5000</v>
      </c>
      <c r="E107" s="31">
        <f t="shared" si="5"/>
        <v>1000</v>
      </c>
      <c r="F107" s="31"/>
      <c r="G107" s="31">
        <f t="shared" si="6"/>
        <v>5000</v>
      </c>
      <c r="H107" s="7"/>
      <c r="I107" s="7"/>
      <c r="J107" s="7"/>
      <c r="K107" s="7"/>
      <c r="L107" s="59">
        <v>44802</v>
      </c>
    </row>
    <row r="108" spans="1:12">
      <c r="A108" s="122">
        <v>44803</v>
      </c>
      <c r="C108" s="7"/>
      <c r="D108" s="7">
        <v>1000</v>
      </c>
      <c r="E108" s="7">
        <f t="shared" si="5"/>
        <v>0</v>
      </c>
      <c r="F108" s="7"/>
      <c r="G108" s="7">
        <f t="shared" si="6"/>
        <v>1000</v>
      </c>
      <c r="H108" s="7"/>
      <c r="I108" s="7"/>
      <c r="J108" s="7"/>
      <c r="K108" s="7"/>
    </row>
    <row r="109" spans="1:12">
      <c r="A109" s="113"/>
      <c r="B109" t="s">
        <v>183</v>
      </c>
      <c r="C109" s="7"/>
      <c r="D109" s="7"/>
      <c r="E109" s="7"/>
      <c r="F109" s="7"/>
      <c r="G109" s="7"/>
      <c r="H109" s="7"/>
      <c r="I109" s="7"/>
      <c r="J109" s="7"/>
      <c r="K109" s="7"/>
    </row>
    <row r="110" spans="1:12">
      <c r="A110" s="105"/>
      <c r="C110" s="7"/>
      <c r="D110" s="7"/>
      <c r="E110" s="7"/>
      <c r="F110" s="7"/>
      <c r="G110" s="7"/>
      <c r="H110" s="7"/>
      <c r="I110" s="7"/>
      <c r="J110" s="7"/>
      <c r="K110" s="7"/>
    </row>
    <row r="111" spans="1:12">
      <c r="A111" s="105"/>
      <c r="B111" s="54" t="s">
        <v>184</v>
      </c>
      <c r="C111" s="127">
        <f>SUM(C95:C110)</f>
        <v>36000</v>
      </c>
      <c r="D111" s="127">
        <f>SUM(D91:D110)</f>
        <v>36000</v>
      </c>
      <c r="E111" s="128">
        <f>C111-D111</f>
        <v>0</v>
      </c>
      <c r="F111" s="127">
        <f>SUM(F91:F110)</f>
        <v>0</v>
      </c>
      <c r="G111" s="127">
        <f>D111-F111</f>
        <v>36000</v>
      </c>
      <c r="H111" s="127"/>
      <c r="I111" s="127"/>
      <c r="J111" s="127"/>
      <c r="K111" s="127"/>
    </row>
    <row r="112" spans="1:12">
      <c r="A112" s="105"/>
      <c r="C112" s="7"/>
      <c r="D112" s="7"/>
      <c r="E112" s="7"/>
      <c r="F112" s="7"/>
    </row>
    <row r="113" spans="1:11">
      <c r="A113" s="105"/>
      <c r="D113" s="7"/>
      <c r="E113" s="103" t="s">
        <v>185</v>
      </c>
      <c r="G113" s="127">
        <f>G111</f>
        <v>36000</v>
      </c>
      <c r="H113" s="127"/>
      <c r="I113" s="127"/>
      <c r="J113" s="127"/>
      <c r="K113" s="127"/>
    </row>
    <row r="114" spans="1:11">
      <c r="A114" s="105"/>
      <c r="E114" s="54" t="s">
        <v>186</v>
      </c>
      <c r="F114" s="129">
        <v>1</v>
      </c>
      <c r="G114" s="127">
        <f>G113</f>
        <v>36000</v>
      </c>
      <c r="H114" s="127"/>
      <c r="I114" s="127"/>
      <c r="J114" s="127"/>
      <c r="K114" s="127"/>
    </row>
    <row r="116" spans="1:11">
      <c r="B116" t="s">
        <v>187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188</v>
      </c>
      <c r="C119" s="129">
        <v>0.73</v>
      </c>
    </row>
    <row r="120" spans="1:11">
      <c r="B120" t="s">
        <v>189</v>
      </c>
      <c r="E120">
        <f>C118*C119</f>
        <v>26280</v>
      </c>
    </row>
    <row r="122" spans="1:11">
      <c r="A122" s="107">
        <v>2023</v>
      </c>
      <c r="B122" t="s">
        <v>190</v>
      </c>
      <c r="C122" s="130"/>
      <c r="E122" s="7">
        <f>E118+E120</f>
        <v>62280</v>
      </c>
    </row>
    <row r="123" spans="1:11">
      <c r="E123" s="7">
        <f t="shared" ref="E123:E137" si="7">E122-D123</f>
        <v>62280</v>
      </c>
    </row>
    <row r="124" spans="1:11">
      <c r="B124" t="s">
        <v>191</v>
      </c>
      <c r="D124">
        <v>2280</v>
      </c>
      <c r="E124" s="7">
        <f t="shared" si="7"/>
        <v>60000</v>
      </c>
    </row>
    <row r="125" spans="1:11">
      <c r="A125" s="131">
        <v>45167</v>
      </c>
      <c r="B125" s="116" t="s">
        <v>178</v>
      </c>
      <c r="D125">
        <v>3000</v>
      </c>
      <c r="E125" s="7">
        <f t="shared" si="7"/>
        <v>57000</v>
      </c>
    </row>
    <row r="126" spans="1:11">
      <c r="A126" s="122">
        <v>44834</v>
      </c>
      <c r="B126" s="116" t="s">
        <v>178</v>
      </c>
      <c r="D126">
        <v>3000</v>
      </c>
      <c r="E126" s="7">
        <f t="shared" si="7"/>
        <v>54000</v>
      </c>
      <c r="F126" s="7"/>
      <c r="G126" s="7">
        <f t="shared" ref="G126:G137" si="8">D126-F126</f>
        <v>3000</v>
      </c>
      <c r="H126" s="7"/>
      <c r="I126" s="7"/>
      <c r="J126" s="7"/>
      <c r="K126" s="7"/>
    </row>
    <row r="127" spans="1:11">
      <c r="A127" s="122">
        <v>44865</v>
      </c>
      <c r="B127" s="116" t="s">
        <v>178</v>
      </c>
      <c r="D127">
        <v>3000</v>
      </c>
      <c r="E127" s="7">
        <f t="shared" si="7"/>
        <v>51000</v>
      </c>
      <c r="F127" s="7"/>
      <c r="G127" s="7">
        <f t="shared" si="8"/>
        <v>3000</v>
      </c>
      <c r="H127" s="7"/>
      <c r="I127" s="7"/>
      <c r="J127" s="7"/>
      <c r="K127" s="7"/>
    </row>
    <row r="128" spans="1:11">
      <c r="A128" s="122">
        <v>44895</v>
      </c>
      <c r="B128" s="116" t="s">
        <v>178</v>
      </c>
      <c r="D128">
        <v>3000</v>
      </c>
      <c r="E128" s="7">
        <f t="shared" si="7"/>
        <v>48000</v>
      </c>
      <c r="F128" s="7"/>
      <c r="G128" s="7">
        <f t="shared" si="8"/>
        <v>3000</v>
      </c>
      <c r="H128" s="7"/>
      <c r="I128" s="7"/>
      <c r="J128" s="7"/>
      <c r="K128" s="7"/>
    </row>
    <row r="129" spans="1:11">
      <c r="A129" s="132">
        <v>44925</v>
      </c>
      <c r="B129" s="30" t="s">
        <v>192</v>
      </c>
      <c r="C129" s="30"/>
      <c r="D129" s="30">
        <v>3000</v>
      </c>
      <c r="E129" s="31">
        <f t="shared" si="7"/>
        <v>45000</v>
      </c>
      <c r="F129" s="31"/>
      <c r="G129" s="31">
        <f t="shared" si="8"/>
        <v>3000</v>
      </c>
      <c r="H129" s="7"/>
      <c r="I129" s="7"/>
      <c r="J129" s="7"/>
      <c r="K129" s="7"/>
    </row>
    <row r="130" spans="1:11">
      <c r="A130" s="133">
        <v>44956</v>
      </c>
      <c r="B130" s="30" t="s">
        <v>193</v>
      </c>
      <c r="C130" s="30"/>
      <c r="D130" s="30">
        <v>6000</v>
      </c>
      <c r="E130" s="31">
        <f t="shared" si="7"/>
        <v>39000</v>
      </c>
      <c r="F130" s="31"/>
      <c r="G130" s="31">
        <f t="shared" si="8"/>
        <v>6000</v>
      </c>
      <c r="H130" s="7"/>
      <c r="I130" s="7"/>
      <c r="J130" s="7"/>
      <c r="K130" s="7"/>
    </row>
    <row r="131" spans="1:11">
      <c r="A131" s="59">
        <v>44985</v>
      </c>
      <c r="B131" s="116" t="s">
        <v>194</v>
      </c>
      <c r="D131">
        <v>6500</v>
      </c>
      <c r="E131" s="7">
        <f t="shared" si="7"/>
        <v>32500</v>
      </c>
      <c r="F131" s="7"/>
      <c r="G131" s="7">
        <f t="shared" si="8"/>
        <v>6500</v>
      </c>
      <c r="H131" s="7"/>
      <c r="I131" s="7"/>
      <c r="J131" s="7"/>
      <c r="K131" s="7"/>
    </row>
    <row r="132" spans="1:11">
      <c r="E132" s="7">
        <f t="shared" si="7"/>
        <v>32500</v>
      </c>
      <c r="F132" s="7"/>
      <c r="G132" s="7">
        <f t="shared" si="8"/>
        <v>0</v>
      </c>
      <c r="H132" s="7"/>
      <c r="I132" s="7"/>
      <c r="J132" s="7"/>
      <c r="K132" s="7"/>
    </row>
    <row r="133" spans="1:11">
      <c r="A133" s="59">
        <v>45015</v>
      </c>
      <c r="B133" s="116" t="s">
        <v>195</v>
      </c>
      <c r="C133">
        <v>6500</v>
      </c>
      <c r="D133">
        <v>6500</v>
      </c>
      <c r="E133" s="7">
        <f t="shared" si="7"/>
        <v>26000</v>
      </c>
      <c r="F133" s="7"/>
      <c r="G133" s="7">
        <f t="shared" si="8"/>
        <v>6500</v>
      </c>
      <c r="H133" s="7"/>
      <c r="I133" s="7"/>
      <c r="J133" s="7"/>
      <c r="K133" s="7"/>
    </row>
    <row r="134" spans="1:11">
      <c r="A134" s="59">
        <v>45046</v>
      </c>
      <c r="B134" s="116" t="s">
        <v>195</v>
      </c>
      <c r="C134">
        <v>6500</v>
      </c>
      <c r="D134">
        <v>6500</v>
      </c>
      <c r="E134" s="7">
        <f t="shared" si="7"/>
        <v>19500</v>
      </c>
      <c r="F134" s="7"/>
      <c r="G134" s="7">
        <f t="shared" si="8"/>
        <v>6500</v>
      </c>
      <c r="H134" s="7"/>
      <c r="I134" s="7"/>
      <c r="J134" s="7"/>
      <c r="K134" s="7"/>
    </row>
    <row r="135" spans="1:11">
      <c r="A135" s="59">
        <v>45076</v>
      </c>
      <c r="B135" s="116" t="s">
        <v>195</v>
      </c>
      <c r="C135">
        <v>6500</v>
      </c>
      <c r="D135">
        <v>6500</v>
      </c>
      <c r="E135" s="7">
        <f t="shared" si="7"/>
        <v>13000</v>
      </c>
      <c r="F135" s="7"/>
      <c r="G135" s="7">
        <f t="shared" si="8"/>
        <v>6500</v>
      </c>
      <c r="H135" s="7"/>
      <c r="I135" s="7"/>
      <c r="J135" s="7"/>
      <c r="K135" s="7"/>
    </row>
    <row r="136" spans="1:11">
      <c r="A136" s="59">
        <v>45107</v>
      </c>
      <c r="B136" s="116" t="s">
        <v>195</v>
      </c>
      <c r="C136">
        <v>6500</v>
      </c>
      <c r="D136">
        <v>6500</v>
      </c>
      <c r="E136" s="7">
        <f t="shared" si="7"/>
        <v>6500</v>
      </c>
      <c r="F136" s="7"/>
      <c r="G136" s="7">
        <f t="shared" si="8"/>
        <v>6500</v>
      </c>
      <c r="H136" s="7"/>
      <c r="I136" s="7"/>
      <c r="J136" s="7"/>
      <c r="K136" s="7"/>
    </row>
    <row r="137" spans="1:11">
      <c r="A137" s="59">
        <v>45137</v>
      </c>
      <c r="B137" s="116" t="s">
        <v>195</v>
      </c>
      <c r="C137">
        <v>6500</v>
      </c>
      <c r="D137">
        <v>6500</v>
      </c>
      <c r="E137" s="7">
        <f t="shared" si="7"/>
        <v>0</v>
      </c>
      <c r="F137" s="7"/>
      <c r="G137" s="7">
        <f t="shared" si="8"/>
        <v>6500</v>
      </c>
      <c r="H137" s="7"/>
      <c r="I137" s="7"/>
      <c r="J137" s="7"/>
      <c r="K137" s="7"/>
    </row>
    <row r="138" spans="1:11">
      <c r="B138" t="s">
        <v>196</v>
      </c>
    </row>
  </sheetData>
  <pageMargins left="0.62986111111111098" right="0.35416666666666702" top="0.78749999999999998" bottom="0.62986111111111098" header="0.511811023622047" footer="0.511811023622047"/>
  <pageSetup paperSize="9" pageOrder="overThenDown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58"/>
  <sheetViews>
    <sheetView topLeftCell="A37" zoomScale="205" zoomScaleNormal="205" workbookViewId="0">
      <selection activeCell="D20" sqref="D20"/>
    </sheetView>
  </sheetViews>
  <sheetFormatPr defaultColWidth="8.7109375" defaultRowHeight="12.75"/>
  <cols>
    <col min="1" max="1" width="4.140625" customWidth="1"/>
    <col min="2" max="2" width="20.5703125" style="134" customWidth="1"/>
    <col min="3" max="3" width="28.42578125" customWidth="1"/>
    <col min="4" max="4" width="13" style="7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customWidth="1"/>
    <col min="10" max="10" width="10.85546875" customWidth="1"/>
    <col min="11" max="11" width="5.28515625" customWidth="1"/>
    <col min="12" max="12" width="7.42578125" customWidth="1"/>
    <col min="13" max="13" width="6.140625" customWidth="1"/>
    <col min="14" max="14" width="6.7109375" customWidth="1"/>
    <col min="15" max="15" width="9.140625" customWidth="1"/>
  </cols>
  <sheetData>
    <row r="1" spans="2:7">
      <c r="B1" s="135" t="s">
        <v>197</v>
      </c>
    </row>
    <row r="2" spans="2:7">
      <c r="B2" s="136"/>
      <c r="C2" s="137"/>
      <c r="D2" s="138"/>
      <c r="E2" s="137"/>
      <c r="F2" s="139"/>
    </row>
    <row r="3" spans="2:7">
      <c r="B3" s="140" t="s">
        <v>198</v>
      </c>
      <c r="F3" s="141" t="s">
        <v>199</v>
      </c>
    </row>
    <row r="4" spans="2:7">
      <c r="B4" s="142" t="s">
        <v>200</v>
      </c>
      <c r="C4" s="143"/>
      <c r="D4" s="144"/>
      <c r="E4" s="143"/>
      <c r="F4" s="145"/>
    </row>
    <row r="5" spans="2:7">
      <c r="B5" s="146" t="s">
        <v>201</v>
      </c>
      <c r="C5" s="143" t="s">
        <v>124</v>
      </c>
      <c r="D5" s="147" t="s">
        <v>158</v>
      </c>
      <c r="E5" s="148" t="s">
        <v>159</v>
      </c>
      <c r="F5" s="149" t="s">
        <v>126</v>
      </c>
    </row>
    <row r="6" spans="2:7">
      <c r="B6" s="150">
        <v>45168</v>
      </c>
      <c r="C6" s="151" t="s">
        <v>202</v>
      </c>
      <c r="D6" s="7">
        <v>6500</v>
      </c>
      <c r="E6">
        <v>6500</v>
      </c>
      <c r="F6" s="152">
        <f>D6-E6</f>
        <v>0</v>
      </c>
      <c r="G6" s="7"/>
    </row>
    <row r="7" spans="2:7">
      <c r="B7" s="150">
        <v>45199</v>
      </c>
      <c r="C7" s="151" t="s">
        <v>203</v>
      </c>
      <c r="D7" s="7">
        <v>6500</v>
      </c>
      <c r="E7">
        <v>6500</v>
      </c>
      <c r="F7" s="152">
        <f t="shared" ref="F7:F18" si="0">D7-E7+F6</f>
        <v>0</v>
      </c>
    </row>
    <row r="8" spans="2:7">
      <c r="B8" s="150">
        <v>45229</v>
      </c>
      <c r="C8" s="151" t="s">
        <v>204</v>
      </c>
      <c r="D8" s="7">
        <v>6500</v>
      </c>
      <c r="E8">
        <v>6500</v>
      </c>
      <c r="F8" s="152">
        <f t="shared" si="0"/>
        <v>0</v>
      </c>
    </row>
    <row r="9" spans="2:7">
      <c r="B9" s="150">
        <v>45260</v>
      </c>
      <c r="C9" s="151" t="s">
        <v>205</v>
      </c>
      <c r="D9" s="7">
        <v>6500</v>
      </c>
      <c r="E9">
        <v>6500</v>
      </c>
      <c r="F9" s="152">
        <f t="shared" si="0"/>
        <v>0</v>
      </c>
    </row>
    <row r="10" spans="2:7">
      <c r="B10" s="150">
        <v>45290</v>
      </c>
      <c r="C10" s="151" t="s">
        <v>206</v>
      </c>
      <c r="D10" s="7">
        <v>6500</v>
      </c>
      <c r="E10">
        <v>6500</v>
      </c>
      <c r="F10" s="152">
        <f t="shared" si="0"/>
        <v>0</v>
      </c>
    </row>
    <row r="11" spans="2:7">
      <c r="B11" s="150">
        <v>45321</v>
      </c>
      <c r="C11" s="151" t="s">
        <v>207</v>
      </c>
      <c r="D11" s="7">
        <v>6500</v>
      </c>
      <c r="E11">
        <v>6500</v>
      </c>
      <c r="F11" s="152">
        <f t="shared" si="0"/>
        <v>0</v>
      </c>
    </row>
    <row r="12" spans="2:7">
      <c r="B12" s="150">
        <v>45351</v>
      </c>
      <c r="C12" s="151" t="s">
        <v>208</v>
      </c>
      <c r="D12" s="7">
        <v>15000</v>
      </c>
      <c r="E12">
        <v>6500</v>
      </c>
      <c r="F12" s="152">
        <f t="shared" si="0"/>
        <v>8500</v>
      </c>
    </row>
    <row r="13" spans="2:7">
      <c r="B13" s="150">
        <v>45381</v>
      </c>
      <c r="C13" s="151" t="s">
        <v>209</v>
      </c>
      <c r="D13" s="7">
        <v>15000</v>
      </c>
      <c r="E13">
        <v>15000</v>
      </c>
      <c r="F13" s="152">
        <f t="shared" si="0"/>
        <v>8500</v>
      </c>
    </row>
    <row r="14" spans="2:7">
      <c r="B14" s="150">
        <v>45412</v>
      </c>
      <c r="C14" s="151" t="s">
        <v>210</v>
      </c>
      <c r="D14" s="7">
        <v>15000</v>
      </c>
      <c r="E14">
        <v>15000</v>
      </c>
      <c r="F14" s="152">
        <f t="shared" si="0"/>
        <v>8500</v>
      </c>
    </row>
    <row r="15" spans="2:7">
      <c r="B15" s="150">
        <v>45442</v>
      </c>
      <c r="C15" s="151" t="s">
        <v>211</v>
      </c>
      <c r="D15" s="7">
        <v>15000</v>
      </c>
      <c r="F15" s="152">
        <f t="shared" si="0"/>
        <v>23500</v>
      </c>
    </row>
    <row r="16" spans="2:7">
      <c r="B16" s="150">
        <v>45473</v>
      </c>
      <c r="C16" s="151" t="s">
        <v>212</v>
      </c>
      <c r="D16" s="7">
        <v>15000</v>
      </c>
      <c r="F16" s="152">
        <f t="shared" si="0"/>
        <v>38500</v>
      </c>
    </row>
    <row r="17" spans="2:6">
      <c r="B17" s="150">
        <v>45503</v>
      </c>
      <c r="C17" s="151" t="s">
        <v>213</v>
      </c>
      <c r="D17" s="7">
        <v>15000</v>
      </c>
      <c r="F17" s="152">
        <f t="shared" si="0"/>
        <v>53500</v>
      </c>
    </row>
    <row r="18" spans="2:6">
      <c r="B18" s="150"/>
      <c r="F18" s="152">
        <f t="shared" si="0"/>
        <v>53500</v>
      </c>
    </row>
    <row r="19" spans="2:6">
      <c r="B19" s="150"/>
      <c r="C19" s="153" t="s">
        <v>214</v>
      </c>
      <c r="D19" s="7">
        <f>SUM(D6:D18)</f>
        <v>129000</v>
      </c>
      <c r="E19">
        <f>SUM(E6:E18)</f>
        <v>75500</v>
      </c>
      <c r="F19" s="154">
        <f>F18</f>
        <v>53500</v>
      </c>
    </row>
    <row r="20" spans="2:6">
      <c r="B20" s="155"/>
      <c r="C20" s="156" t="s">
        <v>215</v>
      </c>
      <c r="D20" s="157">
        <f>D19/12</f>
        <v>10750</v>
      </c>
      <c r="E20" s="90"/>
      <c r="F20" s="91"/>
    </row>
    <row r="21" spans="2:6">
      <c r="C21" s="158"/>
      <c r="D21" s="127"/>
    </row>
    <row r="22" spans="2:6">
      <c r="C22" s="151"/>
      <c r="D22" s="127"/>
    </row>
    <row r="23" spans="2:6">
      <c r="B23" s="159"/>
      <c r="C23" s="160"/>
      <c r="D23" s="161"/>
      <c r="E23" s="137"/>
      <c r="F23" s="139"/>
    </row>
    <row r="24" spans="2:6">
      <c r="B24" s="162" t="s">
        <v>216</v>
      </c>
      <c r="C24" s="163" t="s">
        <v>217</v>
      </c>
      <c r="D24" s="127"/>
      <c r="F24" s="141" t="s">
        <v>218</v>
      </c>
    </row>
    <row r="25" spans="2:6">
      <c r="B25" s="164"/>
      <c r="C25" s="165"/>
      <c r="D25" s="166"/>
      <c r="E25" s="143"/>
      <c r="F25" s="145"/>
    </row>
    <row r="26" spans="2:6">
      <c r="B26" s="167" t="s">
        <v>201</v>
      </c>
      <c r="C26" s="143" t="s">
        <v>124</v>
      </c>
      <c r="D26" s="147" t="s">
        <v>158</v>
      </c>
      <c r="E26" s="148" t="s">
        <v>159</v>
      </c>
      <c r="F26" s="149" t="s">
        <v>126</v>
      </c>
    </row>
    <row r="27" spans="2:6">
      <c r="B27" s="168">
        <v>45534</v>
      </c>
      <c r="C27" s="169" t="s">
        <v>219</v>
      </c>
      <c r="D27" s="138"/>
      <c r="E27" s="137"/>
      <c r="F27" s="170"/>
    </row>
    <row r="28" spans="2:6">
      <c r="B28" s="171">
        <v>45565</v>
      </c>
      <c r="C28" s="151" t="s">
        <v>220</v>
      </c>
      <c r="F28" s="172"/>
    </row>
    <row r="29" spans="2:6">
      <c r="B29" s="171">
        <v>45595</v>
      </c>
      <c r="C29" s="151" t="s">
        <v>221</v>
      </c>
      <c r="F29" s="172"/>
    </row>
    <row r="30" spans="2:6">
      <c r="B30" s="171">
        <v>45626</v>
      </c>
      <c r="C30" s="151" t="s">
        <v>222</v>
      </c>
      <c r="F30" s="172"/>
    </row>
    <row r="31" spans="2:6">
      <c r="B31" s="171">
        <v>45656</v>
      </c>
      <c r="C31" s="151" t="s">
        <v>223</v>
      </c>
      <c r="F31" s="172"/>
    </row>
    <row r="32" spans="2:6">
      <c r="B32" s="171">
        <v>45687</v>
      </c>
      <c r="C32" s="151" t="s">
        <v>224</v>
      </c>
      <c r="F32" s="172"/>
    </row>
    <row r="33" spans="2:6">
      <c r="B33" s="171">
        <v>45716</v>
      </c>
      <c r="C33" s="151" t="s">
        <v>225</v>
      </c>
      <c r="F33" s="172"/>
    </row>
    <row r="34" spans="2:6">
      <c r="B34" s="171">
        <v>45746</v>
      </c>
      <c r="C34" s="151" t="s">
        <v>226</v>
      </c>
      <c r="F34" s="172"/>
    </row>
    <row r="35" spans="2:6">
      <c r="B35" s="171">
        <v>45777</v>
      </c>
      <c r="C35" s="151" t="s">
        <v>227</v>
      </c>
      <c r="F35" s="172"/>
    </row>
    <row r="36" spans="2:6">
      <c r="B36" s="171">
        <v>45807</v>
      </c>
      <c r="C36" s="151" t="s">
        <v>228</v>
      </c>
      <c r="F36" s="172"/>
    </row>
    <row r="37" spans="2:6">
      <c r="B37" s="171">
        <v>45838</v>
      </c>
      <c r="C37" s="151" t="s">
        <v>229</v>
      </c>
      <c r="F37" s="172"/>
    </row>
    <row r="38" spans="2:6">
      <c r="B38" s="146">
        <v>45868</v>
      </c>
      <c r="C38" s="173" t="s">
        <v>230</v>
      </c>
      <c r="D38" s="144"/>
      <c r="E38" s="143"/>
      <c r="F38" s="174"/>
    </row>
    <row r="39" spans="2:6">
      <c r="C39" s="151"/>
    </row>
    <row r="40" spans="2:6">
      <c r="C40" s="151"/>
    </row>
    <row r="41" spans="2:6">
      <c r="C41" s="151"/>
    </row>
    <row r="42" spans="2:6">
      <c r="B42" s="159"/>
      <c r="C42" s="160"/>
      <c r="D42" s="161"/>
      <c r="E42" s="137"/>
      <c r="F42" s="139"/>
    </row>
    <row r="43" spans="2:6" ht="13.5">
      <c r="B43" s="162" t="s">
        <v>231</v>
      </c>
      <c r="C43" s="175" t="s">
        <v>232</v>
      </c>
      <c r="F43" s="141" t="s">
        <v>218</v>
      </c>
    </row>
    <row r="44" spans="2:6">
      <c r="B44" s="164"/>
      <c r="C44" s="165"/>
      <c r="D44" s="144"/>
      <c r="E44" s="143"/>
      <c r="F44" s="145"/>
    </row>
    <row r="45" spans="2:6">
      <c r="B45" s="167" t="s">
        <v>201</v>
      </c>
      <c r="C45" s="143" t="s">
        <v>124</v>
      </c>
      <c r="D45" s="147" t="s">
        <v>158</v>
      </c>
      <c r="E45" s="148" t="s">
        <v>159</v>
      </c>
      <c r="F45" s="149" t="s">
        <v>126</v>
      </c>
    </row>
    <row r="46" spans="2:6">
      <c r="B46" s="159"/>
      <c r="C46" s="176"/>
      <c r="D46" s="177"/>
      <c r="E46" s="178"/>
      <c r="F46" s="139"/>
    </row>
    <row r="47" spans="2:6">
      <c r="B47" s="162">
        <v>45534</v>
      </c>
      <c r="C47" s="54" t="s">
        <v>233</v>
      </c>
      <c r="D47" s="127">
        <v>204024</v>
      </c>
      <c r="F47" s="172"/>
    </row>
    <row r="48" spans="2:6">
      <c r="B48" s="146"/>
      <c r="C48" s="143"/>
      <c r="D48" s="144"/>
      <c r="E48" s="143"/>
      <c r="F48" s="174"/>
    </row>
    <row r="51" spans="2:6">
      <c r="C51" s="54"/>
    </row>
    <row r="52" spans="2:6">
      <c r="B52" s="159"/>
      <c r="C52" s="160"/>
      <c r="D52" s="161"/>
      <c r="E52" s="137"/>
      <c r="F52" s="139"/>
    </row>
    <row r="53" spans="2:6" ht="13.5">
      <c r="B53" s="162" t="s">
        <v>234</v>
      </c>
      <c r="C53" s="175" t="s">
        <v>235</v>
      </c>
      <c r="F53" s="141" t="s">
        <v>218</v>
      </c>
    </row>
    <row r="54" spans="2:6">
      <c r="B54" s="164"/>
      <c r="C54" s="165"/>
      <c r="D54" s="144"/>
      <c r="E54" s="143"/>
      <c r="F54" s="145"/>
    </row>
    <row r="55" spans="2:6">
      <c r="B55" s="167" t="s">
        <v>201</v>
      </c>
      <c r="C55" s="143" t="s">
        <v>124</v>
      </c>
      <c r="D55" s="147" t="s">
        <v>158</v>
      </c>
      <c r="E55" s="148" t="s">
        <v>159</v>
      </c>
      <c r="F55" s="149" t="s">
        <v>126</v>
      </c>
    </row>
    <row r="56" spans="2:6">
      <c r="B56" s="159"/>
      <c r="C56" s="176"/>
      <c r="D56" s="177"/>
      <c r="E56" s="178"/>
      <c r="F56" s="139"/>
    </row>
    <row r="57" spans="2:6">
      <c r="B57" s="162">
        <v>45716</v>
      </c>
      <c r="C57" s="54" t="s">
        <v>236</v>
      </c>
      <c r="D57" s="127"/>
      <c r="F57" s="172"/>
    </row>
    <row r="58" spans="2:6">
      <c r="B58" s="146"/>
      <c r="C58" s="143"/>
      <c r="D58" s="144"/>
      <c r="E58" s="143"/>
      <c r="F58" s="174"/>
    </row>
  </sheetData>
  <pageMargins left="0.25" right="0.25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6"/>
  <sheetViews>
    <sheetView topLeftCell="A53" zoomScale="145" zoomScaleNormal="145" workbookViewId="0">
      <selection activeCell="I15" sqref="I15"/>
    </sheetView>
  </sheetViews>
  <sheetFormatPr defaultColWidth="8.7109375" defaultRowHeight="12.75"/>
  <cols>
    <col min="1" max="1" width="9.140625" customWidth="1"/>
    <col min="2" max="2" width="10.5703125" style="134" customWidth="1"/>
    <col min="3" max="3" width="28.42578125" customWidth="1"/>
    <col min="4" max="4" width="11.140625" style="7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customWidth="1"/>
    <col min="11" max="11" width="5.140625" customWidth="1"/>
    <col min="12" max="12" width="10.85546875" customWidth="1"/>
    <col min="13" max="13" width="1.85546875" customWidth="1"/>
    <col min="14" max="14" width="8.85546875" customWidth="1"/>
    <col min="15" max="15" width="11.7109375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179"/>
      <c r="B1" s="180"/>
      <c r="C1" s="179"/>
      <c r="D1" s="181"/>
      <c r="E1" s="179"/>
      <c r="F1" s="179"/>
      <c r="G1" s="179"/>
    </row>
    <row r="2" spans="1:18">
      <c r="B2" s="134">
        <v>44255</v>
      </c>
      <c r="C2" t="s">
        <v>237</v>
      </c>
      <c r="G2" s="103" t="s">
        <v>238</v>
      </c>
      <c r="K2" s="182"/>
      <c r="L2" s="7"/>
      <c r="N2" s="183" t="s">
        <v>239</v>
      </c>
      <c r="O2" s="7"/>
      <c r="R2" s="94" t="s">
        <v>240</v>
      </c>
    </row>
    <row r="3" spans="1:18">
      <c r="B3" s="184" t="s">
        <v>123</v>
      </c>
      <c r="C3" s="185" t="s">
        <v>124</v>
      </c>
      <c r="D3" s="186" t="s">
        <v>158</v>
      </c>
      <c r="E3" s="187" t="s">
        <v>159</v>
      </c>
      <c r="F3" s="187" t="s">
        <v>126</v>
      </c>
      <c r="J3" s="188" t="s">
        <v>127</v>
      </c>
      <c r="K3" s="189" t="s">
        <v>129</v>
      </c>
      <c r="L3" s="109" t="s">
        <v>241</v>
      </c>
      <c r="N3" s="109" t="s">
        <v>242</v>
      </c>
      <c r="O3" s="109" t="s">
        <v>243</v>
      </c>
      <c r="Q3" s="109" t="s">
        <v>244</v>
      </c>
      <c r="R3" s="109" t="s">
        <v>131</v>
      </c>
    </row>
    <row r="4" spans="1:18">
      <c r="B4" s="134">
        <v>44255</v>
      </c>
      <c r="C4" t="s">
        <v>168</v>
      </c>
      <c r="D4" s="7">
        <v>2000</v>
      </c>
      <c r="E4" s="7">
        <v>2000</v>
      </c>
      <c r="F4" s="7">
        <f>D4-E4</f>
        <v>0</v>
      </c>
      <c r="I4">
        <v>2021</v>
      </c>
      <c r="J4">
        <f>L4/12</f>
        <v>2000</v>
      </c>
      <c r="K4" s="182"/>
      <c r="L4" s="61">
        <f>E11</f>
        <v>24000</v>
      </c>
      <c r="N4" s="61"/>
      <c r="O4" s="61">
        <v>24000</v>
      </c>
      <c r="Q4">
        <v>2320</v>
      </c>
      <c r="R4" s="112">
        <f>L4/Q4</f>
        <v>10.344827586206897</v>
      </c>
    </row>
    <row r="5" spans="1:18">
      <c r="B5" s="134">
        <v>44285</v>
      </c>
      <c r="C5" t="s">
        <v>175</v>
      </c>
      <c r="D5" s="7">
        <v>2000</v>
      </c>
      <c r="E5" s="7">
        <v>2000</v>
      </c>
      <c r="F5" s="7">
        <f t="shared" ref="F5:F10" si="0">F4+D5-E5</f>
        <v>0</v>
      </c>
      <c r="I5">
        <v>2022</v>
      </c>
      <c r="J5">
        <f>L5/12</f>
        <v>3000</v>
      </c>
      <c r="K5" s="182">
        <f>L5/L4-1</f>
        <v>0.5</v>
      </c>
      <c r="L5" s="61">
        <f>$E$27</f>
        <v>36000</v>
      </c>
      <c r="N5" s="190">
        <v>0.25979999999999998</v>
      </c>
      <c r="O5" s="61">
        <f>(O4+(L4*N5))</f>
        <v>30235.200000000001</v>
      </c>
      <c r="Q5">
        <v>2830</v>
      </c>
      <c r="R5" s="112">
        <f>L5/Q5</f>
        <v>12.720848056537102</v>
      </c>
    </row>
    <row r="6" spans="1:18">
      <c r="B6" s="134">
        <v>44316</v>
      </c>
      <c r="C6" t="s">
        <v>175</v>
      </c>
      <c r="D6" s="7">
        <v>2000</v>
      </c>
      <c r="E6" s="7">
        <v>2000</v>
      </c>
      <c r="F6" s="7">
        <f t="shared" si="0"/>
        <v>0</v>
      </c>
      <c r="I6">
        <v>2023</v>
      </c>
      <c r="J6">
        <f>L6/12</f>
        <v>5000</v>
      </c>
      <c r="K6" s="182">
        <f>L6/L5-1</f>
        <v>0.66666666666666674</v>
      </c>
      <c r="L6" s="61">
        <f>E43</f>
        <v>60000</v>
      </c>
      <c r="N6" s="190">
        <v>0.71830000000000005</v>
      </c>
      <c r="O6" s="61">
        <f>(O5+(L5*N6))</f>
        <v>56094</v>
      </c>
      <c r="Q6">
        <v>5500</v>
      </c>
      <c r="R6" s="112">
        <f>L6/Q6</f>
        <v>10.909090909090908</v>
      </c>
    </row>
    <row r="7" spans="1:18">
      <c r="B7" s="134">
        <v>44346</v>
      </c>
      <c r="C7" t="s">
        <v>175</v>
      </c>
      <c r="D7" s="7">
        <v>2000</v>
      </c>
      <c r="E7" s="7">
        <v>1000</v>
      </c>
      <c r="F7" s="7">
        <f t="shared" si="0"/>
        <v>1000</v>
      </c>
      <c r="I7">
        <v>2024</v>
      </c>
      <c r="J7">
        <f>L7/12</f>
        <v>10041.666666666666</v>
      </c>
      <c r="K7" s="182">
        <f>L7/L6-1</f>
        <v>1.0083333333333333</v>
      </c>
      <c r="L7" s="61">
        <f>E59</f>
        <v>120500</v>
      </c>
      <c r="N7" s="190">
        <v>0.55910000000000004</v>
      </c>
      <c r="O7" s="61">
        <f>(O6+(L6*N7))</f>
        <v>89640</v>
      </c>
      <c r="Q7">
        <v>11400</v>
      </c>
      <c r="R7" s="112">
        <f>L7/Q7*2</f>
        <v>21.140350877192983</v>
      </c>
    </row>
    <row r="8" spans="1:18">
      <c r="B8" s="134">
        <v>44377</v>
      </c>
      <c r="C8" t="s">
        <v>175</v>
      </c>
      <c r="D8" s="7">
        <v>2000</v>
      </c>
      <c r="E8" s="7">
        <v>3000</v>
      </c>
      <c r="F8" s="7">
        <f t="shared" si="0"/>
        <v>0</v>
      </c>
      <c r="I8">
        <v>2025</v>
      </c>
      <c r="J8">
        <f>L8/12</f>
        <v>7500</v>
      </c>
      <c r="K8" s="182">
        <f>L8/L7-1</f>
        <v>-0.25311203319502074</v>
      </c>
      <c r="L8" s="183">
        <f>E76</f>
        <v>90000</v>
      </c>
      <c r="N8" s="190">
        <v>0.5</v>
      </c>
      <c r="O8" s="61">
        <f>(O7+(L7*N8))</f>
        <v>149890</v>
      </c>
      <c r="Q8">
        <v>22104</v>
      </c>
      <c r="R8" s="191">
        <v>12</v>
      </c>
    </row>
    <row r="9" spans="1:18">
      <c r="B9" s="134">
        <v>44407</v>
      </c>
      <c r="C9" t="s">
        <v>245</v>
      </c>
      <c r="D9" s="7">
        <v>14000</v>
      </c>
      <c r="E9" s="7">
        <v>9000</v>
      </c>
      <c r="F9" s="7">
        <f t="shared" si="0"/>
        <v>5000</v>
      </c>
    </row>
    <row r="10" spans="1:18">
      <c r="B10" s="134">
        <v>44446</v>
      </c>
      <c r="C10" t="s">
        <v>166</v>
      </c>
      <c r="E10" s="7">
        <v>5000</v>
      </c>
      <c r="F10" s="7">
        <f t="shared" si="0"/>
        <v>0</v>
      </c>
      <c r="L10" s="7">
        <f>SUM(L4:L7)</f>
        <v>240500</v>
      </c>
      <c r="O10" s="7">
        <f>SUM(O4:O7)</f>
        <v>199969.2</v>
      </c>
    </row>
    <row r="11" spans="1:18">
      <c r="A11" s="179"/>
      <c r="B11" s="180"/>
      <c r="C11" s="179"/>
      <c r="D11" s="186" t="s">
        <v>246</v>
      </c>
      <c r="E11" s="192">
        <f>SUM(E4:E10)</f>
        <v>24000</v>
      </c>
      <c r="F11" s="179"/>
      <c r="G11" s="179"/>
    </row>
    <row r="12" spans="1:18">
      <c r="C12" t="s">
        <v>174</v>
      </c>
      <c r="G12" s="103" t="s">
        <v>247</v>
      </c>
      <c r="L12" t="s">
        <v>248</v>
      </c>
      <c r="O12" s="8">
        <f>H76</f>
        <v>99500</v>
      </c>
    </row>
    <row r="13" spans="1:18">
      <c r="B13" s="184" t="s">
        <v>123</v>
      </c>
      <c r="C13" s="185" t="s">
        <v>124</v>
      </c>
      <c r="D13" s="186" t="s">
        <v>158</v>
      </c>
      <c r="E13" s="187" t="s">
        <v>159</v>
      </c>
      <c r="F13" s="187" t="s">
        <v>126</v>
      </c>
    </row>
    <row r="14" spans="1:18">
      <c r="B14" s="134">
        <v>44438</v>
      </c>
      <c r="C14" s="59" t="s">
        <v>175</v>
      </c>
      <c r="D14" s="7">
        <v>2000</v>
      </c>
      <c r="E14" s="7">
        <v>0</v>
      </c>
      <c r="F14" s="7">
        <f>D14-E14</f>
        <v>2000</v>
      </c>
    </row>
    <row r="15" spans="1:18">
      <c r="B15" s="134">
        <v>44469</v>
      </c>
      <c r="C15" s="59" t="s">
        <v>175</v>
      </c>
      <c r="D15" s="7">
        <v>2000</v>
      </c>
      <c r="E15" s="7">
        <v>4000</v>
      </c>
      <c r="F15" s="7">
        <f t="shared" ref="F15:F26" si="1">F14+D15-E15</f>
        <v>0</v>
      </c>
      <c r="I15">
        <v>2021</v>
      </c>
      <c r="O15">
        <v>24000</v>
      </c>
    </row>
    <row r="16" spans="1:18">
      <c r="B16" s="134">
        <v>44499</v>
      </c>
      <c r="C16" t="s">
        <v>175</v>
      </c>
      <c r="D16" s="7">
        <v>2000</v>
      </c>
      <c r="E16" s="7">
        <v>2000</v>
      </c>
      <c r="F16" s="7">
        <f t="shared" si="1"/>
        <v>0</v>
      </c>
      <c r="I16">
        <v>2022</v>
      </c>
      <c r="J16">
        <v>1</v>
      </c>
      <c r="L16" s="190">
        <v>0.25979999999999998</v>
      </c>
      <c r="N16">
        <f>O15*L16</f>
        <v>6235.2</v>
      </c>
      <c r="O16">
        <f>O15+N16</f>
        <v>30235.200000000001</v>
      </c>
    </row>
    <row r="17" spans="1:15">
      <c r="B17" s="134">
        <v>44530</v>
      </c>
      <c r="C17" t="s">
        <v>176</v>
      </c>
      <c r="D17" s="7">
        <v>2000</v>
      </c>
      <c r="E17" s="7">
        <v>2000</v>
      </c>
      <c r="F17" s="7">
        <f t="shared" si="1"/>
        <v>0</v>
      </c>
      <c r="I17">
        <v>2023</v>
      </c>
      <c r="J17">
        <v>2</v>
      </c>
      <c r="L17" s="190">
        <v>0.71830000000000005</v>
      </c>
      <c r="N17">
        <f>O16*L17</f>
        <v>21717.944160000003</v>
      </c>
      <c r="O17">
        <f>O16+N17</f>
        <v>51953.144160000003</v>
      </c>
    </row>
    <row r="18" spans="1:15">
      <c r="B18" s="193">
        <v>44560</v>
      </c>
      <c r="C18" s="116" t="s">
        <v>177</v>
      </c>
      <c r="D18" s="32">
        <v>2000</v>
      </c>
      <c r="E18" s="32">
        <v>2000</v>
      </c>
      <c r="F18" s="7">
        <f t="shared" si="1"/>
        <v>0</v>
      </c>
      <c r="I18">
        <v>2024</v>
      </c>
      <c r="J18">
        <v>3</v>
      </c>
      <c r="L18" s="190">
        <v>0.55910000000000004</v>
      </c>
      <c r="N18">
        <f>O17*L18</f>
        <v>29047.002899856005</v>
      </c>
      <c r="O18">
        <f>O17+N18</f>
        <v>81000.147059856012</v>
      </c>
    </row>
    <row r="19" spans="1:15">
      <c r="B19" s="194">
        <v>44591</v>
      </c>
      <c r="C19" s="116" t="s">
        <v>177</v>
      </c>
      <c r="D19" s="32">
        <v>2000</v>
      </c>
      <c r="E19" s="32">
        <v>2000</v>
      </c>
      <c r="F19" s="7">
        <f t="shared" si="1"/>
        <v>0</v>
      </c>
      <c r="I19">
        <v>2025</v>
      </c>
      <c r="J19">
        <v>4</v>
      </c>
      <c r="L19" s="190">
        <v>0.5383</v>
      </c>
      <c r="N19">
        <f>O18*L19</f>
        <v>43602.379162320489</v>
      </c>
      <c r="O19">
        <f>O18+N19</f>
        <v>124602.5262221765</v>
      </c>
    </row>
    <row r="20" spans="1:15">
      <c r="B20" s="194">
        <v>44620</v>
      </c>
      <c r="C20" s="116" t="s">
        <v>178</v>
      </c>
      <c r="D20" s="32">
        <v>3000</v>
      </c>
      <c r="E20" s="32">
        <v>3000</v>
      </c>
      <c r="F20" s="7">
        <f t="shared" si="1"/>
        <v>0</v>
      </c>
      <c r="J20">
        <v>5</v>
      </c>
    </row>
    <row r="21" spans="1:15">
      <c r="B21" s="194">
        <v>44650</v>
      </c>
      <c r="C21" s="116" t="s">
        <v>178</v>
      </c>
      <c r="D21" s="32">
        <v>3000</v>
      </c>
      <c r="E21" s="195">
        <v>3000</v>
      </c>
      <c r="F21" s="7">
        <f t="shared" si="1"/>
        <v>0</v>
      </c>
    </row>
    <row r="22" spans="1:15">
      <c r="B22" s="194">
        <v>44681</v>
      </c>
      <c r="C22" s="116" t="s">
        <v>179</v>
      </c>
      <c r="D22" s="32">
        <v>3000</v>
      </c>
      <c r="E22" s="32">
        <v>5000</v>
      </c>
      <c r="F22" s="7">
        <f t="shared" si="1"/>
        <v>-2000</v>
      </c>
      <c r="O22">
        <f>SUM(O15:O21)</f>
        <v>311791.01744203252</v>
      </c>
    </row>
    <row r="23" spans="1:15">
      <c r="B23" s="194">
        <v>44711</v>
      </c>
      <c r="C23" s="116" t="s">
        <v>180</v>
      </c>
      <c r="D23" s="32">
        <v>5000</v>
      </c>
      <c r="E23" s="32">
        <v>3000</v>
      </c>
      <c r="F23" s="7">
        <f t="shared" si="1"/>
        <v>0</v>
      </c>
    </row>
    <row r="24" spans="1:15">
      <c r="B24" s="194">
        <v>44742</v>
      </c>
      <c r="C24" s="116" t="s">
        <v>181</v>
      </c>
      <c r="D24" s="32">
        <v>5000</v>
      </c>
      <c r="E24" s="32">
        <v>4000</v>
      </c>
      <c r="F24" s="7">
        <f t="shared" si="1"/>
        <v>1000</v>
      </c>
      <c r="H24">
        <v>4000</v>
      </c>
    </row>
    <row r="25" spans="1:15">
      <c r="B25" s="194">
        <v>44772</v>
      </c>
      <c r="C25" s="116" t="s">
        <v>182</v>
      </c>
      <c r="D25" s="32">
        <v>5000</v>
      </c>
      <c r="E25" s="32">
        <v>5000</v>
      </c>
      <c r="F25" s="7">
        <f t="shared" si="1"/>
        <v>1000</v>
      </c>
      <c r="H25">
        <v>5000</v>
      </c>
      <c r="L25" s="196"/>
    </row>
    <row r="26" spans="1:15">
      <c r="B26" s="194">
        <v>44803</v>
      </c>
      <c r="C26" s="116" t="s">
        <v>166</v>
      </c>
      <c r="D26" s="32"/>
      <c r="E26" s="32">
        <v>1000</v>
      </c>
      <c r="F26" s="7">
        <f t="shared" si="1"/>
        <v>0</v>
      </c>
      <c r="L26" s="196"/>
    </row>
    <row r="27" spans="1:15">
      <c r="A27" s="179"/>
      <c r="B27" s="180"/>
      <c r="C27" s="179"/>
      <c r="D27" s="186" t="s">
        <v>246</v>
      </c>
      <c r="E27" s="192">
        <f>SUM(E14:E26)</f>
        <v>36000</v>
      </c>
      <c r="F27" s="179"/>
      <c r="G27" s="179"/>
      <c r="L27" s="196"/>
    </row>
    <row r="28" spans="1:15">
      <c r="C28" t="s">
        <v>249</v>
      </c>
      <c r="D28" s="197"/>
      <c r="G28" s="103" t="s">
        <v>250</v>
      </c>
      <c r="L28" s="196"/>
    </row>
    <row r="29" spans="1:15">
      <c r="C29" t="s">
        <v>191</v>
      </c>
      <c r="E29">
        <v>2280</v>
      </c>
      <c r="F29" s="7"/>
      <c r="L29" s="198"/>
    </row>
    <row r="30" spans="1:15">
      <c r="B30" s="184" t="s">
        <v>123</v>
      </c>
      <c r="C30" s="185" t="s">
        <v>124</v>
      </c>
      <c r="D30" s="186" t="s">
        <v>158</v>
      </c>
      <c r="E30" s="187" t="s">
        <v>159</v>
      </c>
      <c r="F30" s="187" t="s">
        <v>126</v>
      </c>
    </row>
    <row r="31" spans="1:15">
      <c r="B31" s="193">
        <v>45167</v>
      </c>
      <c r="C31" s="116" t="s">
        <v>178</v>
      </c>
      <c r="D31" s="7">
        <v>3000</v>
      </c>
      <c r="E31">
        <v>3000</v>
      </c>
      <c r="F31" s="7">
        <f>D31-E31</f>
        <v>0</v>
      </c>
    </row>
    <row r="32" spans="1:15">
      <c r="B32" s="194">
        <v>44834</v>
      </c>
      <c r="C32" s="116" t="s">
        <v>178</v>
      </c>
      <c r="D32" s="7">
        <v>3000</v>
      </c>
      <c r="E32">
        <v>3000</v>
      </c>
      <c r="F32" s="7">
        <f t="shared" ref="F32:F42" si="2">F31+D32-E32</f>
        <v>0</v>
      </c>
      <c r="G32" s="7"/>
      <c r="H32" s="7"/>
      <c r="I32" s="7"/>
    </row>
    <row r="33" spans="1:9">
      <c r="B33" s="194">
        <v>44865</v>
      </c>
      <c r="C33" s="116" t="s">
        <v>178</v>
      </c>
      <c r="D33" s="7">
        <v>3000</v>
      </c>
      <c r="E33">
        <v>3000</v>
      </c>
      <c r="F33" s="7">
        <f t="shared" si="2"/>
        <v>0</v>
      </c>
      <c r="G33" s="7"/>
      <c r="H33" s="7"/>
      <c r="I33" s="7"/>
    </row>
    <row r="34" spans="1:9">
      <c r="B34" s="194">
        <v>44895</v>
      </c>
      <c r="C34" s="116" t="s">
        <v>178</v>
      </c>
      <c r="D34" s="7">
        <v>3000</v>
      </c>
      <c r="E34">
        <v>3000</v>
      </c>
      <c r="F34" s="7">
        <f t="shared" si="2"/>
        <v>0</v>
      </c>
      <c r="G34" s="7"/>
      <c r="H34" s="7"/>
      <c r="I34" s="7"/>
    </row>
    <row r="35" spans="1:9">
      <c r="B35" s="194">
        <v>44925</v>
      </c>
      <c r="C35" s="116" t="s">
        <v>192</v>
      </c>
      <c r="D35" s="7">
        <v>3000</v>
      </c>
      <c r="E35">
        <v>3000</v>
      </c>
      <c r="F35" s="7">
        <f t="shared" si="2"/>
        <v>0</v>
      </c>
      <c r="G35" s="7"/>
      <c r="H35" s="7">
        <v>3000</v>
      </c>
      <c r="I35" s="7"/>
    </row>
    <row r="36" spans="1:9">
      <c r="B36" s="193">
        <v>44956</v>
      </c>
      <c r="C36" s="116" t="s">
        <v>193</v>
      </c>
      <c r="D36" s="7">
        <v>6000</v>
      </c>
      <c r="E36">
        <v>6000</v>
      </c>
      <c r="F36" s="7">
        <f t="shared" si="2"/>
        <v>0</v>
      </c>
      <c r="G36" s="7"/>
      <c r="H36" s="7">
        <v>6000</v>
      </c>
      <c r="I36" s="7"/>
    </row>
    <row r="37" spans="1:9">
      <c r="B37" s="193">
        <v>44985</v>
      </c>
      <c r="C37" s="116" t="s">
        <v>194</v>
      </c>
      <c r="D37" s="7">
        <v>6500</v>
      </c>
      <c r="E37">
        <v>6500</v>
      </c>
      <c r="F37" s="7">
        <f t="shared" si="2"/>
        <v>0</v>
      </c>
      <c r="G37" s="7"/>
      <c r="H37" s="7"/>
      <c r="I37" s="7"/>
    </row>
    <row r="38" spans="1:9">
      <c r="B38" s="134">
        <v>45015</v>
      </c>
      <c r="C38" s="116" t="s">
        <v>195</v>
      </c>
      <c r="D38" s="7">
        <v>6500</v>
      </c>
      <c r="E38">
        <v>6500</v>
      </c>
      <c r="F38" s="7">
        <f t="shared" si="2"/>
        <v>0</v>
      </c>
      <c r="G38" s="7"/>
      <c r="H38" s="7"/>
      <c r="I38" s="7"/>
    </row>
    <row r="39" spans="1:9">
      <c r="B39" s="134">
        <v>45046</v>
      </c>
      <c r="C39" s="116" t="s">
        <v>195</v>
      </c>
      <c r="D39" s="7">
        <v>6500</v>
      </c>
      <c r="E39">
        <v>6500</v>
      </c>
      <c r="F39" s="7">
        <f t="shared" si="2"/>
        <v>0</v>
      </c>
      <c r="G39" s="7"/>
      <c r="H39" s="7"/>
      <c r="I39" s="7"/>
    </row>
    <row r="40" spans="1:9">
      <c r="B40" s="134">
        <v>45076</v>
      </c>
      <c r="C40" s="116" t="s">
        <v>195</v>
      </c>
      <c r="D40" s="7">
        <v>6500</v>
      </c>
      <c r="E40">
        <v>6500</v>
      </c>
      <c r="F40" s="7">
        <f t="shared" si="2"/>
        <v>0</v>
      </c>
      <c r="G40" s="7"/>
      <c r="H40" s="7"/>
      <c r="I40" s="7"/>
    </row>
    <row r="41" spans="1:9">
      <c r="B41" s="134">
        <v>45107</v>
      </c>
      <c r="C41" s="116" t="s">
        <v>195</v>
      </c>
      <c r="D41" s="7">
        <v>6500</v>
      </c>
      <c r="E41">
        <v>6500</v>
      </c>
      <c r="F41" s="7">
        <f t="shared" si="2"/>
        <v>0</v>
      </c>
      <c r="G41" s="7"/>
      <c r="H41" s="7"/>
      <c r="I41" s="7"/>
    </row>
    <row r="42" spans="1:9">
      <c r="B42" s="134">
        <v>45137</v>
      </c>
      <c r="C42" s="116" t="s">
        <v>195</v>
      </c>
      <c r="D42" s="7">
        <v>6500</v>
      </c>
      <c r="E42">
        <v>6500</v>
      </c>
      <c r="F42" s="7">
        <f t="shared" si="2"/>
        <v>0</v>
      </c>
      <c r="G42" s="7"/>
      <c r="H42" s="7"/>
      <c r="I42" s="7"/>
    </row>
    <row r="43" spans="1:9">
      <c r="A43" s="179"/>
      <c r="B43" s="180"/>
      <c r="C43" s="179"/>
      <c r="D43" s="186" t="s">
        <v>246</v>
      </c>
      <c r="E43" s="192">
        <f>SUM(E31:E42)</f>
        <v>60000</v>
      </c>
      <c r="F43" s="179"/>
      <c r="G43" s="179"/>
    </row>
    <row r="44" spans="1:9">
      <c r="C44" t="s">
        <v>251</v>
      </c>
      <c r="G44" s="103" t="s">
        <v>252</v>
      </c>
    </row>
    <row r="45" spans="1:9">
      <c r="B45" s="184" t="s">
        <v>123</v>
      </c>
      <c r="C45" s="185" t="s">
        <v>124</v>
      </c>
      <c r="D45" s="186" t="s">
        <v>158</v>
      </c>
      <c r="E45" s="187" t="s">
        <v>159</v>
      </c>
      <c r="F45" s="187" t="s">
        <v>126</v>
      </c>
    </row>
    <row r="46" spans="1:9">
      <c r="B46" s="134">
        <v>45168</v>
      </c>
      <c r="C46" s="116" t="s">
        <v>166</v>
      </c>
      <c r="D46" s="7">
        <v>6500</v>
      </c>
      <c r="E46">
        <v>6500</v>
      </c>
      <c r="F46" s="7">
        <f>D46-E46</f>
        <v>0</v>
      </c>
      <c r="G46" s="7"/>
      <c r="H46" s="7"/>
      <c r="I46" s="7"/>
    </row>
    <row r="47" spans="1:9">
      <c r="B47" s="134">
        <v>45199</v>
      </c>
      <c r="C47" t="s">
        <v>167</v>
      </c>
      <c r="D47" s="7">
        <v>6500</v>
      </c>
      <c r="E47">
        <v>6500</v>
      </c>
      <c r="F47" s="7">
        <f t="shared" ref="F47:F57" si="3">D47-E47+F46</f>
        <v>0</v>
      </c>
      <c r="H47" s="7">
        <v>6500</v>
      </c>
      <c r="I47" s="7"/>
    </row>
    <row r="48" spans="1:9">
      <c r="B48" s="134">
        <v>45229</v>
      </c>
      <c r="C48" t="s">
        <v>168</v>
      </c>
      <c r="D48" s="7">
        <v>6500</v>
      </c>
      <c r="E48">
        <v>6500</v>
      </c>
      <c r="F48" s="7">
        <f t="shared" si="3"/>
        <v>0</v>
      </c>
      <c r="H48" s="7"/>
      <c r="I48" s="7"/>
    </row>
    <row r="49" spans="1:9">
      <c r="B49" s="134">
        <v>45260</v>
      </c>
      <c r="C49" t="s">
        <v>168</v>
      </c>
      <c r="D49" s="7">
        <v>6500</v>
      </c>
      <c r="E49">
        <v>6500</v>
      </c>
      <c r="F49" s="7">
        <f t="shared" si="3"/>
        <v>0</v>
      </c>
      <c r="H49" s="7"/>
      <c r="I49" s="7"/>
    </row>
    <row r="50" spans="1:9">
      <c r="B50" s="134">
        <v>45290</v>
      </c>
      <c r="C50" t="s">
        <v>168</v>
      </c>
      <c r="D50" s="7">
        <v>6500</v>
      </c>
      <c r="E50">
        <v>6500</v>
      </c>
      <c r="F50" s="7">
        <f t="shared" si="3"/>
        <v>0</v>
      </c>
      <c r="H50" s="7"/>
      <c r="I50" s="7"/>
    </row>
    <row r="51" spans="1:9">
      <c r="B51" s="134">
        <v>45321</v>
      </c>
      <c r="C51" t="s">
        <v>166</v>
      </c>
      <c r="D51" s="7">
        <v>6500</v>
      </c>
      <c r="E51">
        <v>6500</v>
      </c>
      <c r="F51" s="7">
        <f t="shared" si="3"/>
        <v>0</v>
      </c>
      <c r="H51" s="7"/>
      <c r="I51" s="7"/>
    </row>
    <row r="52" spans="1:9">
      <c r="B52" s="134">
        <v>45351</v>
      </c>
      <c r="C52" t="s">
        <v>166</v>
      </c>
      <c r="D52" s="7">
        <v>15000</v>
      </c>
      <c r="E52">
        <v>6500</v>
      </c>
      <c r="F52" s="7">
        <f t="shared" si="3"/>
        <v>8500</v>
      </c>
      <c r="H52" s="7"/>
      <c r="I52" s="7"/>
    </row>
    <row r="53" spans="1:9">
      <c r="B53" s="134">
        <v>45381</v>
      </c>
      <c r="C53" t="s">
        <v>166</v>
      </c>
      <c r="D53" s="7">
        <v>15000</v>
      </c>
      <c r="E53">
        <v>15000</v>
      </c>
      <c r="F53" s="7">
        <f t="shared" si="3"/>
        <v>8500</v>
      </c>
      <c r="H53" s="7"/>
      <c r="I53" s="7"/>
    </row>
    <row r="54" spans="1:9">
      <c r="B54" s="134">
        <v>45411</v>
      </c>
      <c r="D54" s="7">
        <v>15000</v>
      </c>
      <c r="E54">
        <v>15000</v>
      </c>
      <c r="F54" s="7">
        <f t="shared" si="3"/>
        <v>8500</v>
      </c>
      <c r="H54" s="7"/>
      <c r="I54" s="7"/>
    </row>
    <row r="55" spans="1:9">
      <c r="B55" s="134">
        <v>45441</v>
      </c>
      <c r="D55" s="7">
        <v>15000</v>
      </c>
      <c r="E55">
        <v>15000</v>
      </c>
      <c r="F55" s="7">
        <f t="shared" si="3"/>
        <v>8500</v>
      </c>
      <c r="H55" s="7"/>
      <c r="I55" s="7"/>
    </row>
    <row r="56" spans="1:9">
      <c r="B56" s="134">
        <v>45471</v>
      </c>
      <c r="C56" t="s">
        <v>253</v>
      </c>
      <c r="D56" s="7">
        <v>15000</v>
      </c>
      <c r="E56">
        <v>15000</v>
      </c>
      <c r="F56" s="7">
        <f t="shared" si="3"/>
        <v>8500</v>
      </c>
      <c r="H56" s="7">
        <v>15000</v>
      </c>
      <c r="I56" s="7"/>
    </row>
    <row r="57" spans="1:9">
      <c r="B57" s="134">
        <v>45501</v>
      </c>
      <c r="D57" s="7">
        <v>15000</v>
      </c>
      <c r="E57">
        <v>15000</v>
      </c>
      <c r="F57" s="7">
        <f t="shared" si="3"/>
        <v>8500</v>
      </c>
      <c r="H57" s="7"/>
      <c r="I57" s="7"/>
    </row>
    <row r="58" spans="1:9">
      <c r="F58" s="7"/>
      <c r="H58" s="7"/>
      <c r="I58" s="7"/>
    </row>
    <row r="59" spans="1:9">
      <c r="A59" s="179"/>
      <c r="B59" s="180"/>
      <c r="C59" s="179"/>
      <c r="D59" s="186" t="s">
        <v>246</v>
      </c>
      <c r="E59" s="192">
        <f>SUM(E46:E57)</f>
        <v>120500</v>
      </c>
      <c r="F59" s="179"/>
      <c r="G59" s="179"/>
    </row>
    <row r="61" spans="1:9">
      <c r="C61" t="s">
        <v>254</v>
      </c>
      <c r="G61" s="103" t="s">
        <v>255</v>
      </c>
    </row>
    <row r="62" spans="1:9">
      <c r="B62" s="184" t="s">
        <v>123</v>
      </c>
      <c r="C62" s="185" t="s">
        <v>124</v>
      </c>
      <c r="D62" s="186" t="s">
        <v>158</v>
      </c>
      <c r="E62" s="187" t="s">
        <v>159</v>
      </c>
      <c r="F62" s="187" t="s">
        <v>126</v>
      </c>
    </row>
    <row r="63" spans="1:9">
      <c r="B63" s="134">
        <v>45534</v>
      </c>
      <c r="C63" s="116" t="s">
        <v>256</v>
      </c>
      <c r="D63" s="7">
        <v>22104</v>
      </c>
      <c r="E63">
        <v>15000</v>
      </c>
      <c r="F63" s="7">
        <f>D63-E63</f>
        <v>7104</v>
      </c>
      <c r="G63" s="7"/>
      <c r="H63" s="7">
        <v>15000</v>
      </c>
    </row>
    <row r="64" spans="1:9">
      <c r="B64" s="134">
        <v>45565</v>
      </c>
      <c r="C64" t="s">
        <v>257</v>
      </c>
      <c r="D64" s="7">
        <f t="shared" ref="D64:D74" si="4">D63</f>
        <v>22104</v>
      </c>
      <c r="E64">
        <v>15000</v>
      </c>
      <c r="F64" s="7">
        <f t="shared" ref="F64:F74" si="5">D64-E64+F63</f>
        <v>14208</v>
      </c>
      <c r="H64" s="7">
        <v>15000</v>
      </c>
    </row>
    <row r="65" spans="1:8">
      <c r="B65" s="134">
        <v>45595</v>
      </c>
      <c r="C65" t="s">
        <v>258</v>
      </c>
      <c r="D65" s="7">
        <f t="shared" si="4"/>
        <v>22104</v>
      </c>
      <c r="E65">
        <v>15000</v>
      </c>
      <c r="F65" s="7">
        <f t="shared" si="5"/>
        <v>21312</v>
      </c>
      <c r="H65" s="7">
        <v>15000</v>
      </c>
    </row>
    <row r="66" spans="1:8">
      <c r="B66" s="134">
        <v>45626</v>
      </c>
      <c r="C66" t="s">
        <v>259</v>
      </c>
      <c r="D66" s="7">
        <f t="shared" si="4"/>
        <v>22104</v>
      </c>
      <c r="E66">
        <v>15000</v>
      </c>
      <c r="F66" s="7">
        <f t="shared" si="5"/>
        <v>28416</v>
      </c>
      <c r="H66" s="7">
        <v>15000</v>
      </c>
    </row>
    <row r="67" spans="1:8">
      <c r="B67" s="134">
        <v>45656</v>
      </c>
      <c r="D67" s="7">
        <f t="shared" si="4"/>
        <v>22104</v>
      </c>
      <c r="E67">
        <v>15000</v>
      </c>
      <c r="F67" s="7">
        <f t="shared" si="5"/>
        <v>35520</v>
      </c>
    </row>
    <row r="68" spans="1:8">
      <c r="B68" s="134">
        <v>45687</v>
      </c>
      <c r="D68" s="7">
        <f t="shared" si="4"/>
        <v>22104</v>
      </c>
      <c r="E68">
        <v>15000</v>
      </c>
      <c r="F68" s="7">
        <f t="shared" si="5"/>
        <v>42624</v>
      </c>
    </row>
    <row r="69" spans="1:8">
      <c r="B69" s="134" t="s">
        <v>260</v>
      </c>
      <c r="D69" s="7">
        <f t="shared" si="4"/>
        <v>22104</v>
      </c>
      <c r="F69" s="7">
        <f t="shared" si="5"/>
        <v>64728</v>
      </c>
    </row>
    <row r="70" spans="1:8">
      <c r="B70" s="134">
        <v>45746</v>
      </c>
      <c r="D70" s="7">
        <f t="shared" si="4"/>
        <v>22104</v>
      </c>
      <c r="F70" s="7">
        <f t="shared" si="5"/>
        <v>86832</v>
      </c>
    </row>
    <row r="71" spans="1:8">
      <c r="B71" s="134">
        <v>45776</v>
      </c>
      <c r="D71" s="7">
        <f t="shared" si="4"/>
        <v>22104</v>
      </c>
      <c r="F71" s="7">
        <f t="shared" si="5"/>
        <v>108936</v>
      </c>
    </row>
    <row r="72" spans="1:8">
      <c r="B72" s="134">
        <v>45806</v>
      </c>
      <c r="D72" s="7">
        <f t="shared" si="4"/>
        <v>22104</v>
      </c>
      <c r="F72" s="7">
        <f t="shared" si="5"/>
        <v>131040</v>
      </c>
    </row>
    <row r="73" spans="1:8">
      <c r="B73" s="134">
        <v>45836</v>
      </c>
      <c r="D73" s="7">
        <f t="shared" si="4"/>
        <v>22104</v>
      </c>
      <c r="F73" s="7">
        <f t="shared" si="5"/>
        <v>153144</v>
      </c>
    </row>
    <row r="74" spans="1:8">
      <c r="B74" s="134">
        <v>45866</v>
      </c>
      <c r="D74" s="7">
        <f t="shared" si="4"/>
        <v>22104</v>
      </c>
      <c r="F74" s="7">
        <f t="shared" si="5"/>
        <v>175248</v>
      </c>
    </row>
    <row r="75" spans="1:8">
      <c r="F75" s="7"/>
    </row>
    <row r="76" spans="1:8">
      <c r="A76" s="179"/>
      <c r="B76" s="180"/>
      <c r="C76" s="179"/>
      <c r="D76" s="186" t="s">
        <v>246</v>
      </c>
      <c r="E76" s="192">
        <f>SUM(E61:E74)</f>
        <v>90000</v>
      </c>
      <c r="F76" s="179"/>
      <c r="G76" s="179"/>
      <c r="H76">
        <f>SUM(H4:H75)</f>
        <v>99500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7"/>
  <sheetViews>
    <sheetView zoomScaleNormal="100" workbookViewId="0"/>
  </sheetViews>
  <sheetFormatPr defaultColWidth="8.7109375"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05"/>
      <c r="B1" s="54"/>
      <c r="C1" s="7"/>
      <c r="D1" s="7"/>
      <c r="E1" s="7"/>
      <c r="F1" s="7"/>
      <c r="G1" s="7"/>
    </row>
    <row r="2" spans="1:7">
      <c r="A2" s="105"/>
      <c r="B2" s="54"/>
      <c r="C2" s="7"/>
      <c r="D2" s="7"/>
      <c r="E2" s="7"/>
      <c r="F2" s="7"/>
      <c r="G2" s="7"/>
    </row>
    <row r="3" spans="1:7">
      <c r="A3" s="105"/>
      <c r="B3" s="54" t="s">
        <v>261</v>
      </c>
      <c r="C3" s="7"/>
      <c r="D3" s="7"/>
      <c r="E3" s="7"/>
      <c r="F3" s="7"/>
      <c r="G3" s="7"/>
    </row>
    <row r="4" spans="1:7">
      <c r="A4" s="105"/>
      <c r="C4" s="7"/>
      <c r="D4" s="7"/>
      <c r="E4" s="7"/>
      <c r="F4" s="7"/>
      <c r="G4" s="7"/>
    </row>
    <row r="5" spans="1:7">
      <c r="A5" s="105"/>
      <c r="C5" s="7"/>
      <c r="D5" s="7"/>
      <c r="E5" s="7"/>
      <c r="F5" s="7"/>
      <c r="G5" s="7"/>
    </row>
    <row r="6" spans="1:7">
      <c r="A6" s="107" t="s">
        <v>123</v>
      </c>
      <c r="B6" s="108" t="s">
        <v>124</v>
      </c>
      <c r="C6" s="109" t="s">
        <v>169</v>
      </c>
      <c r="D6" s="109" t="s">
        <v>33</v>
      </c>
      <c r="E6" s="109" t="s">
        <v>126</v>
      </c>
      <c r="F6" s="109" t="s">
        <v>170</v>
      </c>
      <c r="G6" s="109" t="s">
        <v>262</v>
      </c>
    </row>
    <row r="7" spans="1:7">
      <c r="A7" s="107"/>
      <c r="B7" s="108"/>
      <c r="C7" s="109"/>
      <c r="D7" s="109"/>
      <c r="E7" s="109"/>
      <c r="F7" s="109"/>
      <c r="G7" s="109"/>
    </row>
    <row r="8" spans="1:7">
      <c r="A8" s="113">
        <v>44946</v>
      </c>
      <c r="B8" t="s">
        <v>263</v>
      </c>
      <c r="C8" s="7">
        <v>1650</v>
      </c>
      <c r="D8" s="7">
        <v>1650</v>
      </c>
      <c r="E8" s="7">
        <f>C8-D8</f>
        <v>0</v>
      </c>
      <c r="F8" s="7"/>
      <c r="G8" s="7">
        <f t="shared" ref="G8:G25" si="0">D8-F8</f>
        <v>1650</v>
      </c>
    </row>
    <row r="9" spans="1:7">
      <c r="A9" s="113">
        <v>44977</v>
      </c>
      <c r="B9" t="s">
        <v>263</v>
      </c>
      <c r="C9" s="7">
        <v>1650</v>
      </c>
      <c r="D9" s="7">
        <v>1650</v>
      </c>
      <c r="E9" s="7">
        <f t="shared" ref="E9:E25" si="1">E8-D9+C9</f>
        <v>0</v>
      </c>
      <c r="F9" s="7"/>
      <c r="G9" s="7">
        <f t="shared" si="0"/>
        <v>1650</v>
      </c>
    </row>
    <row r="10" spans="1:7">
      <c r="A10" s="113">
        <v>45005</v>
      </c>
      <c r="B10" s="59"/>
      <c r="C10" s="7">
        <v>1650</v>
      </c>
      <c r="D10" s="7">
        <v>1650</v>
      </c>
      <c r="E10" s="7">
        <f t="shared" si="1"/>
        <v>0</v>
      </c>
      <c r="F10" s="7"/>
      <c r="G10" s="7">
        <f t="shared" si="0"/>
        <v>1650</v>
      </c>
    </row>
    <row r="11" spans="1:7">
      <c r="A11" s="105"/>
      <c r="B11" t="s">
        <v>264</v>
      </c>
      <c r="C11" s="7"/>
      <c r="D11" s="7"/>
      <c r="E11" s="7">
        <f t="shared" si="1"/>
        <v>0</v>
      </c>
      <c r="F11" s="7"/>
      <c r="G11" s="7">
        <f t="shared" si="0"/>
        <v>0</v>
      </c>
    </row>
    <row r="12" spans="1:7">
      <c r="A12" s="113">
        <v>44671</v>
      </c>
      <c r="B12" t="s">
        <v>265</v>
      </c>
      <c r="C12" s="7"/>
      <c r="D12" s="7"/>
      <c r="E12" s="7">
        <f t="shared" si="1"/>
        <v>0</v>
      </c>
      <c r="F12" s="7"/>
      <c r="G12" s="7">
        <f t="shared" si="0"/>
        <v>0</v>
      </c>
    </row>
    <row r="13" spans="1:7">
      <c r="A13" s="113"/>
      <c r="B13" t="s">
        <v>266</v>
      </c>
      <c r="C13" s="7"/>
      <c r="D13" s="7"/>
      <c r="E13" s="7">
        <f t="shared" si="1"/>
        <v>0</v>
      </c>
      <c r="F13" s="7"/>
      <c r="G13" s="7">
        <f t="shared" si="0"/>
        <v>0</v>
      </c>
    </row>
    <row r="14" spans="1:7">
      <c r="A14" s="113">
        <v>45036</v>
      </c>
      <c r="B14" s="59"/>
      <c r="C14" s="7">
        <v>2800</v>
      </c>
      <c r="D14" s="7">
        <v>2800</v>
      </c>
      <c r="E14" s="7">
        <f t="shared" si="1"/>
        <v>0</v>
      </c>
      <c r="F14" s="7"/>
      <c r="G14" s="7">
        <f t="shared" si="0"/>
        <v>2800</v>
      </c>
    </row>
    <row r="15" spans="1:7">
      <c r="A15" s="113">
        <v>45066</v>
      </c>
      <c r="C15" s="7">
        <v>2800</v>
      </c>
      <c r="D15" s="7">
        <v>2800</v>
      </c>
      <c r="E15" s="7">
        <f t="shared" si="1"/>
        <v>0</v>
      </c>
      <c r="F15" s="7"/>
      <c r="G15" s="7">
        <f t="shared" si="0"/>
        <v>2800</v>
      </c>
    </row>
    <row r="16" spans="1:7">
      <c r="A16" s="113">
        <v>45097</v>
      </c>
      <c r="B16" s="59"/>
      <c r="C16" s="7">
        <v>2800</v>
      </c>
      <c r="D16" s="7">
        <v>2800</v>
      </c>
      <c r="E16" s="7">
        <f t="shared" si="1"/>
        <v>0</v>
      </c>
      <c r="F16" s="7"/>
      <c r="G16" s="7">
        <f t="shared" si="0"/>
        <v>2800</v>
      </c>
    </row>
    <row r="17" spans="1:7">
      <c r="A17" s="113">
        <v>45127</v>
      </c>
      <c r="B17" s="59"/>
      <c r="C17" s="7">
        <v>2800</v>
      </c>
      <c r="D17" s="7">
        <v>2800</v>
      </c>
      <c r="E17" s="7">
        <f t="shared" si="1"/>
        <v>0</v>
      </c>
      <c r="F17" s="7"/>
      <c r="G17" s="7">
        <f t="shared" si="0"/>
        <v>2800</v>
      </c>
    </row>
    <row r="18" spans="1:7">
      <c r="A18" s="113">
        <v>45158</v>
      </c>
      <c r="B18" s="59"/>
      <c r="C18" s="7">
        <v>2800</v>
      </c>
      <c r="D18" s="7">
        <v>2800</v>
      </c>
      <c r="E18" s="7">
        <f t="shared" si="1"/>
        <v>0</v>
      </c>
      <c r="F18" s="7"/>
      <c r="G18" s="7">
        <f t="shared" si="0"/>
        <v>2800</v>
      </c>
    </row>
    <row r="19" spans="1:7">
      <c r="A19" s="113">
        <v>45189</v>
      </c>
      <c r="B19" s="59"/>
      <c r="C19" s="7">
        <v>2800</v>
      </c>
      <c r="D19" s="7">
        <v>2800</v>
      </c>
      <c r="E19" s="7">
        <f t="shared" si="1"/>
        <v>0</v>
      </c>
      <c r="F19" s="7"/>
      <c r="G19" s="7">
        <f t="shared" si="0"/>
        <v>2800</v>
      </c>
    </row>
    <row r="20" spans="1:7">
      <c r="A20" s="113">
        <v>45232</v>
      </c>
      <c r="B20" s="59" t="s">
        <v>267</v>
      </c>
      <c r="C20" s="7">
        <v>2800</v>
      </c>
      <c r="D20" s="7">
        <v>2800</v>
      </c>
      <c r="E20" s="7">
        <f t="shared" si="1"/>
        <v>0</v>
      </c>
      <c r="F20" s="7"/>
      <c r="G20" s="7">
        <f t="shared" si="0"/>
        <v>2800</v>
      </c>
    </row>
    <row r="21" spans="1:7">
      <c r="A21" s="113">
        <v>45250</v>
      </c>
      <c r="B21" s="59" t="s">
        <v>268</v>
      </c>
      <c r="C21" s="7">
        <v>2800</v>
      </c>
      <c r="D21" s="7">
        <v>2800</v>
      </c>
      <c r="E21" s="7">
        <f t="shared" si="1"/>
        <v>0</v>
      </c>
      <c r="F21" s="7"/>
      <c r="G21" s="7">
        <f t="shared" si="0"/>
        <v>2800</v>
      </c>
    </row>
    <row r="22" spans="1:7">
      <c r="A22" s="113">
        <v>45280</v>
      </c>
      <c r="B22" s="59"/>
      <c r="C22" s="7">
        <v>2800</v>
      </c>
      <c r="D22" s="7">
        <v>2800</v>
      </c>
      <c r="E22" s="7">
        <f t="shared" si="1"/>
        <v>0</v>
      </c>
      <c r="F22" s="7"/>
      <c r="G22" s="7">
        <f t="shared" si="0"/>
        <v>2800</v>
      </c>
    </row>
    <row r="23" spans="1:7">
      <c r="A23" s="59">
        <v>45311</v>
      </c>
      <c r="C23" s="7">
        <v>2800</v>
      </c>
      <c r="D23" s="7">
        <v>2800</v>
      </c>
      <c r="E23" s="7">
        <f t="shared" si="1"/>
        <v>0</v>
      </c>
      <c r="G23" s="7">
        <f t="shared" si="0"/>
        <v>2800</v>
      </c>
    </row>
    <row r="24" spans="1:7">
      <c r="A24" s="59">
        <v>45342</v>
      </c>
      <c r="C24" s="7">
        <v>2800</v>
      </c>
      <c r="D24" s="7">
        <v>2800</v>
      </c>
      <c r="E24" s="7">
        <f t="shared" si="1"/>
        <v>0</v>
      </c>
      <c r="G24" s="7">
        <f t="shared" si="0"/>
        <v>2800</v>
      </c>
    </row>
    <row r="25" spans="1:7">
      <c r="A25" s="59">
        <v>45371</v>
      </c>
      <c r="C25" s="7">
        <v>2800</v>
      </c>
      <c r="D25" s="7">
        <v>2800</v>
      </c>
      <c r="E25" s="7">
        <f t="shared" si="1"/>
        <v>0</v>
      </c>
      <c r="G25" s="7">
        <f t="shared" si="0"/>
        <v>2800</v>
      </c>
    </row>
    <row r="26" spans="1:7">
      <c r="A26" s="105"/>
      <c r="C26" s="7"/>
      <c r="D26" s="7"/>
      <c r="E26" s="7"/>
      <c r="F26" s="7"/>
      <c r="G26" s="7"/>
    </row>
    <row r="27" spans="1:7">
      <c r="A27" s="105"/>
      <c r="B27" s="54" t="s">
        <v>184</v>
      </c>
      <c r="C27" s="127">
        <f>SUM(C8:C26)</f>
        <v>38550</v>
      </c>
      <c r="D27" s="127">
        <f>SUM(D8:D26)</f>
        <v>38550</v>
      </c>
      <c r="E27" s="7">
        <f>E22</f>
        <v>0</v>
      </c>
      <c r="F27" s="127">
        <f>SUM(F12:F26)</f>
        <v>0</v>
      </c>
      <c r="G27" s="127">
        <f>D27-F27</f>
        <v>38550</v>
      </c>
    </row>
    <row r="28" spans="1:7">
      <c r="A28" s="105"/>
      <c r="C28" s="7"/>
      <c r="D28" s="7"/>
      <c r="E28" s="7"/>
      <c r="F28" s="7"/>
    </row>
    <row r="29" spans="1:7">
      <c r="A29" s="105"/>
      <c r="D29" s="7"/>
      <c r="E29" s="103" t="s">
        <v>269</v>
      </c>
      <c r="G29" s="127">
        <f>G27</f>
        <v>38550</v>
      </c>
    </row>
    <row r="30" spans="1:7">
      <c r="A30" s="105"/>
      <c r="D30" s="7"/>
      <c r="E30" s="54"/>
      <c r="G30" s="127"/>
    </row>
    <row r="31" spans="1:7">
      <c r="A31" s="105"/>
      <c r="E31" s="54" t="s">
        <v>186</v>
      </c>
      <c r="F31" s="129">
        <v>1</v>
      </c>
      <c r="G31" s="127">
        <f>G29*$F$31</f>
        <v>38550</v>
      </c>
    </row>
    <row r="37" spans="1:7">
      <c r="B37" s="54">
        <v>2022</v>
      </c>
    </row>
    <row r="39" spans="1:7">
      <c r="A39" s="105"/>
      <c r="B39" s="54" t="s">
        <v>261</v>
      </c>
      <c r="C39" s="7"/>
      <c r="D39" s="7"/>
      <c r="E39" s="7"/>
      <c r="F39" s="7"/>
      <c r="G39" s="7"/>
    </row>
    <row r="40" spans="1:7">
      <c r="A40" s="105"/>
      <c r="C40" s="7"/>
      <c r="D40" s="7"/>
      <c r="E40" s="7"/>
      <c r="F40" s="7"/>
      <c r="G40" s="7"/>
    </row>
    <row r="41" spans="1:7">
      <c r="A41" s="105"/>
      <c r="C41" s="7"/>
      <c r="D41" s="7"/>
      <c r="E41" s="7"/>
      <c r="F41" s="7"/>
      <c r="G41" s="7"/>
    </row>
    <row r="42" spans="1:7">
      <c r="A42" s="107" t="s">
        <v>123</v>
      </c>
      <c r="B42" s="108" t="s">
        <v>124</v>
      </c>
      <c r="C42" s="109" t="s">
        <v>169</v>
      </c>
      <c r="D42" s="109" t="s">
        <v>33</v>
      </c>
      <c r="E42" s="109" t="s">
        <v>126</v>
      </c>
      <c r="F42" s="109" t="s">
        <v>170</v>
      </c>
      <c r="G42" s="109" t="s">
        <v>262</v>
      </c>
    </row>
    <row r="43" spans="1:7">
      <c r="A43" s="107"/>
      <c r="B43" s="108"/>
      <c r="C43" s="109"/>
      <c r="D43" s="109"/>
      <c r="E43" s="109"/>
      <c r="F43" s="109"/>
      <c r="G43" s="109"/>
    </row>
    <row r="44" spans="1:7">
      <c r="A44" s="113">
        <v>44581</v>
      </c>
      <c r="B44" s="59" t="s">
        <v>270</v>
      </c>
      <c r="C44" s="7">
        <v>3000</v>
      </c>
      <c r="D44" s="7"/>
      <c r="E44" s="7">
        <f>C44-D44</f>
        <v>3000</v>
      </c>
      <c r="F44" s="7"/>
      <c r="G44" s="7">
        <f t="shared" ref="G44:G61" si="2">D44-F44</f>
        <v>0</v>
      </c>
    </row>
    <row r="45" spans="1:7">
      <c r="A45" s="113">
        <v>44612</v>
      </c>
      <c r="B45" s="59"/>
      <c r="C45" s="7"/>
      <c r="D45" s="7">
        <v>3000</v>
      </c>
      <c r="E45" s="7">
        <f>E44-D45</f>
        <v>0</v>
      </c>
      <c r="F45" s="7"/>
      <c r="G45" s="7">
        <f t="shared" si="2"/>
        <v>3000</v>
      </c>
    </row>
    <row r="46" spans="1:7">
      <c r="A46" s="113">
        <v>44640</v>
      </c>
      <c r="B46" s="59"/>
      <c r="C46" s="7"/>
      <c r="D46" s="7"/>
      <c r="E46" s="7">
        <f>E45-D46</f>
        <v>0</v>
      </c>
      <c r="F46" s="7"/>
      <c r="G46" s="7">
        <f t="shared" si="2"/>
        <v>0</v>
      </c>
    </row>
    <row r="47" spans="1:7">
      <c r="A47" s="105"/>
      <c r="B47" t="s">
        <v>271</v>
      </c>
      <c r="C47" s="7"/>
      <c r="D47" s="7"/>
      <c r="E47" s="7">
        <f>E46-D47</f>
        <v>0</v>
      </c>
      <c r="F47" s="7"/>
      <c r="G47" s="7">
        <f t="shared" si="2"/>
        <v>0</v>
      </c>
    </row>
    <row r="48" spans="1:7">
      <c r="A48" s="113">
        <v>44671</v>
      </c>
      <c r="B48" t="s">
        <v>265</v>
      </c>
      <c r="C48" s="7"/>
      <c r="D48" s="7"/>
      <c r="E48" s="7">
        <f>E47-D48</f>
        <v>0</v>
      </c>
      <c r="F48" s="7"/>
      <c r="G48" s="7">
        <f t="shared" si="2"/>
        <v>0</v>
      </c>
    </row>
    <row r="49" spans="1:7">
      <c r="A49" s="113"/>
      <c r="B49" t="s">
        <v>272</v>
      </c>
      <c r="C49" s="7"/>
      <c r="D49" s="7"/>
      <c r="E49" s="7">
        <f>E48-D49</f>
        <v>0</v>
      </c>
      <c r="F49" s="7"/>
      <c r="G49" s="7">
        <f t="shared" si="2"/>
        <v>0</v>
      </c>
    </row>
    <row r="50" spans="1:7">
      <c r="A50" s="113">
        <v>44671</v>
      </c>
      <c r="B50" s="59" t="s">
        <v>273</v>
      </c>
      <c r="C50" s="7">
        <v>1650</v>
      </c>
      <c r="D50" s="7">
        <v>1600</v>
      </c>
      <c r="E50" s="7">
        <f>C50-D50+E49</f>
        <v>50</v>
      </c>
      <c r="F50" s="7"/>
      <c r="G50" s="7">
        <f t="shared" si="2"/>
        <v>1600</v>
      </c>
    </row>
    <row r="51" spans="1:7">
      <c r="A51" s="113">
        <v>44701</v>
      </c>
      <c r="C51" s="7">
        <v>1650</v>
      </c>
      <c r="D51" s="7">
        <v>1650</v>
      </c>
      <c r="E51" s="7">
        <f t="shared" ref="E51:E61" si="3">E50+C51-D51</f>
        <v>50</v>
      </c>
      <c r="F51" s="7"/>
      <c r="G51" s="7">
        <f t="shared" si="2"/>
        <v>1650</v>
      </c>
    </row>
    <row r="52" spans="1:7">
      <c r="A52" s="113">
        <v>44732</v>
      </c>
      <c r="B52" s="59"/>
      <c r="C52" s="7">
        <v>1650</v>
      </c>
      <c r="D52" s="7">
        <v>1650</v>
      </c>
      <c r="E52" s="7">
        <f t="shared" si="3"/>
        <v>50</v>
      </c>
      <c r="F52" s="7"/>
      <c r="G52" s="7">
        <f t="shared" si="2"/>
        <v>1650</v>
      </c>
    </row>
    <row r="53" spans="1:7">
      <c r="A53" s="113">
        <v>44762</v>
      </c>
      <c r="B53" s="59"/>
      <c r="C53" s="7">
        <v>1650</v>
      </c>
      <c r="D53" s="7">
        <v>1650</v>
      </c>
      <c r="E53" s="7">
        <f t="shared" si="3"/>
        <v>50</v>
      </c>
      <c r="F53" s="7"/>
      <c r="G53" s="7">
        <f t="shared" si="2"/>
        <v>1650</v>
      </c>
    </row>
    <row r="54" spans="1:7">
      <c r="A54" s="113">
        <v>44793</v>
      </c>
      <c r="B54" s="59"/>
      <c r="C54" s="7">
        <v>1650</v>
      </c>
      <c r="D54" s="7">
        <v>1650</v>
      </c>
      <c r="E54" s="7">
        <f t="shared" si="3"/>
        <v>50</v>
      </c>
      <c r="F54" s="7"/>
      <c r="G54" s="7">
        <f t="shared" si="2"/>
        <v>1650</v>
      </c>
    </row>
    <row r="55" spans="1:7">
      <c r="A55" s="113">
        <v>44824</v>
      </c>
      <c r="B55" s="59"/>
      <c r="C55" s="7">
        <v>1650</v>
      </c>
      <c r="D55" s="7">
        <v>1650</v>
      </c>
      <c r="E55" s="7">
        <f t="shared" si="3"/>
        <v>50</v>
      </c>
      <c r="F55" s="7"/>
      <c r="G55" s="7">
        <f t="shared" si="2"/>
        <v>1650</v>
      </c>
    </row>
    <row r="56" spans="1:7">
      <c r="A56" s="113">
        <v>44854</v>
      </c>
      <c r="B56" s="59"/>
      <c r="C56" s="7">
        <v>1650</v>
      </c>
      <c r="D56" s="7">
        <v>1650</v>
      </c>
      <c r="E56" s="7">
        <f t="shared" si="3"/>
        <v>50</v>
      </c>
      <c r="F56" s="7"/>
      <c r="G56" s="7">
        <f t="shared" si="2"/>
        <v>1650</v>
      </c>
    </row>
    <row r="57" spans="1:7">
      <c r="A57" s="113">
        <v>44885</v>
      </c>
      <c r="B57" s="59"/>
      <c r="C57" s="7">
        <v>1650</v>
      </c>
      <c r="D57" s="7">
        <v>1650</v>
      </c>
      <c r="E57" s="7">
        <f t="shared" si="3"/>
        <v>50</v>
      </c>
      <c r="F57" s="7"/>
      <c r="G57" s="7">
        <f t="shared" si="2"/>
        <v>1650</v>
      </c>
    </row>
    <row r="58" spans="1:7">
      <c r="A58" s="113">
        <v>44915</v>
      </c>
      <c r="B58" s="59">
        <v>44912</v>
      </c>
      <c r="C58" s="7">
        <v>1650</v>
      </c>
      <c r="D58" s="7">
        <v>1650</v>
      </c>
      <c r="E58" s="7">
        <f t="shared" si="3"/>
        <v>50</v>
      </c>
      <c r="F58" s="7"/>
      <c r="G58" s="7">
        <f t="shared" si="2"/>
        <v>1650</v>
      </c>
    </row>
    <row r="59" spans="1:7">
      <c r="A59" s="59">
        <v>44946</v>
      </c>
      <c r="B59" t="s">
        <v>263</v>
      </c>
      <c r="C59" s="7">
        <v>1650</v>
      </c>
      <c r="D59">
        <v>1650</v>
      </c>
      <c r="E59" s="7">
        <f t="shared" si="3"/>
        <v>50</v>
      </c>
      <c r="G59" s="7">
        <f t="shared" si="2"/>
        <v>1650</v>
      </c>
    </row>
    <row r="60" spans="1:7">
      <c r="A60" s="59">
        <v>44612</v>
      </c>
      <c r="B60" t="s">
        <v>263</v>
      </c>
      <c r="C60" s="7">
        <v>1650</v>
      </c>
      <c r="D60">
        <v>1650</v>
      </c>
      <c r="E60" s="7">
        <f t="shared" si="3"/>
        <v>50</v>
      </c>
      <c r="G60" s="7">
        <f t="shared" si="2"/>
        <v>1650</v>
      </c>
    </row>
    <row r="61" spans="1:7">
      <c r="A61" s="59">
        <v>44640</v>
      </c>
      <c r="C61" s="7">
        <v>1650</v>
      </c>
      <c r="E61" s="7">
        <f t="shared" si="3"/>
        <v>1700</v>
      </c>
      <c r="G61" s="7">
        <f t="shared" si="2"/>
        <v>0</v>
      </c>
    </row>
    <row r="62" spans="1:7">
      <c r="A62" s="105"/>
      <c r="C62" s="7"/>
      <c r="D62" s="7"/>
      <c r="E62" s="7"/>
      <c r="F62" s="7"/>
      <c r="G62" s="7"/>
    </row>
    <row r="63" spans="1:7">
      <c r="A63" s="105"/>
      <c r="B63" s="54" t="s">
        <v>184</v>
      </c>
      <c r="C63" s="127">
        <f>SUM(C44:C62)</f>
        <v>22800</v>
      </c>
      <c r="D63" s="127">
        <f>SUM(D44:D62)</f>
        <v>21100</v>
      </c>
      <c r="E63" s="7">
        <f>E58</f>
        <v>50</v>
      </c>
      <c r="F63" s="127">
        <f>SUM(F48:F62)</f>
        <v>0</v>
      </c>
      <c r="G63" s="127">
        <f>D63-F63</f>
        <v>21100</v>
      </c>
    </row>
    <row r="64" spans="1:7">
      <c r="A64" s="105"/>
      <c r="C64" s="7"/>
      <c r="D64" s="7"/>
      <c r="E64" s="7"/>
      <c r="F64" s="7"/>
    </row>
    <row r="65" spans="1:7">
      <c r="A65" s="105"/>
      <c r="D65" s="7"/>
      <c r="E65" s="103" t="s">
        <v>269</v>
      </c>
      <c r="G65" s="127">
        <f>G63</f>
        <v>21100</v>
      </c>
    </row>
    <row r="66" spans="1:7">
      <c r="A66" s="105"/>
      <c r="D66" s="7"/>
      <c r="E66" s="54"/>
      <c r="G66" s="127"/>
    </row>
    <row r="67" spans="1:7">
      <c r="A67" s="105"/>
      <c r="E67" s="54" t="s">
        <v>186</v>
      </c>
      <c r="F67" s="129">
        <v>1</v>
      </c>
      <c r="G67" s="127">
        <f>G65*$F$31</f>
        <v>21100</v>
      </c>
    </row>
  </sheetData>
  <pageMargins left="0.62986111111111098" right="0.35416666666666702" top="0.78749999999999998" bottom="0.62986111111111098" header="0.511811023622047" footer="0.511811023622047"/>
  <pageSetup paperSize="9" pageOrder="overThenDown" orientation="portrait" useFirstPageNumber="1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84"/>
  <sheetViews>
    <sheetView topLeftCell="A129" zoomScale="205" zoomScaleNormal="205" workbookViewId="0">
      <selection activeCell="D154" sqref="D154"/>
    </sheetView>
  </sheetViews>
  <sheetFormatPr defaultColWidth="8.7109375" defaultRowHeight="11.25" customHeight="1"/>
  <cols>
    <col min="1" max="1" width="10.5703125" style="199" customWidth="1"/>
    <col min="2" max="2" width="21.7109375" style="199" customWidth="1"/>
    <col min="3" max="3" width="13.85546875" style="199" customWidth="1"/>
    <col min="4" max="4" width="12.5703125" style="199" customWidth="1"/>
    <col min="5" max="6" width="16.28515625" style="199" customWidth="1"/>
    <col min="7" max="1023" width="12.28515625" style="199" customWidth="1"/>
    <col min="1024" max="1024" width="9.140625" style="199" customWidth="1"/>
    <col min="1025" max="1025" width="9.140625" customWidth="1"/>
  </cols>
  <sheetData>
    <row r="1" spans="1:6" ht="11.25" customHeight="1">
      <c r="D1" s="200"/>
      <c r="E1" s="4">
        <v>45233</v>
      </c>
      <c r="F1" s="4"/>
    </row>
    <row r="2" spans="1:6" ht="11.25" customHeight="1">
      <c r="B2" s="201" t="s">
        <v>274</v>
      </c>
      <c r="D2" s="200"/>
      <c r="E2" s="202"/>
      <c r="F2" s="200"/>
    </row>
    <row r="3" spans="1:6" ht="11.25" customHeight="1">
      <c r="A3" s="203" t="s">
        <v>275</v>
      </c>
      <c r="B3" s="204"/>
      <c r="C3" s="203" t="s">
        <v>276</v>
      </c>
      <c r="D3" s="205" t="s">
        <v>277</v>
      </c>
      <c r="E3" s="206" t="s">
        <v>278</v>
      </c>
      <c r="F3" s="205" t="s">
        <v>30</v>
      </c>
    </row>
    <row r="4" spans="1:6" ht="11.25" customHeight="1">
      <c r="B4" s="201" t="s">
        <v>279</v>
      </c>
      <c r="D4" s="207">
        <v>17075.75</v>
      </c>
      <c r="E4" s="202"/>
      <c r="F4" s="207">
        <f>D4+E4</f>
        <v>17075.75</v>
      </c>
    </row>
    <row r="5" spans="1:6" ht="11.25" customHeight="1">
      <c r="B5" s="201"/>
      <c r="D5" s="207"/>
      <c r="E5" s="202"/>
      <c r="F5" s="207"/>
    </row>
    <row r="6" spans="1:6" ht="11.25" customHeight="1">
      <c r="A6" s="208">
        <v>38253</v>
      </c>
      <c r="B6" s="199" t="s">
        <v>280</v>
      </c>
      <c r="D6" s="200">
        <v>90</v>
      </c>
      <c r="E6" s="202"/>
      <c r="F6" s="200">
        <f>F4+D6+E6</f>
        <v>17165.75</v>
      </c>
    </row>
    <row r="7" spans="1:6" ht="11.25" customHeight="1">
      <c r="B7" s="199" t="s">
        <v>280</v>
      </c>
      <c r="D7" s="200">
        <v>45</v>
      </c>
      <c r="E7" s="202"/>
      <c r="F7" s="200">
        <f t="shared" ref="F7:F25" si="0">F6+D7+E7</f>
        <v>17210.75</v>
      </c>
    </row>
    <row r="8" spans="1:6" ht="11.25" customHeight="1">
      <c r="B8" s="199" t="s">
        <v>281</v>
      </c>
      <c r="D8" s="200">
        <v>5</v>
      </c>
      <c r="E8" s="202"/>
      <c r="F8" s="200">
        <f t="shared" si="0"/>
        <v>17215.75</v>
      </c>
    </row>
    <row r="9" spans="1:6" ht="11.25" customHeight="1">
      <c r="B9" s="199" t="s">
        <v>280</v>
      </c>
      <c r="D9" s="200">
        <v>36</v>
      </c>
      <c r="E9" s="202"/>
      <c r="F9" s="200">
        <f t="shared" si="0"/>
        <v>17251.75</v>
      </c>
    </row>
    <row r="10" spans="1:6" ht="11.25" customHeight="1">
      <c r="B10" s="201" t="s">
        <v>282</v>
      </c>
      <c r="C10" s="201"/>
      <c r="D10" s="209">
        <v>725</v>
      </c>
      <c r="E10" s="202"/>
      <c r="F10" s="200">
        <f t="shared" si="0"/>
        <v>17976.75</v>
      </c>
    </row>
    <row r="11" spans="1:6" ht="11.25" customHeight="1">
      <c r="B11" s="201" t="s">
        <v>283</v>
      </c>
      <c r="C11" s="201"/>
      <c r="D11" s="209">
        <v>725</v>
      </c>
      <c r="E11" s="202"/>
      <c r="F11" s="200">
        <f t="shared" si="0"/>
        <v>18701.75</v>
      </c>
    </row>
    <row r="12" spans="1:6" ht="11.25" customHeight="1">
      <c r="B12" s="201" t="s">
        <v>284</v>
      </c>
      <c r="C12" s="201"/>
      <c r="D12" s="209">
        <v>725</v>
      </c>
      <c r="E12" s="202"/>
      <c r="F12" s="200">
        <f t="shared" si="0"/>
        <v>19426.75</v>
      </c>
    </row>
    <row r="13" spans="1:6" ht="11.25" customHeight="1">
      <c r="B13" s="201" t="s">
        <v>285</v>
      </c>
      <c r="C13" s="201"/>
      <c r="D13" s="209">
        <v>1200</v>
      </c>
      <c r="E13" s="202"/>
      <c r="F13" s="200">
        <f t="shared" si="0"/>
        <v>20626.75</v>
      </c>
    </row>
    <row r="14" spans="1:6" ht="11.25" customHeight="1">
      <c r="B14" s="201" t="s">
        <v>286</v>
      </c>
      <c r="C14" s="201"/>
      <c r="D14" s="209">
        <v>725</v>
      </c>
      <c r="E14" s="202"/>
      <c r="F14" s="200">
        <f t="shared" si="0"/>
        <v>21351.75</v>
      </c>
    </row>
    <row r="15" spans="1:6" ht="11.25" customHeight="1">
      <c r="B15" s="199" t="s">
        <v>287</v>
      </c>
      <c r="D15" s="200">
        <v>65</v>
      </c>
      <c r="E15" s="202"/>
      <c r="F15" s="200">
        <f t="shared" si="0"/>
        <v>21416.75</v>
      </c>
    </row>
    <row r="16" spans="1:6" ht="11.25" customHeight="1">
      <c r="B16" s="199" t="s">
        <v>288</v>
      </c>
      <c r="D16" s="200">
        <v>400</v>
      </c>
      <c r="E16" s="202"/>
      <c r="F16" s="200">
        <f t="shared" si="0"/>
        <v>21816.75</v>
      </c>
    </row>
    <row r="17" spans="1:6" ht="11.25" customHeight="1">
      <c r="B17" s="201" t="s">
        <v>289</v>
      </c>
      <c r="C17" s="201"/>
      <c r="D17" s="209">
        <v>725</v>
      </c>
      <c r="E17" s="202"/>
      <c r="F17" s="200">
        <f t="shared" si="0"/>
        <v>22541.75</v>
      </c>
    </row>
    <row r="18" spans="1:6" ht="11.25" customHeight="1">
      <c r="B18" s="201" t="s">
        <v>290</v>
      </c>
      <c r="C18" s="201"/>
      <c r="D18" s="209">
        <v>725</v>
      </c>
      <c r="E18" s="202"/>
      <c r="F18" s="200">
        <f t="shared" si="0"/>
        <v>23266.75</v>
      </c>
    </row>
    <row r="19" spans="1:6" ht="11.25" customHeight="1">
      <c r="B19" s="201" t="s">
        <v>285</v>
      </c>
      <c r="C19" s="201"/>
      <c r="D19" s="209">
        <v>4500</v>
      </c>
      <c r="E19" s="202"/>
      <c r="F19" s="200">
        <f t="shared" si="0"/>
        <v>27766.75</v>
      </c>
    </row>
    <row r="20" spans="1:6" ht="11.25" customHeight="1">
      <c r="A20" s="208">
        <v>38328</v>
      </c>
      <c r="B20" s="201" t="s">
        <v>291</v>
      </c>
      <c r="C20" s="201">
        <v>1</v>
      </c>
      <c r="D20" s="209">
        <v>2426</v>
      </c>
      <c r="E20" s="202"/>
      <c r="F20" s="200">
        <f t="shared" si="0"/>
        <v>30192.75</v>
      </c>
    </row>
    <row r="21" spans="1:6" ht="11.25" customHeight="1">
      <c r="B21" s="201" t="s">
        <v>292</v>
      </c>
      <c r="C21" s="201"/>
      <c r="D21" s="209">
        <v>1520</v>
      </c>
      <c r="E21" s="202"/>
      <c r="F21" s="200">
        <f t="shared" si="0"/>
        <v>31712.75</v>
      </c>
    </row>
    <row r="22" spans="1:6" ht="11.25" customHeight="1">
      <c r="B22" s="199" t="s">
        <v>293</v>
      </c>
      <c r="D22" s="200"/>
      <c r="E22" s="202">
        <v>-2000</v>
      </c>
      <c r="F22" s="200">
        <f t="shared" si="0"/>
        <v>29712.75</v>
      </c>
    </row>
    <row r="23" spans="1:6" ht="11.25" customHeight="1">
      <c r="B23" s="199" t="s">
        <v>294</v>
      </c>
      <c r="D23" s="200"/>
      <c r="E23" s="202">
        <v>-3000</v>
      </c>
      <c r="F23" s="200">
        <f t="shared" si="0"/>
        <v>26712.75</v>
      </c>
    </row>
    <row r="24" spans="1:6" ht="11.25" customHeight="1">
      <c r="B24" s="199" t="s">
        <v>295</v>
      </c>
      <c r="D24" s="200"/>
      <c r="E24" s="202">
        <v>-3750</v>
      </c>
      <c r="F24" s="200">
        <f t="shared" si="0"/>
        <v>22962.75</v>
      </c>
    </row>
    <row r="25" spans="1:6" ht="11.25" customHeight="1">
      <c r="A25" s="208">
        <v>38352</v>
      </c>
      <c r="B25" s="199" t="s">
        <v>296</v>
      </c>
      <c r="D25" s="200"/>
      <c r="E25" s="202">
        <v>-1960</v>
      </c>
      <c r="F25" s="200">
        <f t="shared" si="0"/>
        <v>21002.75</v>
      </c>
    </row>
    <row r="26" spans="1:6" ht="11.25" customHeight="1">
      <c r="A26" s="208"/>
      <c r="C26" s="210" t="s">
        <v>297</v>
      </c>
      <c r="D26" s="207">
        <f>SUM(D6:D25)</f>
        <v>14637</v>
      </c>
      <c r="E26" s="211">
        <f>SUM(E6:E25)</f>
        <v>-10710</v>
      </c>
      <c r="F26" s="200"/>
    </row>
    <row r="27" spans="1:6" ht="11.25" customHeight="1">
      <c r="A27" s="208"/>
      <c r="D27" s="200"/>
      <c r="E27" s="202"/>
      <c r="F27" s="200"/>
    </row>
    <row r="28" spans="1:6" ht="11.25" customHeight="1">
      <c r="A28" s="208"/>
      <c r="D28" s="200"/>
      <c r="E28" s="202"/>
      <c r="F28" s="200"/>
    </row>
    <row r="29" spans="1:6" ht="11.25" customHeight="1">
      <c r="A29" s="203">
        <v>2005</v>
      </c>
      <c r="B29" s="204"/>
      <c r="C29" s="203" t="s">
        <v>276</v>
      </c>
      <c r="D29" s="205" t="s">
        <v>277</v>
      </c>
      <c r="E29" s="206" t="s">
        <v>278</v>
      </c>
      <c r="F29" s="205" t="s">
        <v>30</v>
      </c>
    </row>
    <row r="30" spans="1:6" ht="11.25" customHeight="1">
      <c r="A30" s="208"/>
      <c r="D30" s="200"/>
      <c r="E30" s="212" t="s">
        <v>298</v>
      </c>
      <c r="F30" s="200">
        <f>F25</f>
        <v>21002.75</v>
      </c>
    </row>
    <row r="31" spans="1:6" ht="11.25" customHeight="1">
      <c r="A31" s="208">
        <v>38366</v>
      </c>
      <c r="B31" s="201" t="s">
        <v>299</v>
      </c>
      <c r="C31" s="201">
        <v>2</v>
      </c>
      <c r="D31" s="209">
        <v>677</v>
      </c>
      <c r="E31" s="202"/>
      <c r="F31" s="200">
        <f t="shared" ref="F31:F67" si="1">F30+D31+E31</f>
        <v>21679.75</v>
      </c>
    </row>
    <row r="32" spans="1:6" ht="11.25" customHeight="1">
      <c r="A32" s="208">
        <v>38369</v>
      </c>
      <c r="B32" s="201" t="s">
        <v>291</v>
      </c>
      <c r="C32" s="201">
        <v>3</v>
      </c>
      <c r="D32" s="209">
        <v>2466.3200000000002</v>
      </c>
      <c r="E32" s="202"/>
      <c r="F32" s="200">
        <f t="shared" si="1"/>
        <v>24146.07</v>
      </c>
    </row>
    <row r="33" spans="1:6" ht="11.25" customHeight="1">
      <c r="A33" s="208">
        <v>38378</v>
      </c>
      <c r="B33" s="199" t="s">
        <v>300</v>
      </c>
      <c r="D33" s="200">
        <v>200</v>
      </c>
      <c r="E33" s="202"/>
      <c r="F33" s="200">
        <f t="shared" si="1"/>
        <v>24346.07</v>
      </c>
    </row>
    <row r="34" spans="1:6" ht="11.25" customHeight="1">
      <c r="A34" s="208"/>
      <c r="B34" s="199" t="s">
        <v>287</v>
      </c>
      <c r="D34" s="200">
        <v>140</v>
      </c>
      <c r="E34" s="202"/>
      <c r="F34" s="200">
        <f t="shared" si="1"/>
        <v>24486.07</v>
      </c>
    </row>
    <row r="35" spans="1:6" ht="11.25" customHeight="1">
      <c r="A35" s="208"/>
      <c r="B35" s="199" t="s">
        <v>301</v>
      </c>
      <c r="D35" s="200">
        <v>1000</v>
      </c>
      <c r="E35" s="202"/>
      <c r="F35" s="200">
        <f t="shared" si="1"/>
        <v>25486.07</v>
      </c>
    </row>
    <row r="36" spans="1:6" ht="11.25" customHeight="1">
      <c r="A36" s="208">
        <v>38383</v>
      </c>
      <c r="B36" s="201" t="s">
        <v>302</v>
      </c>
      <c r="C36" s="201"/>
      <c r="D36" s="209">
        <v>760</v>
      </c>
      <c r="E36" s="202"/>
      <c r="F36" s="200">
        <f t="shared" si="1"/>
        <v>26246.07</v>
      </c>
    </row>
    <row r="37" spans="1:6" ht="11.25" customHeight="1">
      <c r="A37" s="208">
        <v>38411</v>
      </c>
      <c r="B37" s="201" t="s">
        <v>303</v>
      </c>
      <c r="C37" s="201"/>
      <c r="D37" s="209">
        <v>760</v>
      </c>
      <c r="E37" s="202"/>
      <c r="F37" s="200">
        <f t="shared" si="1"/>
        <v>27006.07</v>
      </c>
    </row>
    <row r="38" spans="1:6" ht="11.25" customHeight="1">
      <c r="A38" s="208">
        <v>38421</v>
      </c>
      <c r="B38" s="201" t="s">
        <v>304</v>
      </c>
      <c r="C38" s="201">
        <v>4</v>
      </c>
      <c r="D38" s="209">
        <v>2568.86</v>
      </c>
      <c r="E38" s="202"/>
      <c r="F38" s="200">
        <f t="shared" si="1"/>
        <v>29574.93</v>
      </c>
    </row>
    <row r="39" spans="1:6" ht="11.25" customHeight="1">
      <c r="A39" s="208">
        <v>38422</v>
      </c>
      <c r="B39" s="201" t="s">
        <v>305</v>
      </c>
      <c r="C39" s="201">
        <v>5</v>
      </c>
      <c r="D39" s="209">
        <v>2414.08</v>
      </c>
      <c r="E39" s="202"/>
      <c r="F39" s="200">
        <f t="shared" si="1"/>
        <v>31989.010000000002</v>
      </c>
    </row>
    <row r="40" spans="1:6" ht="11.25" customHeight="1">
      <c r="A40" s="208">
        <v>38422</v>
      </c>
      <c r="B40" s="201" t="s">
        <v>306</v>
      </c>
      <c r="C40" s="201">
        <v>6</v>
      </c>
      <c r="D40" s="209">
        <v>2279.2399999999998</v>
      </c>
      <c r="E40" s="202"/>
      <c r="F40" s="200">
        <f t="shared" si="1"/>
        <v>34268.25</v>
      </c>
    </row>
    <row r="41" spans="1:6" ht="11.25" customHeight="1">
      <c r="A41" s="208">
        <v>38442</v>
      </c>
      <c r="B41" s="201" t="s">
        <v>307</v>
      </c>
      <c r="C41" s="201"/>
      <c r="D41" s="209">
        <v>742</v>
      </c>
      <c r="E41" s="202"/>
      <c r="F41" s="200">
        <f t="shared" si="1"/>
        <v>35010.25</v>
      </c>
    </row>
    <row r="42" spans="1:6" ht="11.25" customHeight="1">
      <c r="A42" s="208"/>
      <c r="B42" s="199" t="s">
        <v>287</v>
      </c>
      <c r="D42" s="200">
        <v>65</v>
      </c>
      <c r="E42" s="202"/>
      <c r="F42" s="200">
        <f t="shared" si="1"/>
        <v>35075.25</v>
      </c>
    </row>
    <row r="43" spans="1:6" ht="11.25" customHeight="1">
      <c r="A43" s="208"/>
      <c r="B43" s="199" t="s">
        <v>308</v>
      </c>
      <c r="D43" s="200">
        <v>5</v>
      </c>
      <c r="E43" s="202"/>
      <c r="F43" s="200">
        <f t="shared" si="1"/>
        <v>35080.25</v>
      </c>
    </row>
    <row r="44" spans="1:6" ht="11.25" customHeight="1">
      <c r="A44" s="208">
        <v>38472</v>
      </c>
      <c r="B44" s="201" t="s">
        <v>309</v>
      </c>
      <c r="C44" s="201"/>
      <c r="D44" s="209">
        <v>742</v>
      </c>
      <c r="E44" s="202"/>
      <c r="F44" s="200">
        <f t="shared" si="1"/>
        <v>35822.25</v>
      </c>
    </row>
    <row r="45" spans="1:6" ht="11.25" customHeight="1">
      <c r="A45" s="208"/>
      <c r="B45" s="199" t="s">
        <v>310</v>
      </c>
      <c r="D45" s="200">
        <v>10</v>
      </c>
      <c r="E45" s="202"/>
      <c r="F45" s="200">
        <f t="shared" si="1"/>
        <v>35832.25</v>
      </c>
    </row>
    <row r="46" spans="1:6" ht="11.25" customHeight="1">
      <c r="A46" s="208"/>
      <c r="B46" s="199" t="s">
        <v>311</v>
      </c>
      <c r="D46" s="200">
        <v>3</v>
      </c>
      <c r="E46" s="202"/>
      <c r="F46" s="200">
        <f t="shared" si="1"/>
        <v>35835.25</v>
      </c>
    </row>
    <row r="47" spans="1:6" ht="11.25" customHeight="1">
      <c r="A47" s="208">
        <v>38503</v>
      </c>
      <c r="B47" s="201" t="s">
        <v>312</v>
      </c>
      <c r="C47" s="201"/>
      <c r="D47" s="209">
        <v>750</v>
      </c>
      <c r="E47" s="202"/>
      <c r="F47" s="200">
        <f t="shared" si="1"/>
        <v>36585.25</v>
      </c>
    </row>
    <row r="48" spans="1:6" ht="11.25" customHeight="1">
      <c r="A48" s="208">
        <v>38506</v>
      </c>
      <c r="B48" s="201" t="s">
        <v>313</v>
      </c>
      <c r="C48" s="201">
        <v>7</v>
      </c>
      <c r="D48" s="209">
        <v>2547.8000000000002</v>
      </c>
      <c r="E48" s="202"/>
      <c r="F48" s="200">
        <f t="shared" si="1"/>
        <v>39133.050000000003</v>
      </c>
    </row>
    <row r="49" spans="1:6" ht="11.25" customHeight="1">
      <c r="A49" s="208">
        <v>38506</v>
      </c>
      <c r="B49" s="201" t="s">
        <v>314</v>
      </c>
      <c r="C49" s="201">
        <v>8</v>
      </c>
      <c r="D49" s="209">
        <v>2392.65</v>
      </c>
      <c r="E49" s="202"/>
      <c r="F49" s="200">
        <f t="shared" si="1"/>
        <v>41525.700000000004</v>
      </c>
    </row>
    <row r="50" spans="1:6" ht="11.25" customHeight="1">
      <c r="A50" s="208"/>
      <c r="B50" s="199" t="s">
        <v>315</v>
      </c>
      <c r="D50" s="200">
        <v>116</v>
      </c>
      <c r="E50" s="202"/>
      <c r="F50" s="200">
        <f t="shared" si="1"/>
        <v>41641.700000000004</v>
      </c>
    </row>
    <row r="51" spans="1:6" ht="11.25" customHeight="1">
      <c r="A51" s="208">
        <v>38582</v>
      </c>
      <c r="B51" s="201" t="s">
        <v>316</v>
      </c>
      <c r="C51" s="201">
        <v>10</v>
      </c>
      <c r="D51" s="209">
        <v>7455.35</v>
      </c>
      <c r="E51" s="202"/>
      <c r="F51" s="200">
        <f t="shared" si="1"/>
        <v>49097.05</v>
      </c>
    </row>
    <row r="52" spans="1:6" ht="11.25" customHeight="1">
      <c r="A52" s="208">
        <v>38582</v>
      </c>
      <c r="B52" s="201" t="s">
        <v>316</v>
      </c>
      <c r="C52" s="201">
        <v>11</v>
      </c>
      <c r="D52" s="209">
        <v>80.73</v>
      </c>
      <c r="E52" s="202"/>
      <c r="F52" s="200">
        <f t="shared" si="1"/>
        <v>49177.780000000006</v>
      </c>
    </row>
    <row r="53" spans="1:6" ht="11.25" customHeight="1">
      <c r="A53" s="213">
        <v>38582</v>
      </c>
      <c r="B53" s="214" t="s">
        <v>317</v>
      </c>
      <c r="C53" s="214">
        <v>9</v>
      </c>
      <c r="D53" s="215">
        <v>10861.5</v>
      </c>
      <c r="E53" s="202"/>
      <c r="F53" s="200">
        <f t="shared" si="1"/>
        <v>60039.280000000006</v>
      </c>
    </row>
    <row r="54" spans="1:6" ht="11.25" customHeight="1">
      <c r="A54" s="208">
        <v>38477</v>
      </c>
      <c r="B54" s="199" t="s">
        <v>318</v>
      </c>
      <c r="C54" s="199">
        <v>12</v>
      </c>
      <c r="D54" s="200">
        <v>1500</v>
      </c>
      <c r="E54" s="202"/>
      <c r="F54" s="200">
        <f t="shared" si="1"/>
        <v>61539.280000000006</v>
      </c>
    </row>
    <row r="55" spans="1:6" ht="11.25" customHeight="1">
      <c r="A55" s="208">
        <v>38603</v>
      </c>
      <c r="B55" s="201" t="s">
        <v>319</v>
      </c>
      <c r="C55" s="201">
        <v>13</v>
      </c>
      <c r="D55" s="209">
        <v>2494.27</v>
      </c>
      <c r="E55" s="202"/>
      <c r="F55" s="200">
        <f t="shared" si="1"/>
        <v>64033.55</v>
      </c>
    </row>
    <row r="56" spans="1:6" ht="11.25" customHeight="1">
      <c r="A56" s="208">
        <v>38603</v>
      </c>
      <c r="B56" s="201" t="s">
        <v>320</v>
      </c>
      <c r="C56" s="201">
        <v>14</v>
      </c>
      <c r="D56" s="209">
        <v>2379.15</v>
      </c>
      <c r="E56" s="202"/>
      <c r="F56" s="200">
        <f t="shared" si="1"/>
        <v>66412.7</v>
      </c>
    </row>
    <row r="57" spans="1:6" ht="11.25" customHeight="1">
      <c r="A57" s="208">
        <v>38603</v>
      </c>
      <c r="B57" s="201" t="s">
        <v>321</v>
      </c>
      <c r="C57" s="201">
        <v>15</v>
      </c>
      <c r="D57" s="209">
        <v>2623.01</v>
      </c>
      <c r="E57" s="202"/>
      <c r="F57" s="200">
        <f t="shared" si="1"/>
        <v>69035.709999999992</v>
      </c>
    </row>
    <row r="58" spans="1:6" ht="11.25" customHeight="1">
      <c r="A58" s="208"/>
      <c r="B58" s="199" t="s">
        <v>322</v>
      </c>
      <c r="D58" s="200">
        <v>3900</v>
      </c>
      <c r="E58" s="202"/>
      <c r="F58" s="200">
        <f t="shared" si="1"/>
        <v>72935.709999999992</v>
      </c>
    </row>
    <row r="59" spans="1:6" ht="11.25" customHeight="1">
      <c r="A59" s="208"/>
      <c r="B59" s="199" t="s">
        <v>323</v>
      </c>
      <c r="D59" s="200">
        <v>3540</v>
      </c>
      <c r="E59" s="202"/>
      <c r="F59" s="200">
        <f t="shared" si="1"/>
        <v>76475.709999999992</v>
      </c>
    </row>
    <row r="60" spans="1:6" ht="11.25" customHeight="1">
      <c r="A60" s="208"/>
      <c r="B60" s="199" t="s">
        <v>324</v>
      </c>
      <c r="D60" s="200"/>
      <c r="E60" s="202">
        <v>-7040</v>
      </c>
      <c r="F60" s="200">
        <f t="shared" si="1"/>
        <v>69435.709999999992</v>
      </c>
    </row>
    <row r="61" spans="1:6" ht="11.25" customHeight="1">
      <c r="A61" s="208">
        <v>38643</v>
      </c>
      <c r="B61" s="201" t="s">
        <v>325</v>
      </c>
      <c r="C61" s="201">
        <v>16</v>
      </c>
      <c r="D61" s="209">
        <v>2421.46</v>
      </c>
      <c r="E61" s="202"/>
      <c r="F61" s="200">
        <f t="shared" si="1"/>
        <v>71857.17</v>
      </c>
    </row>
    <row r="62" spans="1:6" ht="11.25" customHeight="1">
      <c r="A62" s="208">
        <v>38643</v>
      </c>
      <c r="B62" s="201" t="s">
        <v>326</v>
      </c>
      <c r="C62" s="201">
        <v>17</v>
      </c>
      <c r="D62" s="209">
        <v>2309.5</v>
      </c>
      <c r="E62" s="202"/>
      <c r="F62" s="200">
        <f t="shared" si="1"/>
        <v>74166.67</v>
      </c>
    </row>
    <row r="63" spans="1:6" ht="11.25" customHeight="1">
      <c r="A63" s="208">
        <v>38643</v>
      </c>
      <c r="B63" s="199" t="s">
        <v>327</v>
      </c>
      <c r="C63" s="199">
        <v>18</v>
      </c>
      <c r="D63" s="200">
        <v>10165</v>
      </c>
      <c r="E63" s="202"/>
      <c r="F63" s="200">
        <f t="shared" si="1"/>
        <v>84331.67</v>
      </c>
    </row>
    <row r="64" spans="1:6" ht="11.25" customHeight="1">
      <c r="A64" s="208"/>
      <c r="B64" s="201" t="s">
        <v>328</v>
      </c>
      <c r="C64" s="201"/>
      <c r="D64" s="209">
        <v>500</v>
      </c>
      <c r="E64" s="202"/>
      <c r="F64" s="200">
        <f t="shared" si="1"/>
        <v>84831.67</v>
      </c>
    </row>
    <row r="65" spans="1:6" ht="11.25" customHeight="1">
      <c r="A65" s="208"/>
      <c r="B65" s="199" t="s">
        <v>329</v>
      </c>
      <c r="D65" s="200">
        <v>30</v>
      </c>
      <c r="E65" s="202"/>
      <c r="F65" s="200">
        <f t="shared" si="1"/>
        <v>84861.67</v>
      </c>
    </row>
    <row r="66" spans="1:6" ht="11.25" customHeight="1">
      <c r="A66" s="208"/>
      <c r="B66" s="201" t="s">
        <v>328</v>
      </c>
      <c r="C66" s="201"/>
      <c r="D66" s="209">
        <v>105</v>
      </c>
      <c r="E66" s="202"/>
      <c r="F66" s="200">
        <f t="shared" si="1"/>
        <v>84966.67</v>
      </c>
    </row>
    <row r="67" spans="1:6" ht="11.25" customHeight="1">
      <c r="A67" s="208"/>
      <c r="B67" s="199" t="s">
        <v>330</v>
      </c>
      <c r="D67" s="200">
        <v>1000</v>
      </c>
      <c r="E67" s="202"/>
      <c r="F67" s="200">
        <f t="shared" si="1"/>
        <v>85966.67</v>
      </c>
    </row>
    <row r="68" spans="1:6" ht="11.25" customHeight="1">
      <c r="A68" s="208"/>
      <c r="C68" s="210" t="s">
        <v>331</v>
      </c>
      <c r="D68" s="207">
        <f>SUM(D31:D67)</f>
        <v>72003.92</v>
      </c>
      <c r="E68" s="211">
        <f>SUM(E31:E67)</f>
        <v>-7040</v>
      </c>
      <c r="F68" s="200"/>
    </row>
    <row r="69" spans="1:6" ht="11.25" customHeight="1">
      <c r="A69" s="208"/>
      <c r="D69" s="200"/>
      <c r="E69" s="202"/>
      <c r="F69" s="200"/>
    </row>
    <row r="70" spans="1:6" ht="11.25" customHeight="1">
      <c r="A70" s="208"/>
      <c r="D70" s="200"/>
      <c r="E70" s="202"/>
      <c r="F70" s="200"/>
    </row>
    <row r="71" spans="1:6" ht="11.25" customHeight="1">
      <c r="A71" s="208"/>
      <c r="D71" s="200"/>
      <c r="E71" s="202"/>
      <c r="F71" s="200"/>
    </row>
    <row r="72" spans="1:6" ht="11.25" customHeight="1">
      <c r="A72" s="203">
        <v>2006</v>
      </c>
      <c r="B72" s="204"/>
      <c r="C72" s="203" t="s">
        <v>276</v>
      </c>
      <c r="D72" s="205" t="s">
        <v>277</v>
      </c>
      <c r="E72" s="206" t="s">
        <v>278</v>
      </c>
      <c r="F72" s="205" t="s">
        <v>30</v>
      </c>
    </row>
    <row r="73" spans="1:6" ht="11.25" customHeight="1">
      <c r="A73" s="208"/>
      <c r="D73" s="200"/>
      <c r="E73" s="212" t="s">
        <v>332</v>
      </c>
      <c r="F73" s="209">
        <f>F67</f>
        <v>85966.67</v>
      </c>
    </row>
    <row r="74" spans="1:6" ht="11.25" customHeight="1">
      <c r="A74" s="199">
        <v>2006</v>
      </c>
      <c r="B74" s="199" t="s">
        <v>333</v>
      </c>
      <c r="D74" s="200">
        <v>3150</v>
      </c>
      <c r="E74" s="202"/>
      <c r="F74" s="200">
        <f t="shared" ref="F74:F105" si="2">F73+D74+E74</f>
        <v>89116.67</v>
      </c>
    </row>
    <row r="75" spans="1:6" ht="11.25" customHeight="1">
      <c r="A75" s="208"/>
      <c r="B75" s="199" t="s">
        <v>334</v>
      </c>
      <c r="D75" s="200">
        <v>200</v>
      </c>
      <c r="E75" s="202"/>
      <c r="F75" s="200">
        <f t="shared" si="2"/>
        <v>89316.67</v>
      </c>
    </row>
    <row r="76" spans="1:6" ht="11.25" customHeight="1">
      <c r="A76" s="208"/>
      <c r="B76" s="199" t="s">
        <v>335</v>
      </c>
      <c r="D76" s="200">
        <v>49</v>
      </c>
      <c r="E76" s="202"/>
      <c r="F76" s="200">
        <f t="shared" si="2"/>
        <v>89365.67</v>
      </c>
    </row>
    <row r="77" spans="1:6" ht="11.25" customHeight="1">
      <c r="A77" s="208"/>
      <c r="B77" s="199" t="s">
        <v>336</v>
      </c>
      <c r="D77" s="200">
        <v>115</v>
      </c>
      <c r="E77" s="202"/>
      <c r="F77" s="200">
        <f t="shared" si="2"/>
        <v>89480.67</v>
      </c>
    </row>
    <row r="78" spans="1:6" ht="11.25" customHeight="1">
      <c r="A78" s="208">
        <v>38762</v>
      </c>
      <c r="B78" s="201" t="s">
        <v>337</v>
      </c>
      <c r="C78" s="201">
        <v>19</v>
      </c>
      <c r="D78" s="209">
        <v>2755</v>
      </c>
      <c r="E78" s="202"/>
      <c r="F78" s="200">
        <f t="shared" si="2"/>
        <v>92235.67</v>
      </c>
    </row>
    <row r="79" spans="1:6" ht="11.25" customHeight="1">
      <c r="A79" s="208">
        <v>38762</v>
      </c>
      <c r="B79" s="201" t="s">
        <v>338</v>
      </c>
      <c r="C79" s="201">
        <v>20</v>
      </c>
      <c r="D79" s="209">
        <v>2399.2399999999998</v>
      </c>
      <c r="E79" s="202"/>
      <c r="F79" s="200">
        <f t="shared" si="2"/>
        <v>94634.91</v>
      </c>
    </row>
    <row r="80" spans="1:6" ht="11.25" customHeight="1">
      <c r="A80" s="208">
        <v>38762</v>
      </c>
      <c r="B80" s="201" t="s">
        <v>339</v>
      </c>
      <c r="C80" s="201">
        <v>21</v>
      </c>
      <c r="D80" s="209">
        <v>2298.65</v>
      </c>
      <c r="E80" s="202"/>
      <c r="F80" s="200">
        <f t="shared" si="2"/>
        <v>96933.56</v>
      </c>
    </row>
    <row r="81" spans="1:6" ht="11.25" customHeight="1">
      <c r="A81" s="208">
        <v>38762</v>
      </c>
      <c r="B81" s="201" t="s">
        <v>340</v>
      </c>
      <c r="C81" s="201">
        <v>22</v>
      </c>
      <c r="D81" s="209">
        <v>2489.14</v>
      </c>
      <c r="E81" s="202"/>
      <c r="F81" s="200">
        <f t="shared" si="2"/>
        <v>99422.7</v>
      </c>
    </row>
    <row r="82" spans="1:6" ht="11.25" customHeight="1">
      <c r="A82" s="208">
        <v>38762</v>
      </c>
      <c r="B82" s="201" t="s">
        <v>341</v>
      </c>
      <c r="C82" s="201">
        <v>23</v>
      </c>
      <c r="D82" s="209">
        <v>2580.3000000000002</v>
      </c>
      <c r="E82" s="202"/>
      <c r="F82" s="200">
        <f t="shared" si="2"/>
        <v>102003</v>
      </c>
    </row>
    <row r="83" spans="1:6" ht="11.25" customHeight="1">
      <c r="A83" s="208">
        <v>38762</v>
      </c>
      <c r="B83" s="201" t="s">
        <v>342</v>
      </c>
      <c r="C83" s="201">
        <v>24</v>
      </c>
      <c r="D83" s="209">
        <v>30724.12</v>
      </c>
      <c r="E83" s="202"/>
      <c r="F83" s="200">
        <f t="shared" si="2"/>
        <v>132727.12</v>
      </c>
    </row>
    <row r="84" spans="1:6" ht="11.25" customHeight="1">
      <c r="A84" s="208"/>
      <c r="B84" s="199" t="s">
        <v>343</v>
      </c>
      <c r="D84" s="200"/>
      <c r="E84" s="202">
        <v>-250</v>
      </c>
      <c r="F84" s="200">
        <f t="shared" si="2"/>
        <v>132477.12</v>
      </c>
    </row>
    <row r="85" spans="1:6" ht="11.25" customHeight="1">
      <c r="A85" s="208"/>
      <c r="B85" s="199" t="s">
        <v>344</v>
      </c>
      <c r="D85" s="200"/>
      <c r="E85" s="202">
        <v>-30</v>
      </c>
      <c r="F85" s="200">
        <f t="shared" si="2"/>
        <v>132447.12</v>
      </c>
    </row>
    <row r="86" spans="1:6" ht="11.25" customHeight="1">
      <c r="A86" s="208"/>
      <c r="B86" s="199" t="s">
        <v>345</v>
      </c>
      <c r="D86" s="200"/>
      <c r="E86" s="202">
        <v>-603</v>
      </c>
      <c r="F86" s="200">
        <f t="shared" si="2"/>
        <v>131844.12</v>
      </c>
    </row>
    <row r="87" spans="1:6" ht="11.25" customHeight="1">
      <c r="A87" s="208"/>
      <c r="B87" s="199" t="s">
        <v>346</v>
      </c>
      <c r="D87" s="200">
        <v>208</v>
      </c>
      <c r="E87" s="202"/>
      <c r="F87" s="200">
        <f t="shared" si="2"/>
        <v>132052.12</v>
      </c>
    </row>
    <row r="88" spans="1:6" ht="11.25" customHeight="1">
      <c r="A88" s="208"/>
      <c r="B88" s="199" t="s">
        <v>287</v>
      </c>
      <c r="D88" s="200">
        <v>216</v>
      </c>
      <c r="E88" s="202"/>
      <c r="F88" s="200">
        <f t="shared" si="2"/>
        <v>132268.12</v>
      </c>
    </row>
    <row r="89" spans="1:6" ht="11.25" customHeight="1">
      <c r="A89" s="208"/>
      <c r="B89" s="199" t="s">
        <v>280</v>
      </c>
      <c r="D89" s="200">
        <v>164</v>
      </c>
      <c r="E89" s="202"/>
      <c r="F89" s="200">
        <f t="shared" si="2"/>
        <v>132432.12</v>
      </c>
    </row>
    <row r="90" spans="1:6" ht="11.25" customHeight="1">
      <c r="A90" s="208"/>
      <c r="B90" s="199" t="s">
        <v>347</v>
      </c>
      <c r="D90" s="200">
        <v>40</v>
      </c>
      <c r="E90" s="202"/>
      <c r="F90" s="200">
        <f t="shared" si="2"/>
        <v>132472.12</v>
      </c>
    </row>
    <row r="91" spans="1:6" ht="11.25" customHeight="1">
      <c r="A91" s="208"/>
      <c r="B91" s="199" t="s">
        <v>287</v>
      </c>
      <c r="D91" s="200">
        <v>108</v>
      </c>
      <c r="E91" s="202"/>
      <c r="F91" s="200">
        <f t="shared" si="2"/>
        <v>132580.12</v>
      </c>
    </row>
    <row r="92" spans="1:6" ht="11.25" customHeight="1">
      <c r="A92" s="208"/>
      <c r="B92" s="199" t="s">
        <v>324</v>
      </c>
      <c r="D92" s="200"/>
      <c r="E92" s="202">
        <v>-8908</v>
      </c>
      <c r="F92" s="200">
        <f t="shared" si="2"/>
        <v>123672.12</v>
      </c>
    </row>
    <row r="93" spans="1:6" ht="11.25" customHeight="1">
      <c r="A93" s="208"/>
      <c r="B93" s="201" t="s">
        <v>348</v>
      </c>
      <c r="C93" s="201"/>
      <c r="D93" s="209">
        <v>28</v>
      </c>
      <c r="E93" s="202"/>
      <c r="F93" s="200">
        <f t="shared" si="2"/>
        <v>123700.12</v>
      </c>
    </row>
    <row r="94" spans="1:6" ht="11.25" customHeight="1">
      <c r="A94" s="208"/>
      <c r="B94" s="199" t="s">
        <v>349</v>
      </c>
      <c r="D94" s="200">
        <v>5000</v>
      </c>
      <c r="E94" s="202"/>
      <c r="F94" s="200">
        <f t="shared" si="2"/>
        <v>128700.12</v>
      </c>
    </row>
    <row r="95" spans="1:6" ht="11.25" customHeight="1">
      <c r="A95" s="208"/>
      <c r="B95" s="199" t="s">
        <v>350</v>
      </c>
      <c r="D95" s="200">
        <v>500</v>
      </c>
      <c r="E95" s="202"/>
      <c r="F95" s="200">
        <f t="shared" si="2"/>
        <v>129200.12</v>
      </c>
    </row>
    <row r="96" spans="1:6" ht="11.25" customHeight="1">
      <c r="A96" s="208"/>
      <c r="B96" s="199" t="s">
        <v>351</v>
      </c>
      <c r="D96" s="200"/>
      <c r="E96" s="202">
        <v>-2500</v>
      </c>
      <c r="F96" s="200">
        <f t="shared" si="2"/>
        <v>126700.12</v>
      </c>
    </row>
    <row r="97" spans="1:6" ht="11.25" customHeight="1">
      <c r="A97" s="208"/>
      <c r="B97" s="199" t="s">
        <v>352</v>
      </c>
      <c r="D97" s="200">
        <v>2500</v>
      </c>
      <c r="E97" s="202"/>
      <c r="F97" s="200">
        <f t="shared" si="2"/>
        <v>129200.12</v>
      </c>
    </row>
    <row r="98" spans="1:6" ht="11.25" customHeight="1">
      <c r="A98" s="208"/>
      <c r="B98" s="199" t="s">
        <v>353</v>
      </c>
      <c r="D98" s="200">
        <v>60</v>
      </c>
      <c r="E98" s="202"/>
      <c r="F98" s="200">
        <f t="shared" si="2"/>
        <v>129260.12</v>
      </c>
    </row>
    <row r="99" spans="1:6" ht="11.25" customHeight="1">
      <c r="A99" s="208"/>
      <c r="B99" s="199" t="s">
        <v>353</v>
      </c>
      <c r="D99" s="200">
        <v>72</v>
      </c>
      <c r="E99" s="202"/>
      <c r="F99" s="200">
        <f t="shared" si="2"/>
        <v>129332.12</v>
      </c>
    </row>
    <row r="100" spans="1:6" ht="11.25" customHeight="1">
      <c r="A100" s="208"/>
      <c r="B100" s="199" t="s">
        <v>354</v>
      </c>
      <c r="D100" s="200">
        <v>7708</v>
      </c>
      <c r="E100" s="202"/>
      <c r="F100" s="200">
        <f t="shared" si="2"/>
        <v>137040.12</v>
      </c>
    </row>
    <row r="101" spans="1:6" ht="11.25" customHeight="1">
      <c r="A101" s="208">
        <v>39007</v>
      </c>
      <c r="B101" s="201" t="s">
        <v>355</v>
      </c>
      <c r="C101" s="201"/>
      <c r="D101" s="209">
        <v>172</v>
      </c>
      <c r="E101" s="202"/>
      <c r="F101" s="200">
        <f t="shared" si="2"/>
        <v>137212.12</v>
      </c>
    </row>
    <row r="102" spans="1:6" ht="11.25" customHeight="1">
      <c r="A102" s="208">
        <v>39007</v>
      </c>
      <c r="B102" s="201" t="s">
        <v>355</v>
      </c>
      <c r="C102" s="201"/>
      <c r="D102" s="209">
        <v>210</v>
      </c>
      <c r="E102" s="202"/>
      <c r="F102" s="200">
        <f t="shared" si="2"/>
        <v>137422.12</v>
      </c>
    </row>
    <row r="103" spans="1:6" ht="11.25" customHeight="1">
      <c r="A103" s="208"/>
      <c r="B103" s="199" t="s">
        <v>356</v>
      </c>
      <c r="D103" s="200"/>
      <c r="E103" s="202">
        <v>-25</v>
      </c>
      <c r="F103" s="200">
        <f t="shared" si="2"/>
        <v>137397.12</v>
      </c>
    </row>
    <row r="104" spans="1:6" ht="11.25" customHeight="1">
      <c r="A104" s="208"/>
      <c r="B104" s="199" t="s">
        <v>356</v>
      </c>
      <c r="D104" s="200"/>
      <c r="E104" s="202">
        <v>-13</v>
      </c>
      <c r="F104" s="200">
        <f t="shared" si="2"/>
        <v>137384.12</v>
      </c>
    </row>
    <row r="105" spans="1:6" ht="11.25" customHeight="1">
      <c r="A105" s="208"/>
      <c r="B105" s="199" t="s">
        <v>357</v>
      </c>
      <c r="D105" s="200"/>
      <c r="E105" s="202">
        <v>-1000</v>
      </c>
      <c r="F105" s="200">
        <f t="shared" si="2"/>
        <v>136384.12</v>
      </c>
    </row>
    <row r="106" spans="1:6" ht="11.25" customHeight="1">
      <c r="A106" s="208">
        <v>39001</v>
      </c>
      <c r="B106" s="199" t="s">
        <v>324</v>
      </c>
      <c r="D106" s="200"/>
      <c r="E106" s="202">
        <v>-1274</v>
      </c>
      <c r="F106" s="200">
        <f t="shared" ref="F106:F137" si="3">F105+D106+E106</f>
        <v>135110.12</v>
      </c>
    </row>
    <row r="107" spans="1:6" ht="11.25" customHeight="1">
      <c r="A107" s="208"/>
      <c r="B107" s="199" t="s">
        <v>357</v>
      </c>
      <c r="D107" s="200"/>
      <c r="E107" s="202">
        <v>-1000</v>
      </c>
      <c r="F107" s="200">
        <f t="shared" si="3"/>
        <v>134110.12</v>
      </c>
    </row>
    <row r="108" spans="1:6" ht="11.25" customHeight="1">
      <c r="A108" s="208"/>
      <c r="B108" s="199" t="s">
        <v>344</v>
      </c>
      <c r="D108" s="200"/>
      <c r="E108" s="202">
        <v>-80</v>
      </c>
      <c r="F108" s="200">
        <f t="shared" si="3"/>
        <v>134030.12</v>
      </c>
    </row>
    <row r="109" spans="1:6" ht="11.25" customHeight="1">
      <c r="A109" s="208"/>
      <c r="B109" s="199" t="s">
        <v>344</v>
      </c>
      <c r="D109" s="200">
        <v>70</v>
      </c>
      <c r="E109" s="202"/>
      <c r="F109" s="200">
        <f t="shared" si="3"/>
        <v>134100.12</v>
      </c>
    </row>
    <row r="110" spans="1:6" ht="11.25" customHeight="1">
      <c r="A110" s="208"/>
      <c r="B110" s="199" t="s">
        <v>358</v>
      </c>
      <c r="D110" s="200">
        <v>60</v>
      </c>
      <c r="E110" s="202"/>
      <c r="F110" s="200">
        <f t="shared" si="3"/>
        <v>134160.12</v>
      </c>
    </row>
    <row r="111" spans="1:6" ht="11.25" customHeight="1">
      <c r="A111" s="208"/>
      <c r="B111" s="199" t="s">
        <v>359</v>
      </c>
      <c r="D111" s="200"/>
      <c r="E111" s="202">
        <v>-34</v>
      </c>
      <c r="F111" s="200">
        <f t="shared" si="3"/>
        <v>134126.12</v>
      </c>
    </row>
    <row r="112" spans="1:6" ht="11.25" customHeight="1">
      <c r="A112" s="208"/>
      <c r="B112" s="199" t="s">
        <v>359</v>
      </c>
      <c r="D112" s="200"/>
      <c r="E112" s="202">
        <v>-16</v>
      </c>
      <c r="F112" s="200">
        <f t="shared" si="3"/>
        <v>134110.12</v>
      </c>
    </row>
    <row r="113" spans="1:6" ht="11.25" customHeight="1">
      <c r="A113" s="208"/>
      <c r="B113" s="199" t="s">
        <v>356</v>
      </c>
      <c r="D113" s="200"/>
      <c r="E113" s="202">
        <v>-50</v>
      </c>
      <c r="F113" s="200">
        <f t="shared" si="3"/>
        <v>134060.12</v>
      </c>
    </row>
    <row r="114" spans="1:6" ht="11.25" customHeight="1">
      <c r="A114" s="208"/>
      <c r="B114" s="199" t="s">
        <v>360</v>
      </c>
      <c r="D114" s="200"/>
      <c r="E114" s="202">
        <v>-218</v>
      </c>
      <c r="F114" s="200">
        <f t="shared" si="3"/>
        <v>133842.12</v>
      </c>
    </row>
    <row r="115" spans="1:6" ht="11.25" customHeight="1">
      <c r="A115" s="208"/>
      <c r="B115" s="201" t="s">
        <v>361</v>
      </c>
      <c r="C115" s="201"/>
      <c r="D115" s="209">
        <v>405</v>
      </c>
      <c r="E115" s="202"/>
      <c r="F115" s="200">
        <f t="shared" si="3"/>
        <v>134247.12</v>
      </c>
    </row>
    <row r="116" spans="1:6" ht="11.25" customHeight="1">
      <c r="A116" s="208"/>
      <c r="B116" s="201" t="s">
        <v>362</v>
      </c>
      <c r="C116" s="201"/>
      <c r="D116" s="209">
        <v>900</v>
      </c>
      <c r="E116" s="202"/>
      <c r="F116" s="200">
        <f t="shared" si="3"/>
        <v>135147.12</v>
      </c>
    </row>
    <row r="117" spans="1:6" ht="11.25" customHeight="1">
      <c r="A117" s="208"/>
      <c r="B117" s="201" t="s">
        <v>363</v>
      </c>
      <c r="C117" s="201"/>
      <c r="D117" s="209">
        <v>1050</v>
      </c>
      <c r="E117" s="202"/>
      <c r="F117" s="200">
        <f t="shared" si="3"/>
        <v>136197.12</v>
      </c>
    </row>
    <row r="118" spans="1:6" ht="11.25" customHeight="1">
      <c r="A118" s="208"/>
      <c r="B118" s="201" t="s">
        <v>364</v>
      </c>
      <c r="C118" s="201"/>
      <c r="D118" s="209">
        <v>1200</v>
      </c>
      <c r="E118" s="202"/>
      <c r="F118" s="200">
        <f t="shared" si="3"/>
        <v>137397.12</v>
      </c>
    </row>
    <row r="119" spans="1:6" ht="11.25" customHeight="1">
      <c r="A119" s="208"/>
      <c r="B119" s="201" t="s">
        <v>365</v>
      </c>
      <c r="C119" s="201"/>
      <c r="D119" s="209">
        <v>3365</v>
      </c>
      <c r="E119" s="202"/>
      <c r="F119" s="200">
        <f t="shared" si="3"/>
        <v>140762.12</v>
      </c>
    </row>
    <row r="120" spans="1:6" ht="11.25" customHeight="1">
      <c r="A120" s="208"/>
      <c r="B120" s="201" t="s">
        <v>366</v>
      </c>
      <c r="C120" s="201"/>
      <c r="D120" s="209">
        <v>3000</v>
      </c>
      <c r="E120" s="202"/>
      <c r="F120" s="200">
        <f t="shared" si="3"/>
        <v>143762.12</v>
      </c>
    </row>
    <row r="121" spans="1:6" ht="11.25" customHeight="1">
      <c r="A121" s="208"/>
      <c r="B121" s="199" t="s">
        <v>359</v>
      </c>
      <c r="D121" s="200"/>
      <c r="E121" s="202">
        <v>-204</v>
      </c>
      <c r="F121" s="200">
        <f t="shared" si="3"/>
        <v>143558.12</v>
      </c>
    </row>
    <row r="122" spans="1:6" ht="11.25" customHeight="1">
      <c r="A122" s="208"/>
      <c r="B122" s="199" t="s">
        <v>367</v>
      </c>
      <c r="D122" s="200"/>
      <c r="E122" s="202">
        <v>-25</v>
      </c>
      <c r="F122" s="200">
        <f t="shared" si="3"/>
        <v>143533.12</v>
      </c>
    </row>
    <row r="123" spans="1:6" ht="11.25" customHeight="1">
      <c r="A123" s="208"/>
      <c r="C123" s="210" t="s">
        <v>368</v>
      </c>
      <c r="D123" s="207">
        <f>SUM(D74:D122)</f>
        <v>73796.45</v>
      </c>
      <c r="E123" s="211">
        <f>SUM(E74:E122)</f>
        <v>-16230</v>
      </c>
      <c r="F123" s="200"/>
    </row>
    <row r="124" spans="1:6" ht="11.25" customHeight="1">
      <c r="A124" s="208"/>
      <c r="C124" s="201"/>
      <c r="D124" s="207"/>
      <c r="E124" s="211"/>
      <c r="F124" s="200"/>
    </row>
    <row r="125" spans="1:6" ht="11.25" customHeight="1">
      <c r="A125" s="216">
        <v>2007</v>
      </c>
      <c r="B125" s="204"/>
      <c r="C125" s="203" t="s">
        <v>276</v>
      </c>
      <c r="D125" s="205" t="s">
        <v>277</v>
      </c>
      <c r="E125" s="206" t="s">
        <v>278</v>
      </c>
      <c r="F125" s="205" t="s">
        <v>30</v>
      </c>
    </row>
    <row r="126" spans="1:6" ht="11.25" customHeight="1">
      <c r="A126" s="208"/>
      <c r="D126" s="200"/>
      <c r="E126" s="202"/>
      <c r="F126" s="200">
        <f>F122</f>
        <v>143533.12</v>
      </c>
    </row>
    <row r="127" spans="1:6" ht="11.25" customHeight="1">
      <c r="A127" s="208">
        <v>39092</v>
      </c>
      <c r="B127" s="199" t="s">
        <v>168</v>
      </c>
      <c r="D127" s="200"/>
      <c r="E127" s="202">
        <v>-500</v>
      </c>
      <c r="F127" s="200">
        <f t="shared" ref="F127:F133" si="4">F126+D127+E127</f>
        <v>143033.12</v>
      </c>
    </row>
    <row r="128" spans="1:6" ht="11.25" customHeight="1">
      <c r="A128" s="208"/>
      <c r="B128" s="199" t="s">
        <v>369</v>
      </c>
      <c r="D128" s="200">
        <v>60</v>
      </c>
      <c r="E128" s="202"/>
      <c r="F128" s="200">
        <f t="shared" si="4"/>
        <v>143093.12</v>
      </c>
    </row>
    <row r="129" spans="1:6" ht="11.25" customHeight="1">
      <c r="A129" s="208"/>
      <c r="B129" s="199" t="s">
        <v>370</v>
      </c>
      <c r="D129" s="200">
        <v>68</v>
      </c>
      <c r="E129" s="202"/>
      <c r="F129" s="200">
        <f t="shared" si="4"/>
        <v>143161.12</v>
      </c>
    </row>
    <row r="130" spans="1:6" ht="11.25" customHeight="1">
      <c r="A130" s="208"/>
      <c r="B130" s="199" t="s">
        <v>371</v>
      </c>
      <c r="D130" s="200">
        <v>8</v>
      </c>
      <c r="E130" s="202"/>
      <c r="F130" s="200">
        <f t="shared" si="4"/>
        <v>143169.12</v>
      </c>
    </row>
    <row r="131" spans="1:6" ht="11.25" customHeight="1">
      <c r="A131" s="208"/>
      <c r="B131" s="199" t="s">
        <v>372</v>
      </c>
      <c r="D131" s="200"/>
      <c r="E131" s="202">
        <v>-20</v>
      </c>
      <c r="F131" s="200">
        <f t="shared" si="4"/>
        <v>143149.12</v>
      </c>
    </row>
    <row r="132" spans="1:6" ht="11.25" customHeight="1">
      <c r="A132" s="208"/>
      <c r="B132" s="199" t="s">
        <v>329</v>
      </c>
      <c r="D132" s="200">
        <v>8</v>
      </c>
      <c r="E132" s="202"/>
      <c r="F132" s="200">
        <f t="shared" si="4"/>
        <v>143157.12</v>
      </c>
    </row>
    <row r="133" spans="1:6" ht="11.25" customHeight="1">
      <c r="A133" s="208"/>
      <c r="B133" s="199" t="s">
        <v>373</v>
      </c>
      <c r="D133" s="200">
        <v>251</v>
      </c>
      <c r="E133" s="202"/>
      <c r="F133" s="209">
        <f t="shared" si="4"/>
        <v>143408.12</v>
      </c>
    </row>
    <row r="134" spans="1:6" ht="11.25" customHeight="1">
      <c r="A134" s="208"/>
      <c r="C134" s="210" t="s">
        <v>374</v>
      </c>
      <c r="D134" s="207">
        <f>SUM(D127:D133)</f>
        <v>395</v>
      </c>
      <c r="E134" s="211">
        <f>SUM(E127:E133)</f>
        <v>-520</v>
      </c>
      <c r="F134" s="200"/>
    </row>
    <row r="135" spans="1:6" ht="11.25" customHeight="1">
      <c r="A135" s="208"/>
      <c r="C135" s="210"/>
      <c r="D135" s="207"/>
      <c r="E135" s="211"/>
      <c r="F135" s="200"/>
    </row>
    <row r="136" spans="1:6" ht="11.25" customHeight="1">
      <c r="A136" s="208"/>
      <c r="C136" s="210"/>
      <c r="D136" s="207"/>
      <c r="E136" s="211"/>
      <c r="F136" s="200"/>
    </row>
    <row r="137" spans="1:6" ht="11.25" customHeight="1">
      <c r="A137" s="208"/>
      <c r="C137" s="210"/>
      <c r="D137" s="207"/>
      <c r="E137" s="211"/>
      <c r="F137" s="200"/>
    </row>
    <row r="138" spans="1:6" ht="11.25" customHeight="1">
      <c r="A138" s="208"/>
      <c r="D138" s="200"/>
      <c r="E138" s="202"/>
      <c r="F138" s="200"/>
    </row>
    <row r="139" spans="1:6" ht="11.25" customHeight="1">
      <c r="A139" s="208"/>
      <c r="D139" s="200"/>
      <c r="E139" s="202"/>
      <c r="F139" s="200"/>
    </row>
    <row r="140" spans="1:6" ht="11.25" customHeight="1">
      <c r="A140" s="208"/>
      <c r="D140" s="200"/>
      <c r="E140" s="202"/>
      <c r="F140" s="200"/>
    </row>
    <row r="141" spans="1:6" ht="11.25" customHeight="1">
      <c r="A141" s="217" t="s">
        <v>375</v>
      </c>
      <c r="B141" s="204"/>
      <c r="C141" s="203" t="s">
        <v>276</v>
      </c>
      <c r="D141" s="205" t="s">
        <v>277</v>
      </c>
      <c r="E141" s="206" t="s">
        <v>278</v>
      </c>
      <c r="F141" s="205" t="s">
        <v>30</v>
      </c>
    </row>
    <row r="142" spans="1:6" ht="11.25" customHeight="1">
      <c r="A142" s="208"/>
      <c r="D142" s="200"/>
      <c r="E142" s="212" t="s">
        <v>376</v>
      </c>
      <c r="F142" s="209">
        <f>F133</f>
        <v>143408.12</v>
      </c>
    </row>
    <row r="143" spans="1:6" ht="11.25" customHeight="1">
      <c r="A143" s="199">
        <v>2008</v>
      </c>
      <c r="B143" s="199" t="s">
        <v>377</v>
      </c>
      <c r="D143" s="200"/>
      <c r="E143" s="202">
        <v>-20</v>
      </c>
      <c r="F143" s="200">
        <f t="shared" ref="F143:F152" si="5">F142+D143+E143</f>
        <v>143388.12</v>
      </c>
    </row>
    <row r="144" spans="1:6" ht="11.25" customHeight="1">
      <c r="A144" s="208"/>
      <c r="B144" s="199" t="s">
        <v>378</v>
      </c>
      <c r="D144" s="200"/>
      <c r="E144" s="202">
        <v>-180</v>
      </c>
      <c r="F144" s="200">
        <f t="shared" si="5"/>
        <v>143208.12</v>
      </c>
    </row>
    <row r="145" spans="1:6" ht="11.25" customHeight="1">
      <c r="A145" s="208"/>
      <c r="B145" s="199" t="s">
        <v>379</v>
      </c>
      <c r="E145" s="202">
        <v>-25</v>
      </c>
      <c r="F145" s="200">
        <f t="shared" si="5"/>
        <v>143183.12</v>
      </c>
    </row>
    <row r="146" spans="1:6" ht="11.25" customHeight="1">
      <c r="A146" s="208"/>
      <c r="B146" s="199" t="s">
        <v>380</v>
      </c>
      <c r="D146" s="200"/>
      <c r="E146" s="202">
        <v>-320</v>
      </c>
      <c r="F146" s="200">
        <f t="shared" si="5"/>
        <v>142863.12</v>
      </c>
    </row>
    <row r="147" spans="1:6" ht="11.25" customHeight="1">
      <c r="A147" s="208"/>
      <c r="B147" s="199" t="s">
        <v>381</v>
      </c>
      <c r="D147" s="200"/>
      <c r="E147" s="202">
        <v>-25</v>
      </c>
      <c r="F147" s="200">
        <f t="shared" si="5"/>
        <v>142838.12</v>
      </c>
    </row>
    <row r="148" spans="1:6" ht="11.25" customHeight="1">
      <c r="A148" s="208"/>
      <c r="B148" s="199" t="s">
        <v>382</v>
      </c>
      <c r="D148" s="200"/>
      <c r="E148" s="202">
        <v>-135</v>
      </c>
      <c r="F148" s="200">
        <f t="shared" si="5"/>
        <v>142703.12</v>
      </c>
    </row>
    <row r="149" spans="1:6" ht="11.25" customHeight="1">
      <c r="A149" s="208"/>
      <c r="B149" s="199" t="s">
        <v>383</v>
      </c>
      <c r="D149" s="200"/>
      <c r="E149" s="202">
        <v>-35</v>
      </c>
      <c r="F149" s="200">
        <f t="shared" si="5"/>
        <v>142668.12</v>
      </c>
    </row>
    <row r="150" spans="1:6" ht="11.25" customHeight="1">
      <c r="A150" s="208"/>
      <c r="B150" s="199" t="s">
        <v>384</v>
      </c>
      <c r="D150" s="200">
        <v>48</v>
      </c>
      <c r="E150" s="202"/>
      <c r="F150" s="200">
        <f t="shared" si="5"/>
        <v>142716.12</v>
      </c>
    </row>
    <row r="151" spans="1:6" ht="11.25" customHeight="1">
      <c r="A151" s="208"/>
      <c r="B151" s="199" t="s">
        <v>385</v>
      </c>
      <c r="D151" s="200"/>
      <c r="E151" s="202">
        <v>-182</v>
      </c>
      <c r="F151" s="200">
        <f t="shared" si="5"/>
        <v>142534.12</v>
      </c>
    </row>
    <row r="152" spans="1:6" ht="11.25" customHeight="1">
      <c r="E152" s="202"/>
      <c r="F152" s="200">
        <f t="shared" si="5"/>
        <v>142534.12</v>
      </c>
    </row>
    <row r="153" spans="1:6" ht="11.25" customHeight="1">
      <c r="A153" s="208"/>
      <c r="C153" s="218" t="s">
        <v>386</v>
      </c>
      <c r="D153" s="207">
        <f>SUM(D143:D151)</f>
        <v>48</v>
      </c>
      <c r="E153" s="211">
        <f>SUM(E143:E151)</f>
        <v>-922</v>
      </c>
      <c r="F153" s="200"/>
    </row>
    <row r="154" spans="1:6" ht="11.25" customHeight="1">
      <c r="A154" s="208"/>
      <c r="C154" s="219"/>
      <c r="D154" s="207"/>
      <c r="E154" s="211"/>
      <c r="F154" s="200">
        <f>F152+D154+E154</f>
        <v>142534.12</v>
      </c>
    </row>
    <row r="155" spans="1:6" ht="11.25" customHeight="1">
      <c r="A155" s="199">
        <v>2012</v>
      </c>
      <c r="B155" s="199" t="s">
        <v>387</v>
      </c>
      <c r="D155" s="200">
        <v>1000</v>
      </c>
      <c r="E155" s="211"/>
      <c r="F155" s="200">
        <f>F154+D155+E155</f>
        <v>143534.12</v>
      </c>
    </row>
    <row r="156" spans="1:6" ht="11.25" customHeight="1">
      <c r="A156" s="208"/>
      <c r="C156" s="219"/>
      <c r="D156" s="207"/>
      <c r="E156" s="211"/>
      <c r="F156" s="220" t="s">
        <v>244</v>
      </c>
    </row>
    <row r="157" spans="1:6" ht="13.5" customHeight="1">
      <c r="A157" s="208"/>
    </row>
    <row r="158" spans="1:6" ht="16.5" customHeight="1">
      <c r="A158" s="208"/>
      <c r="B158" s="3">
        <v>45233</v>
      </c>
      <c r="C158" s="3"/>
      <c r="D158" s="200"/>
      <c r="E158" s="221" t="s">
        <v>388</v>
      </c>
      <c r="F158" s="222">
        <v>119619.37</v>
      </c>
    </row>
    <row r="159" spans="1:6" ht="11.25" customHeight="1">
      <c r="A159" s="208"/>
      <c r="D159" s="200"/>
      <c r="E159" s="223" t="s">
        <v>389</v>
      </c>
      <c r="F159" s="222">
        <f>F160-F158</f>
        <v>23914.75</v>
      </c>
    </row>
    <row r="160" spans="1:6" ht="17.25" customHeight="1">
      <c r="A160" s="208"/>
      <c r="D160" s="200"/>
      <c r="E160" s="223" t="s">
        <v>390</v>
      </c>
      <c r="F160" s="222">
        <f>F155</f>
        <v>143534.12</v>
      </c>
    </row>
    <row r="161" spans="1:6" ht="17.25" customHeight="1">
      <c r="A161" s="208"/>
      <c r="D161" s="200"/>
      <c r="E161" s="223"/>
      <c r="F161" s="222"/>
    </row>
    <row r="162" spans="1:6" ht="17.25" customHeight="1">
      <c r="A162" s="208"/>
      <c r="D162" s="200"/>
      <c r="E162" s="223"/>
      <c r="F162" s="222"/>
    </row>
    <row r="163" spans="1:6" ht="17.25" customHeight="1">
      <c r="A163" s="208"/>
      <c r="D163" s="200"/>
      <c r="E163" s="223"/>
      <c r="F163" s="222"/>
    </row>
    <row r="164" spans="1:6" ht="17.25" customHeight="1">
      <c r="A164" s="208"/>
      <c r="D164" s="200"/>
      <c r="E164" s="223"/>
      <c r="F164" s="222"/>
    </row>
    <row r="165" spans="1:6" ht="17.25" customHeight="1">
      <c r="A165" s="208"/>
      <c r="D165" s="200"/>
      <c r="E165" s="223"/>
      <c r="F165" s="222"/>
    </row>
    <row r="166" spans="1:6" ht="17.25" customHeight="1">
      <c r="A166" s="208"/>
      <c r="D166" s="200"/>
      <c r="E166" s="223"/>
      <c r="F166" s="222"/>
    </row>
    <row r="167" spans="1:6" ht="17.25" customHeight="1">
      <c r="A167" s="208"/>
      <c r="D167" s="200"/>
      <c r="E167" s="223"/>
      <c r="F167" s="222"/>
    </row>
    <row r="168" spans="1:6" ht="17.25" customHeight="1">
      <c r="A168" s="208"/>
      <c r="D168" s="200"/>
      <c r="E168" s="223"/>
      <c r="F168" s="222"/>
    </row>
    <row r="169" spans="1:6" ht="17.25" customHeight="1">
      <c r="A169" s="208"/>
      <c r="D169" s="200"/>
      <c r="E169" s="223"/>
      <c r="F169" s="222"/>
    </row>
    <row r="170" spans="1:6" ht="11.25" customHeight="1">
      <c r="A170" s="208"/>
      <c r="D170" s="200"/>
      <c r="E170" s="224"/>
      <c r="F170" s="209"/>
    </row>
    <row r="171" spans="1:6" ht="11.25" customHeight="1">
      <c r="A171" s="208"/>
      <c r="B171" s="201" t="s">
        <v>391</v>
      </c>
      <c r="D171" s="200"/>
      <c r="E171" s="202"/>
      <c r="F171" s="200"/>
    </row>
    <row r="172" spans="1:6" ht="11.25" customHeight="1">
      <c r="A172" s="208"/>
      <c r="B172" s="210" t="s">
        <v>392</v>
      </c>
      <c r="C172" s="210" t="s">
        <v>392</v>
      </c>
      <c r="D172" s="200"/>
      <c r="E172" s="202"/>
      <c r="F172" s="200"/>
    </row>
    <row r="173" spans="1:6" ht="11.25" customHeight="1">
      <c r="A173" s="208"/>
      <c r="B173" s="210" t="s">
        <v>393</v>
      </c>
      <c r="C173" s="210" t="s">
        <v>394</v>
      </c>
      <c r="D173" s="220" t="s">
        <v>30</v>
      </c>
      <c r="E173" s="224" t="s">
        <v>395</v>
      </c>
      <c r="F173" s="220" t="s">
        <v>396</v>
      </c>
    </row>
    <row r="174" spans="1:6" ht="11.25" customHeight="1">
      <c r="A174" s="199">
        <v>2003</v>
      </c>
      <c r="B174" s="200">
        <f>D4</f>
        <v>17075.75</v>
      </c>
      <c r="C174" s="225">
        <f>E4</f>
        <v>0</v>
      </c>
      <c r="D174" s="200">
        <f>B174+C174</f>
        <v>17075.75</v>
      </c>
      <c r="E174" s="226">
        <v>1.41</v>
      </c>
      <c r="F174" s="225">
        <f t="shared" ref="F174:F180" si="6">(B174+C174)/E174</f>
        <v>12110.460992907801</v>
      </c>
    </row>
    <row r="175" spans="1:6" ht="11.25" customHeight="1">
      <c r="A175" s="199">
        <v>2004</v>
      </c>
      <c r="B175" s="200">
        <f>D26</f>
        <v>14637</v>
      </c>
      <c r="C175" s="225">
        <f>E26</f>
        <v>-10710</v>
      </c>
      <c r="D175" s="200">
        <f t="shared" ref="D175:D180" si="7">D174+B175+C175</f>
        <v>21002.75</v>
      </c>
      <c r="E175" s="226">
        <v>1.49</v>
      </c>
      <c r="F175" s="225">
        <f t="shared" si="6"/>
        <v>2635.5704697986575</v>
      </c>
    </row>
    <row r="176" spans="1:6" ht="11.25" customHeight="1">
      <c r="A176" s="199">
        <v>2005</v>
      </c>
      <c r="B176" s="200">
        <f>D68</f>
        <v>72003.92</v>
      </c>
      <c r="C176" s="225">
        <f>E68</f>
        <v>-7040</v>
      </c>
      <c r="D176" s="200">
        <f t="shared" si="7"/>
        <v>85966.67</v>
      </c>
      <c r="E176" s="226">
        <v>1.35</v>
      </c>
      <c r="F176" s="225">
        <f t="shared" si="6"/>
        <v>48121.422222222216</v>
      </c>
    </row>
    <row r="177" spans="1:6" ht="11.25" customHeight="1">
      <c r="A177" s="199">
        <v>2006</v>
      </c>
      <c r="B177" s="200">
        <f>D123</f>
        <v>73796.45</v>
      </c>
      <c r="C177" s="225">
        <f>E123</f>
        <v>-16230</v>
      </c>
      <c r="D177" s="200">
        <f t="shared" si="7"/>
        <v>143533.12</v>
      </c>
      <c r="E177" s="226">
        <v>1.56</v>
      </c>
      <c r="F177" s="225">
        <f t="shared" si="6"/>
        <v>36901.570512820508</v>
      </c>
    </row>
    <row r="178" spans="1:6" ht="11.25" customHeight="1">
      <c r="A178" s="199">
        <v>2007</v>
      </c>
      <c r="B178" s="200">
        <f>D134</f>
        <v>395</v>
      </c>
      <c r="C178" s="225">
        <f>E134</f>
        <v>-520</v>
      </c>
      <c r="D178" s="200">
        <f t="shared" si="7"/>
        <v>143408.12</v>
      </c>
      <c r="E178" s="226">
        <v>1.31</v>
      </c>
      <c r="F178" s="225">
        <f t="shared" si="6"/>
        <v>-95.419847328244273</v>
      </c>
    </row>
    <row r="179" spans="1:6" ht="11.25" customHeight="1">
      <c r="A179" s="199">
        <v>2008</v>
      </c>
      <c r="B179" s="200">
        <f>D150</f>
        <v>48</v>
      </c>
      <c r="C179" s="225">
        <f>E153</f>
        <v>-922</v>
      </c>
      <c r="D179" s="200">
        <f t="shared" si="7"/>
        <v>142534.12</v>
      </c>
      <c r="E179" s="226">
        <v>1.2</v>
      </c>
      <c r="F179" s="225">
        <f t="shared" si="6"/>
        <v>-728.33333333333337</v>
      </c>
    </row>
    <row r="180" spans="1:6" ht="11.25" customHeight="1">
      <c r="A180" s="199">
        <v>2012</v>
      </c>
      <c r="B180" s="200">
        <v>1000</v>
      </c>
      <c r="C180" s="225">
        <f>E152</f>
        <v>0</v>
      </c>
      <c r="D180" s="227">
        <f t="shared" si="7"/>
        <v>143534.12</v>
      </c>
      <c r="E180" s="226">
        <v>1.84</v>
      </c>
      <c r="F180" s="225">
        <f t="shared" si="6"/>
        <v>543.47826086956525</v>
      </c>
    </row>
    <row r="181" spans="1:6" ht="11.25" customHeight="1">
      <c r="B181" s="200"/>
      <c r="D181" s="200"/>
      <c r="E181" s="202"/>
      <c r="F181" s="228"/>
    </row>
    <row r="182" spans="1:6" ht="16.5" customHeight="1">
      <c r="B182" s="200"/>
      <c r="D182" s="200"/>
      <c r="E182" s="224" t="s">
        <v>397</v>
      </c>
      <c r="F182" s="229">
        <f>SUM(F174:F180)</f>
        <v>99488.749277957177</v>
      </c>
    </row>
    <row r="183" spans="1:6" ht="11.25" customHeight="1">
      <c r="B183" s="200"/>
      <c r="D183" s="200"/>
      <c r="E183" s="202"/>
      <c r="F183" s="230" t="s">
        <v>398</v>
      </c>
    </row>
    <row r="184" spans="1:6" ht="15.75" customHeight="1">
      <c r="A184" s="208"/>
      <c r="D184" s="200"/>
    </row>
  </sheetData>
  <mergeCells count="2">
    <mergeCell ref="E1:F1"/>
    <mergeCell ref="B158:C158"/>
  </mergeCells>
  <pageMargins left="0.62986111111111098" right="0.35416666666666702" top="0.78749999999999998" bottom="0.62986111111111098" header="0.39374999999999999" footer="0.23611111111111099"/>
  <pageSetup paperSize="9" pageOrder="overThenDown" orientation="portrait" useFirstPageNumber="1" horizontalDpi="300" verticalDpi="300"/>
  <headerFooter>
    <oddHeader>&amp;C&amp;D</oddHeader>
    <oddFooter>&amp;C&amp;Z&amp;F   -   &amp;F   -   &amp;A                          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1048576"/>
  <sheetViews>
    <sheetView zoomScaleNormal="100" workbookViewId="0"/>
  </sheetViews>
  <sheetFormatPr defaultColWidth="8.7109375" defaultRowHeight="11.25" customHeight="1"/>
  <cols>
    <col min="1" max="1" width="5.85546875" style="231" customWidth="1"/>
    <col min="2" max="2" width="30.42578125" style="232" customWidth="1"/>
    <col min="3" max="3" width="10.140625" style="232" customWidth="1"/>
    <col min="4" max="4" width="13" style="232" customWidth="1"/>
    <col min="5" max="5" width="12.28515625" style="232" customWidth="1"/>
    <col min="6" max="6" width="11" style="232" customWidth="1"/>
    <col min="7" max="7" width="12.42578125" style="233" customWidth="1"/>
    <col min="8" max="8" width="8.85546875" style="233" customWidth="1"/>
    <col min="9" max="64" width="7.42578125" style="232" customWidth="1"/>
    <col min="65" max="1023" width="12.28515625" style="199" customWidth="1"/>
    <col min="1024" max="1024" width="9.140625" style="199" customWidth="1"/>
    <col min="1025" max="1025" width="9.140625" customWidth="1"/>
  </cols>
  <sheetData>
    <row r="1" spans="1:7" ht="11.25" customHeight="1">
      <c r="B1" s="234" t="s">
        <v>399</v>
      </c>
      <c r="C1" s="233"/>
      <c r="D1" s="233"/>
      <c r="E1" s="233"/>
      <c r="F1" s="235"/>
    </row>
    <row r="2" spans="1:7" ht="11.25" customHeight="1">
      <c r="B2" s="234" t="s">
        <v>400</v>
      </c>
      <c r="C2" s="233"/>
      <c r="D2" s="233"/>
      <c r="E2" s="233"/>
      <c r="F2" s="233"/>
    </row>
    <row r="3" spans="1:7" ht="11.25" customHeight="1">
      <c r="B3" s="234" t="s">
        <v>401</v>
      </c>
      <c r="C3" s="233"/>
      <c r="D3" s="233"/>
      <c r="E3" s="2">
        <v>45233</v>
      </c>
      <c r="F3" s="2"/>
    </row>
    <row r="4" spans="1:7" ht="11.25" customHeight="1">
      <c r="B4" s="234"/>
      <c r="C4" s="236" t="s">
        <v>402</v>
      </c>
      <c r="D4" s="236" t="s">
        <v>403</v>
      </c>
      <c r="E4" s="236" t="s">
        <v>404</v>
      </c>
      <c r="F4" s="236" t="s">
        <v>405</v>
      </c>
    </row>
    <row r="5" spans="1:7" ht="11.25" customHeight="1">
      <c r="B5" s="233" t="s">
        <v>406</v>
      </c>
      <c r="C5" s="233">
        <v>80000</v>
      </c>
      <c r="D5" s="233" t="s">
        <v>407</v>
      </c>
      <c r="E5" s="231" t="s">
        <v>408</v>
      </c>
      <c r="F5" s="231" t="s">
        <v>408</v>
      </c>
    </row>
    <row r="6" spans="1:7" ht="11.25" customHeight="1">
      <c r="B6" s="233" t="s">
        <v>409</v>
      </c>
      <c r="C6" s="233">
        <v>80000</v>
      </c>
      <c r="D6" s="233" t="s">
        <v>410</v>
      </c>
      <c r="E6" s="231" t="s">
        <v>411</v>
      </c>
      <c r="F6" s="231" t="s">
        <v>408</v>
      </c>
    </row>
    <row r="7" spans="1:7" ht="11.25" customHeight="1">
      <c r="B7" s="233" t="s">
        <v>412</v>
      </c>
      <c r="C7" s="233">
        <v>80000</v>
      </c>
      <c r="D7" s="233" t="s">
        <v>410</v>
      </c>
      <c r="E7" s="231" t="s">
        <v>411</v>
      </c>
      <c r="F7" s="231" t="s">
        <v>408</v>
      </c>
    </row>
    <row r="8" spans="1:7" ht="11.25" customHeight="1">
      <c r="B8" s="233" t="s">
        <v>413</v>
      </c>
      <c r="C8" s="236">
        <v>80000</v>
      </c>
      <c r="D8" s="233" t="s">
        <v>410</v>
      </c>
      <c r="E8" s="233" t="s">
        <v>186</v>
      </c>
      <c r="F8" s="236" t="s">
        <v>414</v>
      </c>
      <c r="G8" s="236"/>
    </row>
    <row r="9" spans="1:7" ht="11.25" customHeight="1">
      <c r="B9" s="233" t="s">
        <v>415</v>
      </c>
      <c r="C9" s="233">
        <v>80000</v>
      </c>
      <c r="D9" s="233" t="s">
        <v>410</v>
      </c>
      <c r="E9" s="233" t="s">
        <v>186</v>
      </c>
      <c r="F9" s="236" t="s">
        <v>414</v>
      </c>
      <c r="G9" s="237"/>
    </row>
    <row r="10" spans="1:7" ht="11.25" customHeight="1">
      <c r="B10" s="238" t="s">
        <v>416</v>
      </c>
      <c r="C10" s="239">
        <v>30000</v>
      </c>
      <c r="D10" s="233" t="s">
        <v>410</v>
      </c>
      <c r="E10" s="238" t="s">
        <v>417</v>
      </c>
      <c r="F10" s="239" t="s">
        <v>414</v>
      </c>
    </row>
    <row r="11" spans="1:7" ht="11.25" customHeight="1">
      <c r="B11" s="238"/>
      <c r="C11" s="239"/>
      <c r="D11" s="233"/>
      <c r="E11" s="238"/>
      <c r="F11" s="239"/>
    </row>
    <row r="12" spans="1:7" ht="11.25" customHeight="1">
      <c r="B12" s="238"/>
      <c r="C12" s="239"/>
      <c r="D12" s="233"/>
      <c r="E12" s="238"/>
      <c r="F12" s="239"/>
    </row>
    <row r="13" spans="1:7" ht="11.25" customHeight="1">
      <c r="A13" s="240" t="s">
        <v>418</v>
      </c>
      <c r="B13" s="241" t="s">
        <v>419</v>
      </c>
      <c r="C13" s="233"/>
      <c r="D13" s="233"/>
      <c r="E13" s="233"/>
      <c r="F13" s="233"/>
    </row>
    <row r="14" spans="1:7" ht="11.25" customHeight="1">
      <c r="A14" s="240"/>
      <c r="B14" s="233" t="s">
        <v>420</v>
      </c>
      <c r="C14" s="233"/>
      <c r="D14" s="233"/>
      <c r="E14" s="233"/>
      <c r="F14" s="233"/>
    </row>
    <row r="15" spans="1:7" ht="11.25" customHeight="1">
      <c r="A15" s="240"/>
      <c r="B15" s="233" t="s">
        <v>421</v>
      </c>
      <c r="C15" s="233"/>
      <c r="D15" s="242"/>
      <c r="E15" s="199"/>
      <c r="F15" s="236">
        <v>80000</v>
      </c>
    </row>
    <row r="16" spans="1:7" ht="11.25" customHeight="1">
      <c r="A16" s="240" t="s">
        <v>418</v>
      </c>
      <c r="B16" s="233" t="s">
        <v>422</v>
      </c>
      <c r="C16" s="233"/>
      <c r="D16" s="242"/>
      <c r="E16" s="199"/>
      <c r="F16" s="236">
        <v>-30000</v>
      </c>
    </row>
    <row r="17" spans="1:9" ht="11.25" customHeight="1">
      <c r="A17" s="240" t="s">
        <v>418</v>
      </c>
      <c r="B17" s="233" t="s">
        <v>423</v>
      </c>
      <c r="C17" s="199"/>
      <c r="D17" s="242"/>
      <c r="E17" s="199"/>
      <c r="F17" s="243">
        <f>'01-03-HAKAN'!D180</f>
        <v>143534.12</v>
      </c>
    </row>
    <row r="18" spans="1:9" ht="11.25" customHeight="1">
      <c r="A18" s="240" t="s">
        <v>418</v>
      </c>
      <c r="B18" s="233" t="s">
        <v>424</v>
      </c>
      <c r="C18" s="233"/>
      <c r="D18" s="233"/>
      <c r="E18" s="233"/>
      <c r="F18" s="236">
        <v>50000</v>
      </c>
    </row>
    <row r="19" spans="1:9" ht="11.25" customHeight="1">
      <c r="B19" s="233"/>
      <c r="C19" s="233"/>
      <c r="D19" s="233"/>
      <c r="E19" s="233"/>
      <c r="F19" s="236"/>
    </row>
    <row r="20" spans="1:9" ht="11.25" customHeight="1">
      <c r="B20" s="244" t="s">
        <v>425</v>
      </c>
      <c r="C20" s="245"/>
      <c r="D20" s="245"/>
      <c r="E20" s="245"/>
      <c r="F20" s="246"/>
    </row>
    <row r="21" spans="1:9" ht="11.25" customHeight="1">
      <c r="B21" s="247" t="s">
        <v>426</v>
      </c>
      <c r="C21" s="233"/>
      <c r="D21" s="233"/>
      <c r="E21" s="233"/>
      <c r="F21" s="248"/>
    </row>
    <row r="22" spans="1:9" ht="11.25" customHeight="1">
      <c r="B22" s="249" t="s">
        <v>427</v>
      </c>
      <c r="C22" s="233"/>
      <c r="D22" s="233"/>
      <c r="E22" s="233"/>
      <c r="F22" s="248"/>
    </row>
    <row r="23" spans="1:9" ht="11.25" customHeight="1">
      <c r="B23" s="249" t="s">
        <v>428</v>
      </c>
      <c r="C23" s="233"/>
      <c r="D23" s="233"/>
      <c r="E23" s="233"/>
      <c r="F23" s="248"/>
    </row>
    <row r="24" spans="1:9" ht="11.25" customHeight="1">
      <c r="B24" s="250" t="s">
        <v>429</v>
      </c>
      <c r="C24" s="251"/>
      <c r="D24" s="251"/>
      <c r="E24" s="251"/>
      <c r="F24" s="252"/>
    </row>
    <row r="25" spans="1:9" ht="11.25" customHeight="1">
      <c r="B25" s="233"/>
      <c r="C25" s="233"/>
      <c r="D25" s="233"/>
      <c r="E25" s="233"/>
      <c r="F25" s="233"/>
    </row>
    <row r="26" spans="1:9" ht="11.25" customHeight="1">
      <c r="B26" s="233"/>
      <c r="C26" s="233"/>
      <c r="D26" s="233"/>
      <c r="E26" s="233"/>
      <c r="F26" s="233"/>
    </row>
    <row r="27" spans="1:9" ht="11.25" customHeight="1">
      <c r="B27" s="233"/>
      <c r="C27" s="233"/>
      <c r="D27" s="233"/>
      <c r="E27" s="233"/>
      <c r="F27" s="233"/>
    </row>
    <row r="28" spans="1:9" ht="11.25" customHeight="1">
      <c r="B28" s="233"/>
      <c r="C28" s="253" t="s">
        <v>430</v>
      </c>
      <c r="D28" s="253" t="s">
        <v>126</v>
      </c>
      <c r="E28" s="253" t="s">
        <v>431</v>
      </c>
      <c r="F28" s="253" t="s">
        <v>432</v>
      </c>
      <c r="G28" s="200"/>
      <c r="H28" s="199"/>
      <c r="I28" s="199"/>
    </row>
    <row r="29" spans="1:9" ht="11.25" customHeight="1">
      <c r="B29" s="233"/>
      <c r="C29" s="253" t="s">
        <v>244</v>
      </c>
      <c r="D29" s="253" t="s">
        <v>244</v>
      </c>
      <c r="E29" s="253"/>
      <c r="F29" s="253" t="s">
        <v>398</v>
      </c>
      <c r="G29" s="200"/>
      <c r="H29" s="199"/>
      <c r="I29" s="199"/>
    </row>
    <row r="30" spans="1:9" ht="11.25" customHeight="1">
      <c r="A30" s="231">
        <v>2005</v>
      </c>
      <c r="B30" s="233" t="s">
        <v>433</v>
      </c>
      <c r="C30" s="233">
        <f>F15/2</f>
        <v>40000</v>
      </c>
      <c r="D30" s="233">
        <f>C30</f>
        <v>40000</v>
      </c>
      <c r="E30" s="233">
        <v>1.4</v>
      </c>
      <c r="F30" s="233">
        <f>C30/E30</f>
        <v>28571.428571428572</v>
      </c>
      <c r="G30" s="200"/>
      <c r="H30" s="199"/>
      <c r="I30" s="199"/>
    </row>
    <row r="31" spans="1:9" ht="11.25" customHeight="1">
      <c r="A31" s="254" t="s">
        <v>434</v>
      </c>
      <c r="B31" s="233" t="s">
        <v>435</v>
      </c>
      <c r="C31" s="233">
        <f>F17/2</f>
        <v>71767.06</v>
      </c>
      <c r="D31" s="233">
        <f>D30+C31</f>
        <v>111767.06</v>
      </c>
      <c r="E31" s="233">
        <f>C31/F31</f>
        <v>1.4427171015989599</v>
      </c>
      <c r="F31" s="200">
        <f>'01-03-HAKAN'!F182/2</f>
        <v>49744.374638978588</v>
      </c>
      <c r="H31" s="255"/>
      <c r="I31" s="199"/>
    </row>
    <row r="32" spans="1:9" ht="11.25" customHeight="1">
      <c r="A32" s="231">
        <v>2008</v>
      </c>
      <c r="B32" s="233" t="s">
        <v>436</v>
      </c>
      <c r="C32" s="233">
        <f>F18/2</f>
        <v>25000</v>
      </c>
      <c r="D32" s="233">
        <f>D31+C32</f>
        <v>136767.06</v>
      </c>
      <c r="E32" s="233">
        <v>1.31</v>
      </c>
      <c r="F32" s="233">
        <f>C32/E32</f>
        <v>19083.969465648854</v>
      </c>
      <c r="G32" s="200"/>
      <c r="H32" s="199"/>
      <c r="I32" s="199"/>
    </row>
    <row r="33" spans="1:9" ht="11.25" customHeight="1">
      <c r="A33" s="231">
        <v>2017</v>
      </c>
      <c r="B33" s="232" t="s">
        <v>437</v>
      </c>
      <c r="C33" s="200">
        <f>F59*-1</f>
        <v>141563.54999999999</v>
      </c>
      <c r="D33" s="233">
        <f>D32+C33</f>
        <v>278330.61</v>
      </c>
      <c r="E33" s="199">
        <v>3.55</v>
      </c>
      <c r="F33" s="233">
        <f>C33/E33</f>
        <v>39877.056338028167</v>
      </c>
      <c r="G33" s="256"/>
      <c r="I33" s="199"/>
    </row>
    <row r="34" spans="1:9" ht="11.25" customHeight="1">
      <c r="B34" s="234" t="s">
        <v>438</v>
      </c>
      <c r="C34" s="199"/>
      <c r="D34" s="233"/>
      <c r="E34" s="257" t="s">
        <v>439</v>
      </c>
      <c r="F34" s="236">
        <f>SUM(F30:F33)</f>
        <v>137276.82901408419</v>
      </c>
      <c r="G34" s="200"/>
      <c r="I34" s="199"/>
    </row>
    <row r="35" spans="1:9" ht="11.25" customHeight="1">
      <c r="C35" s="253" t="s">
        <v>440</v>
      </c>
      <c r="D35" s="233"/>
      <c r="E35" s="199"/>
      <c r="F35" s="233"/>
      <c r="G35" s="200"/>
      <c r="I35" s="199"/>
    </row>
    <row r="36" spans="1:9" ht="11.25" customHeight="1">
      <c r="B36" s="233" t="s">
        <v>441</v>
      </c>
      <c r="C36" s="236">
        <v>-15000</v>
      </c>
      <c r="D36" s="233">
        <f>C36</f>
        <v>-15000</v>
      </c>
      <c r="E36" s="233">
        <v>1.4</v>
      </c>
      <c r="F36" s="236">
        <f>C36/E36</f>
        <v>-10714.285714285716</v>
      </c>
      <c r="G36" s="209"/>
      <c r="H36" s="255"/>
      <c r="I36" s="199"/>
    </row>
    <row r="37" spans="1:9" s="199" customFormat="1" ht="11.25" customHeight="1">
      <c r="A37" s="254"/>
      <c r="B37" s="232"/>
      <c r="C37" s="209"/>
      <c r="D37" s="233">
        <f>D36+C37</f>
        <v>-15000</v>
      </c>
      <c r="F37" s="233"/>
      <c r="G37" s="209"/>
      <c r="H37" s="255"/>
    </row>
    <row r="38" spans="1:9" s="199" customFormat="1" ht="11.25" customHeight="1">
      <c r="A38" s="254"/>
      <c r="B38" s="232"/>
      <c r="C38" s="209"/>
      <c r="D38" s="233"/>
      <c r="E38" s="257" t="s">
        <v>442</v>
      </c>
      <c r="F38" s="236">
        <f>SUM(F36:F37)</f>
        <v>-10714.285714285716</v>
      </c>
      <c r="G38" s="209"/>
      <c r="H38" s="255"/>
    </row>
    <row r="39" spans="1:9" ht="11.25" customHeight="1">
      <c r="B39" s="232" t="s">
        <v>443</v>
      </c>
      <c r="C39" s="199">
        <f>SUM(C30:C38)</f>
        <v>263330.61</v>
      </c>
      <c r="D39" s="233"/>
      <c r="E39" s="199"/>
      <c r="F39" s="258"/>
      <c r="G39" s="209"/>
      <c r="H39" s="255"/>
      <c r="I39" s="199"/>
    </row>
    <row r="40" spans="1:9" ht="11.25" customHeight="1">
      <c r="A40" s="258"/>
      <c r="B40" s="259" t="s">
        <v>438</v>
      </c>
      <c r="C40" s="258"/>
      <c r="D40" s="258"/>
      <c r="E40" s="260" t="s">
        <v>444</v>
      </c>
      <c r="F40" s="261">
        <f>F34+F38</f>
        <v>126562.54329979848</v>
      </c>
      <c r="G40" s="253"/>
      <c r="I40" s="199"/>
    </row>
    <row r="41" spans="1:9" ht="11.25" customHeight="1">
      <c r="C41" s="199"/>
      <c r="D41" s="253"/>
      <c r="E41" s="253"/>
      <c r="F41" s="258"/>
    </row>
    <row r="42" spans="1:9" ht="11.25" customHeight="1">
      <c r="C42" s="199"/>
      <c r="D42" s="253"/>
      <c r="E42" s="253"/>
      <c r="F42" s="199"/>
    </row>
    <row r="43" spans="1:9" ht="11.25" customHeight="1">
      <c r="B43" s="234"/>
      <c r="C43" s="233"/>
      <c r="D43" s="233"/>
      <c r="E43" s="233"/>
      <c r="F43" s="199"/>
    </row>
    <row r="44" spans="1:9" ht="11.25" customHeight="1">
      <c r="B44" s="262" t="s">
        <v>445</v>
      </c>
      <c r="C44" s="78"/>
      <c r="D44" s="245"/>
      <c r="E44" s="245"/>
      <c r="F44" s="246" t="s">
        <v>244</v>
      </c>
    </row>
    <row r="45" spans="1:9" ht="11.25" customHeight="1">
      <c r="B45" s="263" t="s">
        <v>446</v>
      </c>
      <c r="D45" s="264" t="s">
        <v>244</v>
      </c>
      <c r="E45" s="233">
        <v>-20000</v>
      </c>
      <c r="F45" s="248">
        <f>E45</f>
        <v>-20000</v>
      </c>
    </row>
    <row r="46" spans="1:9" ht="11.25" customHeight="1">
      <c r="B46" s="263" t="s">
        <v>447</v>
      </c>
      <c r="D46" s="264" t="s">
        <v>244</v>
      </c>
      <c r="E46" s="233">
        <v>-24710</v>
      </c>
      <c r="F46" s="248">
        <f t="shared" ref="F46:F51" si="0">F45+E46</f>
        <v>-44710</v>
      </c>
    </row>
    <row r="47" spans="1:9" ht="11.25" customHeight="1">
      <c r="B47" s="263" t="s">
        <v>448</v>
      </c>
      <c r="D47" s="264" t="s">
        <v>244</v>
      </c>
      <c r="E47" s="233">
        <v>-13750</v>
      </c>
      <c r="F47" s="248">
        <f t="shared" si="0"/>
        <v>-58460</v>
      </c>
    </row>
    <row r="48" spans="1:9" ht="11.25" customHeight="1">
      <c r="B48" s="263" t="s">
        <v>449</v>
      </c>
      <c r="D48" s="264" t="s">
        <v>244</v>
      </c>
      <c r="E48" s="233">
        <v>-7000</v>
      </c>
      <c r="F48" s="248">
        <f t="shared" si="0"/>
        <v>-65460</v>
      </c>
    </row>
    <row r="49" spans="2:6" ht="11.25" customHeight="1">
      <c r="B49" s="263" t="s">
        <v>450</v>
      </c>
      <c r="D49" s="264" t="s">
        <v>244</v>
      </c>
      <c r="E49" s="233">
        <v>-180984.36</v>
      </c>
      <c r="F49" s="248">
        <f t="shared" si="0"/>
        <v>-246444.36</v>
      </c>
    </row>
    <row r="50" spans="2:6" ht="11.25" customHeight="1">
      <c r="B50" s="263" t="s">
        <v>451</v>
      </c>
      <c r="D50" s="264" t="s">
        <v>244</v>
      </c>
      <c r="E50" s="233">
        <v>-16268.74</v>
      </c>
      <c r="F50" s="248">
        <f t="shared" si="0"/>
        <v>-262713.09999999998</v>
      </c>
    </row>
    <row r="51" spans="2:6" ht="11.25" customHeight="1">
      <c r="B51" s="265" t="s">
        <v>452</v>
      </c>
      <c r="D51" s="242"/>
      <c r="E51" s="233"/>
      <c r="F51" s="266">
        <f t="shared" si="0"/>
        <v>-262713.09999999998</v>
      </c>
    </row>
    <row r="52" spans="2:6" ht="11.25" customHeight="1">
      <c r="B52" s="263"/>
      <c r="D52" s="242"/>
      <c r="E52" s="233"/>
      <c r="F52" s="248"/>
    </row>
    <row r="53" spans="2:6" ht="11.25" customHeight="1">
      <c r="B53" s="267" t="s">
        <v>453</v>
      </c>
      <c r="D53" s="242"/>
      <c r="E53" s="233"/>
      <c r="F53" s="248"/>
    </row>
    <row r="54" spans="2:6" ht="11.25" customHeight="1">
      <c r="B54" s="263" t="s">
        <v>454</v>
      </c>
      <c r="D54" s="242" t="s">
        <v>244</v>
      </c>
      <c r="E54" s="236">
        <f>F51/2</f>
        <v>-131356.54999999999</v>
      </c>
      <c r="F54" s="248">
        <f t="shared" ref="F54:F59" si="1">F53+E54</f>
        <v>-131356.54999999999</v>
      </c>
    </row>
    <row r="55" spans="2:6" ht="11.25" customHeight="1">
      <c r="B55" s="263" t="s">
        <v>455</v>
      </c>
      <c r="D55" s="242" t="s">
        <v>244</v>
      </c>
      <c r="E55" s="233">
        <v>-1862</v>
      </c>
      <c r="F55" s="248">
        <f t="shared" si="1"/>
        <v>-133218.54999999999</v>
      </c>
    </row>
    <row r="56" spans="2:6" ht="11.25" customHeight="1">
      <c r="B56" s="263" t="s">
        <v>456</v>
      </c>
      <c r="D56" s="264" t="s">
        <v>244</v>
      </c>
      <c r="E56" s="200">
        <v>-650</v>
      </c>
      <c r="F56" s="248">
        <f t="shared" si="1"/>
        <v>-133868.54999999999</v>
      </c>
    </row>
    <row r="57" spans="2:6" ht="11.25" customHeight="1">
      <c r="B57" s="263" t="s">
        <v>457</v>
      </c>
      <c r="D57" s="264" t="s">
        <v>244</v>
      </c>
      <c r="E57" s="200">
        <v>-1695</v>
      </c>
      <c r="F57" s="248">
        <f t="shared" si="1"/>
        <v>-135563.54999999999</v>
      </c>
    </row>
    <row r="58" spans="2:6" ht="11.25" customHeight="1">
      <c r="B58" s="263" t="s">
        <v>458</v>
      </c>
      <c r="D58" s="264" t="s">
        <v>244</v>
      </c>
      <c r="E58" s="200">
        <v>-6000</v>
      </c>
      <c r="F58" s="248">
        <f t="shared" si="1"/>
        <v>-141563.54999999999</v>
      </c>
    </row>
    <row r="59" spans="2:6" ht="11.25" customHeight="1">
      <c r="B59" s="268" t="s">
        <v>459</v>
      </c>
      <c r="C59" s="269"/>
      <c r="D59" s="270" t="s">
        <v>244</v>
      </c>
      <c r="E59" s="271"/>
      <c r="F59" s="272">
        <f t="shared" si="1"/>
        <v>-141563.54999999999</v>
      </c>
    </row>
    <row r="60" spans="2:6" ht="11.25" customHeight="1">
      <c r="B60" s="263"/>
      <c r="D60" s="242"/>
      <c r="E60" s="233"/>
      <c r="F60" s="248"/>
    </row>
    <row r="61" spans="2:6" ht="11.25" customHeight="1">
      <c r="B61" s="273" t="s">
        <v>460</v>
      </c>
      <c r="D61" s="242" t="s">
        <v>244</v>
      </c>
      <c r="E61" s="209">
        <f>F51/2</f>
        <v>-131356.54999999999</v>
      </c>
      <c r="F61" s="248">
        <f>F60+E61</f>
        <v>-131356.54999999999</v>
      </c>
    </row>
    <row r="62" spans="2:6" ht="11.25" customHeight="1">
      <c r="B62" s="263"/>
      <c r="D62" s="233"/>
      <c r="E62" s="200"/>
      <c r="F62" s="248">
        <f>F61+E62</f>
        <v>-131356.54999999999</v>
      </c>
    </row>
    <row r="63" spans="2:6" ht="11.25" customHeight="1">
      <c r="B63" s="273"/>
      <c r="D63" s="233"/>
      <c r="E63" s="209"/>
      <c r="F63" s="248"/>
    </row>
    <row r="64" spans="2:6" ht="11.25" customHeight="1">
      <c r="B64" s="274" t="s">
        <v>461</v>
      </c>
      <c r="C64" s="90"/>
      <c r="D64" s="275"/>
      <c r="E64" s="276"/>
      <c r="F64" s="277">
        <f>F59+F62</f>
        <v>-272920.09999999998</v>
      </c>
    </row>
    <row r="65" spans="2:6" ht="11.25" customHeight="1">
      <c r="B65" s="231"/>
      <c r="C65" s="231"/>
      <c r="D65" s="233"/>
      <c r="E65" s="231"/>
      <c r="F65" s="231"/>
    </row>
    <row r="66" spans="2:6" ht="11.25" customHeight="1">
      <c r="B66" s="233"/>
      <c r="C66" s="233"/>
      <c r="D66" s="233"/>
      <c r="E66" s="231"/>
      <c r="F66" s="233"/>
    </row>
    <row r="67" spans="2:6" ht="11.25" customHeight="1">
      <c r="B67" s="233"/>
      <c r="C67" s="242"/>
      <c r="D67" s="242"/>
      <c r="E67" s="242"/>
      <c r="F67" s="242"/>
    </row>
    <row r="68" spans="2:6" ht="11.25" customHeight="1">
      <c r="B68" s="253"/>
      <c r="C68" s="236"/>
      <c r="D68" s="236"/>
      <c r="E68" s="253"/>
      <c r="F68" s="236"/>
    </row>
    <row r="69" spans="2:6" ht="11.25" customHeight="1">
      <c r="B69" s="233"/>
      <c r="C69" s="233"/>
      <c r="D69" s="233"/>
      <c r="E69" s="233"/>
      <c r="F69" s="233"/>
    </row>
    <row r="70" spans="2:6" ht="11.25" customHeight="1">
      <c r="B70" s="233"/>
      <c r="C70" s="233"/>
      <c r="D70" s="233"/>
      <c r="E70" s="233"/>
      <c r="F70" s="233"/>
    </row>
    <row r="71" spans="2:6" ht="11.25" customHeight="1">
      <c r="B71" s="233"/>
      <c r="C71" s="231"/>
      <c r="D71" s="231"/>
    </row>
    <row r="72" spans="2:6" ht="11.25" customHeight="1">
      <c r="B72" s="233"/>
      <c r="C72" s="233"/>
      <c r="D72" s="233"/>
      <c r="E72" s="233"/>
      <c r="F72" s="233"/>
    </row>
    <row r="73" spans="2:6" ht="11.25" customHeight="1">
      <c r="C73" s="233"/>
      <c r="D73" s="233"/>
      <c r="E73" s="233"/>
      <c r="F73" s="233"/>
    </row>
    <row r="74" spans="2:6" ht="11.25" customHeight="1">
      <c r="C74" s="233"/>
      <c r="D74" s="233"/>
      <c r="E74" s="233"/>
      <c r="F74" s="233"/>
    </row>
    <row r="75" spans="2:6" ht="11.25" customHeight="1">
      <c r="C75" s="233"/>
      <c r="D75" s="233"/>
      <c r="E75" s="233"/>
      <c r="F75" s="233"/>
    </row>
    <row r="76" spans="2:6" ht="11.25" customHeight="1">
      <c r="C76" s="233"/>
      <c r="D76" s="233"/>
      <c r="E76" s="233"/>
      <c r="F76" s="233"/>
    </row>
    <row r="77" spans="2:6" ht="11.25" customHeight="1">
      <c r="C77" s="233"/>
      <c r="D77" s="233"/>
      <c r="E77" s="233"/>
      <c r="F77" s="233"/>
    </row>
    <row r="78" spans="2:6" ht="11.25" customHeight="1">
      <c r="C78" s="233"/>
      <c r="D78" s="233"/>
      <c r="E78" s="233"/>
      <c r="F78" s="233"/>
    </row>
    <row r="79" spans="2:6" ht="11.25" customHeight="1">
      <c r="C79" s="233"/>
      <c r="D79" s="233"/>
      <c r="E79" s="233"/>
      <c r="F79" s="233"/>
    </row>
    <row r="80" spans="2:6" ht="11.25" customHeight="1">
      <c r="C80" s="233"/>
      <c r="D80" s="233"/>
      <c r="E80" s="233"/>
      <c r="F80" s="233"/>
    </row>
    <row r="81" spans="2:6" ht="11.25" customHeight="1">
      <c r="C81" s="233"/>
      <c r="D81" s="233"/>
      <c r="E81" s="233"/>
      <c r="F81" s="233"/>
    </row>
    <row r="82" spans="2:6" ht="11.25" customHeight="1">
      <c r="C82" s="233"/>
      <c r="D82" s="233"/>
      <c r="E82" s="233"/>
      <c r="F82" s="233"/>
    </row>
    <row r="83" spans="2:6" ht="11.25" customHeight="1">
      <c r="C83" s="233"/>
      <c r="D83" s="233"/>
      <c r="E83" s="233"/>
      <c r="F83" s="233"/>
    </row>
    <row r="84" spans="2:6" ht="11.25" customHeight="1">
      <c r="C84" s="233"/>
      <c r="D84" s="233"/>
      <c r="E84" s="233"/>
      <c r="F84" s="233"/>
    </row>
    <row r="85" spans="2:6" ht="11.25" customHeight="1">
      <c r="C85" s="233"/>
      <c r="D85" s="233"/>
      <c r="E85" s="233"/>
      <c r="F85" s="233"/>
    </row>
    <row r="86" spans="2:6" ht="11.25" customHeight="1">
      <c r="C86" s="233"/>
      <c r="D86" s="233"/>
      <c r="E86" s="233"/>
      <c r="F86" s="233"/>
    </row>
    <row r="87" spans="2:6" ht="11.25" customHeight="1">
      <c r="C87" s="233"/>
      <c r="D87" s="233"/>
      <c r="E87" s="233"/>
      <c r="F87" s="233"/>
    </row>
    <row r="88" spans="2:6" ht="11.25" customHeight="1">
      <c r="C88" s="233"/>
      <c r="D88" s="233"/>
      <c r="E88" s="233"/>
      <c r="F88" s="233"/>
    </row>
    <row r="89" spans="2:6" ht="11.25" customHeight="1">
      <c r="B89" s="236"/>
      <c r="C89" s="233"/>
      <c r="D89" s="233"/>
      <c r="E89" s="233"/>
      <c r="F89" s="233"/>
    </row>
    <row r="90" spans="2:6" ht="11.25" customHeight="1">
      <c r="B90" s="233"/>
      <c r="C90" s="233"/>
      <c r="D90" s="233"/>
      <c r="E90" s="233"/>
      <c r="F90" s="233"/>
    </row>
    <row r="91" spans="2:6" ht="11.25" customHeight="1">
      <c r="B91" s="233"/>
      <c r="C91" s="233"/>
      <c r="D91" s="233"/>
      <c r="E91" s="233"/>
      <c r="F91" s="233"/>
    </row>
    <row r="92" spans="2:6" ht="11.25" customHeight="1">
      <c r="B92" s="233"/>
      <c r="C92" s="233"/>
      <c r="D92" s="233"/>
      <c r="E92" s="233"/>
      <c r="F92" s="233"/>
    </row>
    <row r="93" spans="2:6" ht="11.25" customHeight="1">
      <c r="B93" s="253"/>
      <c r="C93" s="236"/>
      <c r="D93" s="236"/>
      <c r="E93" s="253"/>
      <c r="F93" s="236"/>
    </row>
    <row r="94" spans="2:6" ht="11.25" customHeight="1">
      <c r="C94" s="233"/>
      <c r="D94" s="233"/>
      <c r="E94" s="233"/>
      <c r="F94" s="233"/>
    </row>
    <row r="95" spans="2:6" ht="11.25" customHeight="1">
      <c r="C95" s="233"/>
      <c r="D95" s="233"/>
      <c r="E95" s="233"/>
      <c r="F95" s="2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86111111111098" right="0.35416666666666702" top="0.78749999999999998" bottom="0.62986111111111098" header="0.39374999999999999" footer="0.23611111111111099"/>
  <pageSetup paperSize="9" pageOrder="overThenDown" orientation="portrait" useFirstPageNumber="1" horizontalDpi="300" verticalDpi="300"/>
  <headerFooter>
    <oddHeader>&amp;C&amp;D</oddHeader>
    <oddFooter>&amp;C&amp;Z&amp;F   -   &amp;F   - 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6"/>
  <sheetViews>
    <sheetView zoomScaleNormal="100" workbookViewId="0"/>
  </sheetViews>
  <sheetFormatPr defaultColWidth="8.7109375"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customWidth="1"/>
    <col min="6" max="6" width="9.140625" customWidth="1"/>
  </cols>
  <sheetData>
    <row r="1" spans="1:5">
      <c r="A1" s="278"/>
      <c r="B1" s="279"/>
      <c r="C1" s="279"/>
      <c r="D1" s="1">
        <v>45233</v>
      </c>
      <c r="E1" s="1"/>
    </row>
    <row r="2" spans="1:5">
      <c r="A2" s="278"/>
      <c r="B2" s="279"/>
      <c r="C2" s="279"/>
      <c r="D2" s="279"/>
    </row>
    <row r="3" spans="1:5">
      <c r="A3" s="280" t="s">
        <v>462</v>
      </c>
      <c r="B3" s="279"/>
      <c r="C3" s="279"/>
      <c r="D3" s="279"/>
      <c r="E3" s="103" t="s">
        <v>463</v>
      </c>
    </row>
    <row r="4" spans="1:5">
      <c r="A4" s="281" t="s">
        <v>464</v>
      </c>
      <c r="B4" s="281">
        <f>'01-03-HAKAN'!F160</f>
        <v>143534.12</v>
      </c>
      <c r="C4" s="282">
        <f>B4/D4</f>
        <v>1.4427171015989599</v>
      </c>
      <c r="D4" s="283">
        <f>'01-03-HAKAN'!F182</f>
        <v>99488.749277957177</v>
      </c>
      <c r="E4" s="284">
        <f>D4</f>
        <v>99488.749277957177</v>
      </c>
    </row>
    <row r="5" spans="1:5">
      <c r="A5" s="279" t="s">
        <v>465</v>
      </c>
      <c r="B5" s="285">
        <f>'01-01-DGS'!F59*-1</f>
        <v>141563.54999999999</v>
      </c>
      <c r="C5" s="282">
        <v>3.55</v>
      </c>
      <c r="D5" s="286">
        <f>B5/C5</f>
        <v>39877.056338028167</v>
      </c>
      <c r="E5" s="287">
        <f>E4+D5</f>
        <v>139365.80561598536</v>
      </c>
    </row>
    <row r="6" spans="1:5">
      <c r="A6" s="279" t="s">
        <v>466</v>
      </c>
      <c r="B6" s="285">
        <f>'01-01-DGS'!F61*-1</f>
        <v>131356.54999999999</v>
      </c>
      <c r="C6" s="282">
        <v>3.55</v>
      </c>
      <c r="D6" s="288">
        <f>B6/C6</f>
        <v>37001.845070422532</v>
      </c>
      <c r="E6" s="287">
        <f>E5+D6</f>
        <v>176367.6506864079</v>
      </c>
    </row>
    <row r="7" spans="1:5" ht="15.75">
      <c r="A7" s="289" t="s">
        <v>467</v>
      </c>
      <c r="B7" s="290">
        <f>SUM(B4:B6)</f>
        <v>416454.22</v>
      </c>
      <c r="C7" s="282"/>
      <c r="D7" s="291">
        <f>SUM(D4:D6)</f>
        <v>176367.6506864079</v>
      </c>
      <c r="E7" s="287"/>
    </row>
    <row r="8" spans="1:5" ht="15.75">
      <c r="A8" s="279"/>
      <c r="B8" s="290"/>
      <c r="C8" s="282"/>
      <c r="D8" s="291"/>
      <c r="E8" s="287"/>
    </row>
    <row r="9" spans="1:5">
      <c r="A9" s="280" t="s">
        <v>468</v>
      </c>
      <c r="B9" s="285"/>
      <c r="C9" s="282"/>
      <c r="D9" s="279"/>
      <c r="E9" s="287"/>
    </row>
    <row r="10" spans="1:5">
      <c r="A10" s="279" t="s">
        <v>469</v>
      </c>
      <c r="B10" s="285">
        <v>50000</v>
      </c>
      <c r="C10" s="282">
        <v>1.31</v>
      </c>
      <c r="D10" s="288">
        <f>B10/C10</f>
        <v>38167.938931297707</v>
      </c>
      <c r="E10" s="287">
        <f>E6+D10*-1</f>
        <v>138199.71175511018</v>
      </c>
    </row>
    <row r="11" spans="1:5">
      <c r="A11" s="279" t="s">
        <v>470</v>
      </c>
      <c r="B11" s="285">
        <f>'01-01-DGS'!F64*-1</f>
        <v>272920.09999999998</v>
      </c>
      <c r="C11" s="282">
        <v>3.55</v>
      </c>
      <c r="D11" s="288">
        <f>B11/C11</f>
        <v>76878.901408450707</v>
      </c>
      <c r="E11" s="287">
        <f>E10+D11*-1</f>
        <v>61320.810346659477</v>
      </c>
    </row>
    <row r="12" spans="1:5" ht="15.75">
      <c r="A12" s="289" t="s">
        <v>471</v>
      </c>
      <c r="B12" s="290">
        <f>SUM(B10:B11)</f>
        <v>322920.09999999998</v>
      </c>
      <c r="C12" s="282"/>
      <c r="D12" s="291">
        <f>SUM(D10:D11)</f>
        <v>115046.84033974842</v>
      </c>
      <c r="E12" s="287">
        <f>E11</f>
        <v>61320.810346659477</v>
      </c>
    </row>
    <row r="13" spans="1:5">
      <c r="A13" s="279"/>
      <c r="B13" s="285"/>
      <c r="C13" s="282"/>
      <c r="E13" s="287">
        <f>E12</f>
        <v>61320.810346659477</v>
      </c>
    </row>
    <row r="14" spans="1:5">
      <c r="A14" s="279"/>
      <c r="B14" s="285"/>
      <c r="D14" s="103" t="s">
        <v>472</v>
      </c>
      <c r="E14" s="287">
        <f>E13</f>
        <v>61320.810346659477</v>
      </c>
    </row>
    <row r="15" spans="1:5" ht="15.75">
      <c r="B15" s="292"/>
      <c r="D15" s="291"/>
      <c r="E15" s="287"/>
    </row>
    <row r="16" spans="1:5" ht="15">
      <c r="A16" t="s">
        <v>473</v>
      </c>
      <c r="D16" s="293">
        <f>E14/2</f>
        <v>30660.405173329738</v>
      </c>
      <c r="E16" s="287"/>
    </row>
    <row r="17" spans="1:5" ht="15">
      <c r="A17" t="s">
        <v>474</v>
      </c>
      <c r="D17" s="294">
        <f>D16</f>
        <v>30660.405173329738</v>
      </c>
      <c r="E17" s="287"/>
    </row>
    <row r="18" spans="1:5">
      <c r="D18" s="284"/>
      <c r="E18" s="287"/>
    </row>
    <row r="19" spans="1:5">
      <c r="D19" s="284"/>
      <c r="E19" s="287"/>
    </row>
    <row r="20" spans="1:5">
      <c r="A20" s="295" t="s">
        <v>475</v>
      </c>
      <c r="B20" s="296"/>
      <c r="C20" s="297"/>
      <c r="D20" s="297"/>
      <c r="E20" s="298"/>
    </row>
    <row r="21" spans="1:5">
      <c r="A21" s="80"/>
      <c r="B21" s="299" t="s">
        <v>476</v>
      </c>
      <c r="C21" s="300">
        <v>40000</v>
      </c>
      <c r="D21" s="281">
        <v>1.4</v>
      </c>
      <c r="E21" s="301">
        <f>C21/D21</f>
        <v>28571.428571428572</v>
      </c>
    </row>
    <row r="22" spans="1:5">
      <c r="A22" s="80"/>
      <c r="B22" s="299" t="s">
        <v>477</v>
      </c>
      <c r="C22" s="302">
        <v>15000</v>
      </c>
      <c r="D22" s="281">
        <v>1.4</v>
      </c>
      <c r="E22" s="303">
        <f>C22/D22*-1</f>
        <v>-10714.285714285716</v>
      </c>
    </row>
    <row r="23" spans="1:5">
      <c r="A23" s="304"/>
      <c r="B23" s="305"/>
      <c r="C23" s="306"/>
      <c r="D23" s="307" t="s">
        <v>478</v>
      </c>
      <c r="E23" s="308">
        <f>SUM(E21:E22)</f>
        <v>17857.142857142855</v>
      </c>
    </row>
    <row r="26" spans="1:5">
      <c r="A26" s="74"/>
      <c r="B26" s="78"/>
      <c r="C26" s="309"/>
      <c r="D26" s="78"/>
      <c r="E26" s="310"/>
    </row>
    <row r="27" spans="1:5">
      <c r="A27" s="311" t="s">
        <v>479</v>
      </c>
      <c r="C27" s="94" t="s">
        <v>480</v>
      </c>
      <c r="D27" s="283">
        <f>D4*-1</f>
        <v>-99488.749277957177</v>
      </c>
      <c r="E27" s="312">
        <f>D27</f>
        <v>-99488.749277957177</v>
      </c>
    </row>
    <row r="28" spans="1:5">
      <c r="A28" s="80"/>
      <c r="C28" s="94" t="s">
        <v>481</v>
      </c>
      <c r="D28" s="313">
        <f>D5*-1</f>
        <v>-39877.056338028167</v>
      </c>
      <c r="E28" s="312">
        <f t="shared" ref="E28:E33" si="0">E27+D28</f>
        <v>-139365.80561598536</v>
      </c>
    </row>
    <row r="29" spans="1:5">
      <c r="A29" s="80"/>
      <c r="C29" s="314" t="s">
        <v>482</v>
      </c>
      <c r="D29" s="315">
        <f>E23*-1</f>
        <v>-17857.142857142855</v>
      </c>
      <c r="E29" s="312">
        <f t="shared" si="0"/>
        <v>-157222.9484731282</v>
      </c>
    </row>
    <row r="30" spans="1:5">
      <c r="A30" s="316"/>
      <c r="D30" s="54"/>
      <c r="E30" s="312">
        <f t="shared" si="0"/>
        <v>-157222.9484731282</v>
      </c>
    </row>
    <row r="31" spans="1:5">
      <c r="A31" s="317"/>
      <c r="B31" s="318"/>
      <c r="C31" s="319" t="s">
        <v>483</v>
      </c>
      <c r="D31" s="320">
        <f>D16</f>
        <v>30660.405173329738</v>
      </c>
      <c r="E31" s="312">
        <f t="shared" si="0"/>
        <v>-126562.54329979846</v>
      </c>
    </row>
    <row r="32" spans="1:5">
      <c r="A32" s="80"/>
      <c r="C32" s="94"/>
      <c r="D32" s="284"/>
      <c r="E32" s="312">
        <f t="shared" si="0"/>
        <v>-126562.54329979846</v>
      </c>
    </row>
    <row r="33" spans="1:5">
      <c r="A33" s="321"/>
      <c r="B33" s="322"/>
      <c r="C33" s="323" t="s">
        <v>484</v>
      </c>
      <c r="D33" s="324"/>
      <c r="E33" s="325">
        <f t="shared" si="0"/>
        <v>-126562.54329979846</v>
      </c>
    </row>
    <row r="34" spans="1:5">
      <c r="A34" s="304"/>
      <c r="B34" s="90"/>
      <c r="C34" s="326" t="s">
        <v>485</v>
      </c>
      <c r="D34" s="327">
        <f>D4/E33</f>
        <v>-0.7860836759758415</v>
      </c>
      <c r="E34" s="91"/>
    </row>
    <row r="36" spans="1:5">
      <c r="A36" s="328"/>
    </row>
  </sheetData>
  <mergeCells count="1">
    <mergeCell ref="D1:E1"/>
  </mergeCells>
  <pageMargins left="0.62986111111111098" right="0.35416666666666702" top="0.78749999999999998" bottom="0.62986111111111098" header="0.511811023622047" footer="0.511811023622047"/>
  <pageSetup paperSize="9" pageOrder="overThenDown" orientation="portrait" useFirstPageNumber="1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8"/>
  <sheetViews>
    <sheetView zoomScaleNormal="100" workbookViewId="0"/>
  </sheetViews>
  <sheetFormatPr defaultColWidth="8.7109375" defaultRowHeight="12.75"/>
  <cols>
    <col min="2" max="2" width="15" customWidth="1"/>
    <col min="3" max="3" width="31.5703125" customWidth="1"/>
    <col min="4" max="4" width="20" customWidth="1"/>
    <col min="5" max="5" width="25" customWidth="1"/>
    <col min="6" max="6" width="9.140625" customWidth="1"/>
  </cols>
  <sheetData>
    <row r="1" spans="1:5">
      <c r="A1" s="329"/>
      <c r="D1" s="330"/>
      <c r="E1" s="235">
        <v>45234</v>
      </c>
    </row>
    <row r="3" spans="1:5" ht="18">
      <c r="C3" s="331"/>
      <c r="D3" s="332" t="s">
        <v>486</v>
      </c>
      <c r="E3" s="333">
        <v>450000</v>
      </c>
    </row>
    <row r="4" spans="1:5" ht="18">
      <c r="B4" s="334"/>
      <c r="C4" s="335"/>
      <c r="D4" s="336" t="s">
        <v>487</v>
      </c>
      <c r="E4" s="337" t="s">
        <v>186</v>
      </c>
    </row>
    <row r="5" spans="1:5" ht="18">
      <c r="C5" s="332"/>
      <c r="D5" s="338"/>
      <c r="E5" s="338"/>
    </row>
    <row r="6" spans="1:5" ht="18">
      <c r="B6" s="74"/>
      <c r="C6" s="339" t="s">
        <v>488</v>
      </c>
      <c r="D6" s="340">
        <v>0.5</v>
      </c>
      <c r="E6" s="341">
        <v>0.5</v>
      </c>
    </row>
    <row r="7" spans="1:5" ht="18">
      <c r="B7" s="304"/>
      <c r="C7" s="342" t="s">
        <v>489</v>
      </c>
      <c r="D7" s="343">
        <f>E3*0.5</f>
        <v>225000</v>
      </c>
      <c r="E7" s="344">
        <f>E3*0.5</f>
        <v>225000</v>
      </c>
    </row>
    <row r="8" spans="1:5" ht="18">
      <c r="C8" s="332"/>
      <c r="D8" s="345"/>
      <c r="E8" s="345"/>
    </row>
    <row r="9" spans="1:5" ht="18">
      <c r="B9" s="346"/>
      <c r="C9" s="347" t="s">
        <v>490</v>
      </c>
      <c r="D9" s="348">
        <f>'01-02-DGS'!E33</f>
        <v>-126562.54329979846</v>
      </c>
      <c r="E9" s="349">
        <f>D9*-1</f>
        <v>126562.54329979846</v>
      </c>
    </row>
    <row r="10" spans="1:5" ht="80.25" customHeight="1">
      <c r="C10" s="350"/>
      <c r="D10" s="351" t="s">
        <v>491</v>
      </c>
      <c r="E10" s="351" t="s">
        <v>492</v>
      </c>
    </row>
    <row r="11" spans="1:5" ht="18">
      <c r="B11" s="74"/>
      <c r="C11" s="339" t="s">
        <v>493</v>
      </c>
      <c r="D11" s="352">
        <f>SUM(D7:D9)</f>
        <v>98437.456700201539</v>
      </c>
      <c r="E11" s="353">
        <f>SUM(E7:E9)</f>
        <v>351562.54329979845</v>
      </c>
    </row>
    <row r="12" spans="1:5" ht="18">
      <c r="B12" s="304"/>
      <c r="C12" s="354" t="s">
        <v>494</v>
      </c>
      <c r="D12" s="355">
        <f>D11/E3</f>
        <v>0.21874990377822565</v>
      </c>
      <c r="E12" s="356">
        <f>E11/E3</f>
        <v>0.78125009622177433</v>
      </c>
    </row>
    <row r="13" spans="1:5" ht="60.75">
      <c r="B13" s="357"/>
      <c r="C13" s="358"/>
      <c r="D13" s="350" t="s">
        <v>495</v>
      </c>
      <c r="E13" s="351" t="s">
        <v>496</v>
      </c>
    </row>
    <row r="14" spans="1:5" ht="18">
      <c r="B14" s="74"/>
      <c r="C14" s="359" t="s">
        <v>497</v>
      </c>
      <c r="D14" s="352">
        <v>7485.3</v>
      </c>
      <c r="E14" s="353">
        <f>D14*-1</f>
        <v>-7485.3</v>
      </c>
    </row>
    <row r="15" spans="1:5" ht="18">
      <c r="B15" s="304"/>
      <c r="C15" s="360" t="s">
        <v>498</v>
      </c>
      <c r="D15" s="355">
        <f>D18-D12</f>
        <v>1.663400000000001E-2</v>
      </c>
      <c r="E15" s="361">
        <f>E18-E12</f>
        <v>-1.6633999999999927E-2</v>
      </c>
    </row>
    <row r="16" spans="1:5" ht="123.75" customHeight="1">
      <c r="B16" s="357"/>
      <c r="C16" s="358"/>
      <c r="D16" s="351" t="s">
        <v>499</v>
      </c>
      <c r="E16" s="351" t="s">
        <v>500</v>
      </c>
    </row>
    <row r="17" spans="2:5" ht="18">
      <c r="B17" s="362"/>
      <c r="C17" s="332" t="s">
        <v>501</v>
      </c>
      <c r="D17" s="363">
        <f>D11+D14</f>
        <v>105922.75670020154</v>
      </c>
      <c r="E17" s="364">
        <f>E11+E14</f>
        <v>344077.24329979846</v>
      </c>
    </row>
    <row r="18" spans="2:5" ht="18">
      <c r="B18" s="365"/>
      <c r="C18" s="366" t="s">
        <v>502</v>
      </c>
      <c r="D18" s="367">
        <f>D17/E3</f>
        <v>0.23538390377822566</v>
      </c>
      <c r="E18" s="368">
        <f>E17/E3</f>
        <v>0.7646160962217744</v>
      </c>
    </row>
    <row r="20" spans="2:5" ht="23.25">
      <c r="B20" s="369" t="s">
        <v>503</v>
      </c>
      <c r="C20" s="370"/>
      <c r="D20" s="78"/>
      <c r="E20" s="310"/>
    </row>
    <row r="21" spans="2:5" ht="23.25">
      <c r="B21" s="371" t="s">
        <v>504</v>
      </c>
      <c r="C21" s="372"/>
      <c r="D21" s="373">
        <f>D18</f>
        <v>0.23538390377822566</v>
      </c>
      <c r="E21" s="374">
        <f>E18</f>
        <v>0.7646160962217744</v>
      </c>
    </row>
    <row r="23" spans="2:5">
      <c r="B23" t="s">
        <v>505</v>
      </c>
    </row>
    <row r="24" spans="2:5">
      <c r="B24" t="s">
        <v>506</v>
      </c>
    </row>
    <row r="26" spans="2:5">
      <c r="B26" t="s">
        <v>507</v>
      </c>
    </row>
    <row r="27" spans="2:5">
      <c r="B27" t="s">
        <v>508</v>
      </c>
    </row>
    <row r="28" spans="2:5">
      <c r="B28" t="s">
        <v>509</v>
      </c>
    </row>
  </sheetData>
  <pageMargins left="0.25" right="0.25" top="0.75" bottom="0.75" header="0.3" footer="0.3"/>
  <pageSetup paperSize="9" pageOrder="overThenDown" orientation="portrait" useFirstPageNumber="1" horizontalDpi="300" verticalDpi="300"/>
  <headerFooter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477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2025-Dgs Adem Son (2)</vt:lpstr>
      <vt:lpstr>2025-Dgs</vt:lpstr>
      <vt:lpstr>01-DgsOLD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231</cp:revision>
  <cp:lastPrinted>2025-02-13T09:51:12Z</cp:lastPrinted>
  <dcterms:created xsi:type="dcterms:W3CDTF">2019-12-25T12:06:09Z</dcterms:created>
  <dcterms:modified xsi:type="dcterms:W3CDTF">2026-04-14T04:08:13Z</dcterms:modified>
  <dc:language>tr-TR</dc:language>
</cp:coreProperties>
</file>