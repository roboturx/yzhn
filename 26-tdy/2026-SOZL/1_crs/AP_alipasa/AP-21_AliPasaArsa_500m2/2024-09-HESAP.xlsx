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aGitMe\tdy\2024-SOZL\1_crs\AP_alipasa\AP-21_AliPasaArsa_500m2\"/>
    </mc:Choice>
  </mc:AlternateContent>
  <xr:revisionPtr revIDLastSave="0" documentId="13_ncr:1_{AD43A35E-351F-47AE-8742-FFC795A37060}" xr6:coauthVersionLast="47" xr6:coauthVersionMax="47" xr10:uidLastSave="{00000000-0000-0000-0000-000000000000}"/>
  <bookViews>
    <workbookView xWindow="-120" yWindow="-120" windowWidth="29040" windowHeight="15720" xr2:uid="{62B907C0-96B0-4DBC-830D-70CA903037E8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1" l="1"/>
  <c r="G6" i="1"/>
  <c r="E9" i="1" l="1"/>
  <c r="D23" i="1"/>
  <c r="D25" i="1" s="1"/>
  <c r="D27" i="1" s="1"/>
  <c r="E21" i="1"/>
  <c r="E23" i="1" s="1"/>
  <c r="E25" i="1" s="1"/>
  <c r="E27" i="1" s="1"/>
  <c r="G19" i="1"/>
  <c r="G7" i="1"/>
  <c r="E8" i="1" s="1"/>
  <c r="G8" i="1" s="1"/>
  <c r="G9" i="1" l="1"/>
  <c r="E20" i="1"/>
  <c r="G20" i="1" s="1"/>
  <c r="G21" i="1" s="1"/>
  <c r="E22" i="1" l="1"/>
  <c r="G22" i="1" s="1"/>
  <c r="G23" i="1" s="1"/>
  <c r="E24" i="1" l="1"/>
  <c r="G24" i="1" s="1"/>
  <c r="G25" i="1" s="1"/>
  <c r="E26" i="1" l="1"/>
  <c r="G26" i="1" s="1"/>
  <c r="G27" i="1" s="1"/>
</calcChain>
</file>

<file path=xl/sharedStrings.xml><?xml version="1.0" encoding="utf-8"?>
<sst xmlns="http://schemas.openxmlformats.org/spreadsheetml/2006/main" count="24" uniqueCount="15">
  <si>
    <t>kira bedeli</t>
  </si>
  <si>
    <t>2023-24 kira dönemi</t>
  </si>
  <si>
    <t>ödeme</t>
  </si>
  <si>
    <t>2024-2025 kira bedeli temmuz</t>
  </si>
  <si>
    <t>tüfe temmuz</t>
  </si>
  <si>
    <t>2024-2025 kira bedeli ağustos</t>
  </si>
  <si>
    <t>2024-2025 kira bedeli eylül</t>
  </si>
  <si>
    <t>2024-2025 kira bedeli ekim</t>
  </si>
  <si>
    <t>tüfe ağustos</t>
  </si>
  <si>
    <t>tüfe eylül</t>
  </si>
  <si>
    <t>tutar</t>
  </si>
  <si>
    <t>bakiye</t>
  </si>
  <si>
    <t>2023-2024 bakiye tüfe farkı</t>
  </si>
  <si>
    <t xml:space="preserve">adem kesici </t>
  </si>
  <si>
    <t>2024-2025 kira bedeli YILLIK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</si>
</sst>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4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0" applyNumberFormat="1"/>
    <xf numFmtId="9" fontId="0" fillId="0" borderId="0" xfId="1" applyFont="1"/>
    <xf numFmtId="4" fontId="0" fillId="0" borderId="0" xfId="0" applyNumberFormat="1"/>
    <xf numFmtId="10" fontId="0" fillId="0" borderId="0" xfId="1" applyNumberFormat="1" applyFont="1"/>
    <xf numFmtId="10" fontId="0" fillId="0" borderId="0" xfId="0" applyNumberFormat="1"/>
    <xf numFmtId="164" fontId="3" fillId="0" borderId="0" xfId="0" applyNumberFormat="1" applyFont="1"/>
    <xf numFmtId="0" fontId="3" fillId="0" borderId="0" xfId="0" applyFont="1"/>
    <xf numFmtId="4" fontId="2" fillId="0" borderId="1" xfId="0" applyNumberFormat="1" applyFont="1" applyBorder="1"/>
    <xf numFmtId="4" fontId="2" fillId="0" borderId="0" xfId="0" applyNumberFormat="1" applyFont="1" applyAlignment="1">
      <alignment horizontal="right"/>
    </xf>
  </cellXfs>
  <cellStyles count="2">
    <cellStyle name="Normal" xfId="0" builtinId="0"/>
    <cellStyle name="Yüzd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6B327-6FFE-45C6-B18E-CD734A0E679D}">
  <dimension ref="B2:G27"/>
  <sheetViews>
    <sheetView tabSelected="1" zoomScale="115" zoomScaleNormal="115" workbookViewId="0">
      <selection activeCell="G22" sqref="G22"/>
    </sheetView>
  </sheetViews>
  <sheetFormatPr defaultRowHeight="15" x14ac:dyDescent="0.25"/>
  <cols>
    <col min="2" max="2" width="9.140625" style="1"/>
    <col min="3" max="3" width="30" customWidth="1"/>
    <col min="4" max="4" width="9.42578125" customWidth="1"/>
    <col min="5" max="5" width="10.85546875" style="3" bestFit="1" customWidth="1"/>
    <col min="6" max="6" width="9.85546875" style="3" bestFit="1" customWidth="1"/>
    <col min="7" max="7" width="11.7109375" style="3" customWidth="1"/>
  </cols>
  <sheetData>
    <row r="2" spans="2:7" ht="15.75" x14ac:dyDescent="0.25">
      <c r="C2" s="6">
        <v>45560</v>
      </c>
    </row>
    <row r="3" spans="2:7" ht="15.75" x14ac:dyDescent="0.25">
      <c r="C3" s="7" t="s">
        <v>13</v>
      </c>
    </row>
    <row r="4" spans="2:7" x14ac:dyDescent="0.25">
      <c r="E4" s="9" t="s">
        <v>10</v>
      </c>
      <c r="F4" s="9" t="s">
        <v>2</v>
      </c>
      <c r="G4" s="9" t="s">
        <v>11</v>
      </c>
    </row>
    <row r="5" spans="2:7" x14ac:dyDescent="0.25">
      <c r="C5" t="s">
        <v>1</v>
      </c>
    </row>
    <row r="6" spans="2:7" x14ac:dyDescent="0.25">
      <c r="B6" s="1">
        <v>45107</v>
      </c>
      <c r="C6" t="s">
        <v>0</v>
      </c>
      <c r="E6" s="3">
        <v>100000</v>
      </c>
      <c r="G6" s="3">
        <f>E6</f>
        <v>100000</v>
      </c>
    </row>
    <row r="7" spans="2:7" x14ac:dyDescent="0.25">
      <c r="C7" t="s">
        <v>2</v>
      </c>
      <c r="F7" s="3">
        <v>50000</v>
      </c>
      <c r="G7" s="3">
        <f>G6-F7+E7</f>
        <v>50000</v>
      </c>
    </row>
    <row r="8" spans="2:7" ht="15.75" thickBot="1" x14ac:dyDescent="0.3">
      <c r="B8" s="1">
        <v>45473</v>
      </c>
      <c r="C8" t="s">
        <v>12</v>
      </c>
      <c r="D8" s="2">
        <v>0.65</v>
      </c>
      <c r="E8" s="3">
        <f>G7*D8</f>
        <v>32500</v>
      </c>
      <c r="G8" s="3">
        <f t="shared" ref="G8:G9" si="0">G7-F8+E8</f>
        <v>82500</v>
      </c>
    </row>
    <row r="9" spans="2:7" ht="15.75" thickBot="1" x14ac:dyDescent="0.3">
      <c r="B9" s="1">
        <v>45473</v>
      </c>
      <c r="C9" t="s">
        <v>14</v>
      </c>
      <c r="E9" s="3">
        <f>((E6*D8)+E6)</f>
        <v>165000</v>
      </c>
      <c r="G9" s="8">
        <f t="shared" si="0"/>
        <v>247500</v>
      </c>
    </row>
    <row r="14" spans="2:7" ht="15.75" x14ac:dyDescent="0.25">
      <c r="C14" s="6">
        <v>45560</v>
      </c>
    </row>
    <row r="15" spans="2:7" ht="15.75" x14ac:dyDescent="0.25">
      <c r="C15" s="7" t="s">
        <v>13</v>
      </c>
    </row>
    <row r="16" spans="2:7" x14ac:dyDescent="0.25">
      <c r="E16" s="3" t="s">
        <v>10</v>
      </c>
      <c r="F16" s="3" t="s">
        <v>2</v>
      </c>
      <c r="G16" s="3" t="s">
        <v>11</v>
      </c>
    </row>
    <row r="17" spans="2:7" x14ac:dyDescent="0.25">
      <c r="C17" t="s">
        <v>1</v>
      </c>
    </row>
    <row r="18" spans="2:7" x14ac:dyDescent="0.25">
      <c r="B18" s="1">
        <v>45107</v>
      </c>
      <c r="C18" t="s">
        <v>0</v>
      </c>
      <c r="E18" s="3">
        <v>100000</v>
      </c>
      <c r="G18" s="3">
        <f>E18</f>
        <v>100000</v>
      </c>
    </row>
    <row r="19" spans="2:7" x14ac:dyDescent="0.25">
      <c r="C19" t="s">
        <v>2</v>
      </c>
      <c r="F19" s="3">
        <v>50000</v>
      </c>
      <c r="G19" s="3">
        <f>G18-F19+E19</f>
        <v>50000</v>
      </c>
    </row>
    <row r="20" spans="2:7" x14ac:dyDescent="0.25">
      <c r="B20" s="1">
        <v>45473</v>
      </c>
      <c r="C20" t="s">
        <v>12</v>
      </c>
      <c r="D20" s="2">
        <v>0.65</v>
      </c>
      <c r="E20" s="3">
        <f>G19*D20</f>
        <v>32500</v>
      </c>
      <c r="G20" s="3">
        <f t="shared" ref="G20:G27" si="1">G19-F20+E20</f>
        <v>82500</v>
      </c>
    </row>
    <row r="21" spans="2:7" x14ac:dyDescent="0.25">
      <c r="B21" s="1">
        <v>45473</v>
      </c>
      <c r="C21" t="s">
        <v>3</v>
      </c>
      <c r="E21" s="3">
        <f>((E18*D20)+E18)/12</f>
        <v>13750</v>
      </c>
      <c r="G21" s="3">
        <f t="shared" si="1"/>
        <v>96250</v>
      </c>
    </row>
    <row r="22" spans="2:7" x14ac:dyDescent="0.25">
      <c r="B22" s="1">
        <v>45503</v>
      </c>
      <c r="C22" t="s">
        <v>4</v>
      </c>
      <c r="E22" s="3">
        <f>G21*D23</f>
        <v>5213.541666666667</v>
      </c>
      <c r="G22" s="3">
        <f t="shared" si="1"/>
        <v>101463.54166666667</v>
      </c>
    </row>
    <row r="23" spans="2:7" x14ac:dyDescent="0.25">
      <c r="B23" s="1">
        <v>45503</v>
      </c>
      <c r="C23" t="s">
        <v>5</v>
      </c>
      <c r="D23" s="4">
        <f>D20/12</f>
        <v>5.4166666666666669E-2</v>
      </c>
      <c r="E23" s="3">
        <f>E21+(E21*D23)</f>
        <v>14494.791666666666</v>
      </c>
      <c r="G23" s="3">
        <f t="shared" si="1"/>
        <v>115958.33333333334</v>
      </c>
    </row>
    <row r="24" spans="2:7" x14ac:dyDescent="0.25">
      <c r="B24" s="1">
        <v>45534</v>
      </c>
      <c r="C24" t="s">
        <v>8</v>
      </c>
      <c r="D24" s="5"/>
      <c r="E24" s="3">
        <f>G23*D25</f>
        <v>6281.0763888888896</v>
      </c>
      <c r="G24" s="3">
        <f t="shared" si="1"/>
        <v>122239.40972222223</v>
      </c>
    </row>
    <row r="25" spans="2:7" x14ac:dyDescent="0.25">
      <c r="B25" s="1">
        <v>45534</v>
      </c>
      <c r="C25" t="s">
        <v>6</v>
      </c>
      <c r="D25" s="4">
        <f>D23</f>
        <v>5.4166666666666669E-2</v>
      </c>
      <c r="E25" s="3">
        <f>E23+(E23*D25)</f>
        <v>15279.926215277777</v>
      </c>
      <c r="G25" s="3">
        <f t="shared" si="1"/>
        <v>137519.3359375</v>
      </c>
    </row>
    <row r="26" spans="2:7" ht="15.75" thickBot="1" x14ac:dyDescent="0.3">
      <c r="B26" s="1">
        <v>45565</v>
      </c>
      <c r="C26" t="s">
        <v>9</v>
      </c>
      <c r="D26" s="5"/>
      <c r="E26" s="3">
        <f>G25*D27</f>
        <v>7448.964029947917</v>
      </c>
      <c r="G26" s="3">
        <f t="shared" si="1"/>
        <v>144968.29996744791</v>
      </c>
    </row>
    <row r="27" spans="2:7" ht="15.75" thickBot="1" x14ac:dyDescent="0.3">
      <c r="B27" s="1">
        <v>45565</v>
      </c>
      <c r="C27" t="s">
        <v>7</v>
      </c>
      <c r="D27" s="4">
        <f>D25</f>
        <v>5.4166666666666669E-2</v>
      </c>
      <c r="E27" s="3">
        <f>E25+(E25*D27)</f>
        <v>16107.588885271991</v>
      </c>
      <c r="G27" s="8">
        <f t="shared" si="1"/>
        <v>161075.88885271989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</dc:creator>
  <cp:lastModifiedBy>m</cp:lastModifiedBy>
  <dcterms:created xsi:type="dcterms:W3CDTF">2024-09-25T16:19:29Z</dcterms:created>
  <dcterms:modified xsi:type="dcterms:W3CDTF">2024-09-26T01:30:49Z</dcterms:modified>
</cp:coreProperties>
</file>