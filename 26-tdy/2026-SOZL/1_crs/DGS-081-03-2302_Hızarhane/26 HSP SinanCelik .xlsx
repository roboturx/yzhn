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tdy\2026-SOZL\1_crs\DGS-081-03-2302_Hızarhane\"/>
    </mc:Choice>
  </mc:AlternateContent>
  <xr:revisionPtr revIDLastSave="0" documentId="13_ncr:1_{A5FA6912-BC24-43A2-B8E3-02AA04C16F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7" i="4" l="1"/>
  <c r="D247" i="4"/>
  <c r="O231" i="4" s="1"/>
  <c r="G246" i="4"/>
  <c r="D245" i="4"/>
  <c r="G231" i="4" s="1"/>
  <c r="G244" i="4"/>
  <c r="G243" i="4"/>
  <c r="G242" i="4"/>
  <c r="G241" i="4"/>
  <c r="G239" i="4"/>
  <c r="D235" i="4"/>
  <c r="J231" i="4" s="1"/>
  <c r="D234" i="4"/>
  <c r="I231" i="4" s="1"/>
  <c r="D232" i="4"/>
  <c r="M231" i="4" s="1"/>
  <c r="G226" i="4"/>
  <c r="D226" i="4"/>
  <c r="G225" i="4"/>
  <c r="D224" i="4"/>
  <c r="G210" i="4" s="1"/>
  <c r="F212" i="4" s="1"/>
  <c r="G223" i="4"/>
  <c r="G222" i="4"/>
  <c r="G221" i="4"/>
  <c r="G220" i="4"/>
  <c r="G218" i="4"/>
  <c r="D214" i="4"/>
  <c r="J210" i="4" s="1"/>
  <c r="D213" i="4"/>
  <c r="I210" i="4" s="1"/>
  <c r="D211" i="4"/>
  <c r="M210" i="4" s="1"/>
  <c r="O210" i="4"/>
  <c r="G205" i="4"/>
  <c r="D205" i="4"/>
  <c r="G204" i="4"/>
  <c r="D203" i="4"/>
  <c r="G189" i="4" s="1"/>
  <c r="G202" i="4"/>
  <c r="G201" i="4"/>
  <c r="G200" i="4"/>
  <c r="G199" i="4"/>
  <c r="G197" i="4"/>
  <c r="D193" i="4"/>
  <c r="J189" i="4" s="1"/>
  <c r="D192" i="4"/>
  <c r="I189" i="4" s="1"/>
  <c r="D190" i="4"/>
  <c r="M189" i="4" s="1"/>
  <c r="O189" i="4"/>
  <c r="G185" i="4"/>
  <c r="D185" i="4"/>
  <c r="G184" i="4"/>
  <c r="D183" i="4"/>
  <c r="G169" i="4" s="1"/>
  <c r="F171" i="4" s="1"/>
  <c r="G182" i="4"/>
  <c r="G181" i="4"/>
  <c r="G180" i="4"/>
  <c r="G179" i="4"/>
  <c r="G177" i="4"/>
  <c r="D173" i="4"/>
  <c r="J169" i="4" s="1"/>
  <c r="D172" i="4"/>
  <c r="I169" i="4" s="1"/>
  <c r="D170" i="4"/>
  <c r="M169" i="4" s="1"/>
  <c r="O169" i="4"/>
  <c r="G164" i="4"/>
  <c r="D164" i="4"/>
  <c r="G163" i="4"/>
  <c r="D162" i="4"/>
  <c r="G148" i="4" s="1"/>
  <c r="G161" i="4"/>
  <c r="G160" i="4"/>
  <c r="G159" i="4"/>
  <c r="G158" i="4"/>
  <c r="G156" i="4"/>
  <c r="D152" i="4"/>
  <c r="J148" i="4" s="1"/>
  <c r="D151" i="4"/>
  <c r="I148" i="4" s="1"/>
  <c r="D149" i="4"/>
  <c r="M148" i="4" s="1"/>
  <c r="O148" i="4"/>
  <c r="G143" i="4"/>
  <c r="D143" i="4"/>
  <c r="G142" i="4"/>
  <c r="D141" i="4"/>
  <c r="G127" i="4" s="1"/>
  <c r="F129" i="4" s="1"/>
  <c r="G140" i="4"/>
  <c r="G139" i="4"/>
  <c r="G138" i="4"/>
  <c r="G137" i="4"/>
  <c r="G135" i="4"/>
  <c r="D131" i="4"/>
  <c r="D130" i="4"/>
  <c r="D128" i="4"/>
  <c r="M127" i="4" s="1"/>
  <c r="O127" i="4"/>
  <c r="J127" i="4"/>
  <c r="I127" i="4"/>
  <c r="G123" i="4"/>
  <c r="D123" i="4"/>
  <c r="G122" i="4"/>
  <c r="D121" i="4"/>
  <c r="G107" i="4" s="1"/>
  <c r="G120" i="4"/>
  <c r="G119" i="4"/>
  <c r="G118" i="4"/>
  <c r="G117" i="4"/>
  <c r="G115" i="4"/>
  <c r="D113" i="4"/>
  <c r="G114" i="4" s="1"/>
  <c r="D111" i="4"/>
  <c r="J107" i="4" s="1"/>
  <c r="D110" i="4"/>
  <c r="I107" i="4" s="1"/>
  <c r="D108" i="4"/>
  <c r="M107" i="4" s="1"/>
  <c r="O107" i="4"/>
  <c r="E106" i="4"/>
  <c r="G102" i="4"/>
  <c r="D102" i="4"/>
  <c r="G101" i="4"/>
  <c r="D100" i="4"/>
  <c r="G86" i="4" s="1"/>
  <c r="G99" i="4"/>
  <c r="G98" i="4"/>
  <c r="G97" i="4"/>
  <c r="G96" i="4"/>
  <c r="G94" i="4"/>
  <c r="G93" i="4"/>
  <c r="D92" i="4"/>
  <c r="D90" i="4"/>
  <c r="D89" i="4"/>
  <c r="I86" i="4" s="1"/>
  <c r="D87" i="4"/>
  <c r="M86" i="4" s="1"/>
  <c r="O86" i="4"/>
  <c r="J86" i="4"/>
  <c r="G81" i="4"/>
  <c r="D81" i="4"/>
  <c r="G80" i="4"/>
  <c r="D79" i="4"/>
  <c r="G65" i="4" s="1"/>
  <c r="F67" i="4" s="1"/>
  <c r="G78" i="4"/>
  <c r="G77" i="4"/>
  <c r="G76" i="4"/>
  <c r="G75" i="4"/>
  <c r="G73" i="4"/>
  <c r="D69" i="4"/>
  <c r="D68" i="4"/>
  <c r="D66" i="4"/>
  <c r="M65" i="4" s="1"/>
  <c r="O65" i="4"/>
  <c r="J65" i="4"/>
  <c r="I65" i="4"/>
  <c r="G61" i="4"/>
  <c r="D61" i="4"/>
  <c r="G60" i="4"/>
  <c r="D59" i="4"/>
  <c r="G45" i="4" s="1"/>
  <c r="G58" i="4"/>
  <c r="G57" i="4"/>
  <c r="G56" i="4"/>
  <c r="G55" i="4"/>
  <c r="G53" i="4"/>
  <c r="D49" i="4"/>
  <c r="J45" i="4" s="1"/>
  <c r="D48" i="4"/>
  <c r="I45" i="4" s="1"/>
  <c r="D46" i="4"/>
  <c r="M45" i="4" s="1"/>
  <c r="O45" i="4"/>
  <c r="G40" i="4"/>
  <c r="D40" i="4"/>
  <c r="G39" i="4"/>
  <c r="D38" i="4"/>
  <c r="G24" i="4" s="1"/>
  <c r="F26" i="4" s="1"/>
  <c r="G37" i="4"/>
  <c r="G36" i="4"/>
  <c r="G35" i="4"/>
  <c r="G34" i="4"/>
  <c r="G32" i="4"/>
  <c r="D28" i="4"/>
  <c r="J24" i="4" s="1"/>
  <c r="D27" i="4"/>
  <c r="I24" i="4" s="1"/>
  <c r="D25" i="4"/>
  <c r="M24" i="4" s="1"/>
  <c r="O24" i="4"/>
  <c r="G19" i="4"/>
  <c r="D19" i="4"/>
  <c r="G18" i="4"/>
  <c r="D17" i="4"/>
  <c r="G3" i="4" s="1"/>
  <c r="F5" i="4" s="1"/>
  <c r="G16" i="4"/>
  <c r="G15" i="4"/>
  <c r="G14" i="4"/>
  <c r="G13" i="4"/>
  <c r="G11" i="4"/>
  <c r="G10" i="4"/>
  <c r="D9" i="4"/>
  <c r="D175" i="4" s="1"/>
  <c r="D7" i="4"/>
  <c r="D6" i="4"/>
  <c r="I3" i="4" s="1"/>
  <c r="D4" i="4"/>
  <c r="M3" i="4" s="1"/>
  <c r="O3" i="4"/>
  <c r="J3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F4" i="3"/>
  <c r="F3" i="3"/>
  <c r="G7" i="1"/>
  <c r="G8" i="1" s="1"/>
  <c r="G9" i="1" s="1"/>
  <c r="G10" i="1" l="1"/>
  <c r="G176" i="4"/>
  <c r="E168" i="4"/>
  <c r="F233" i="4"/>
  <c r="F109" i="4"/>
  <c r="F150" i="4"/>
  <c r="F47" i="4"/>
  <c r="F191" i="4"/>
  <c r="F88" i="4"/>
  <c r="E85" i="4"/>
  <c r="D154" i="4"/>
  <c r="D133" i="4"/>
  <c r="E2" i="4"/>
  <c r="D71" i="4"/>
  <c r="D237" i="4"/>
  <c r="D51" i="4"/>
  <c r="D216" i="4"/>
  <c r="D30" i="4"/>
  <c r="D195" i="4"/>
  <c r="G196" i="4" l="1"/>
  <c r="E188" i="4"/>
  <c r="E147" i="4"/>
  <c r="G155" i="4"/>
  <c r="E23" i="4"/>
  <c r="G31" i="4"/>
  <c r="E44" i="4"/>
  <c r="G52" i="4"/>
  <c r="G238" i="4"/>
  <c r="E230" i="4"/>
  <c r="G72" i="4"/>
  <c r="E64" i="4"/>
  <c r="E126" i="4"/>
  <c r="G134" i="4"/>
  <c r="G217" i="4"/>
  <c r="E209" i="4"/>
</calcChain>
</file>

<file path=xl/sharedStrings.xml><?xml version="1.0" encoding="utf-8"?>
<sst xmlns="http://schemas.openxmlformats.org/spreadsheetml/2006/main" count="262" uniqueCount="83">
  <si>
    <t>tutar</t>
  </si>
  <si>
    <t>bakiye</t>
  </si>
  <si>
    <t>Alacaklı Adı Soyadı / Unvanı</t>
  </si>
  <si>
    <t>HACI MURAT BALCI</t>
  </si>
  <si>
    <t>İl</t>
  </si>
  <si>
    <t>TOKAT</t>
  </si>
  <si>
    <t>BORÇLU</t>
  </si>
  <si>
    <t>Kişilik</t>
  </si>
  <si>
    <t>Tüzel Kişi</t>
  </si>
  <si>
    <t>Adı Soyadı / Unvanı</t>
  </si>
  <si>
    <t>Bursa Fabrika Satış Mağazası – Adem Duman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</si>
  <si>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</si>
  <si>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</si>
  <si>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</si>
  <si>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</si>
  <si>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</si>
  <si>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</si>
  <si>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</si>
  <si>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</si>
  <si>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</si>
  <si>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</si>
  <si>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</si>
  <si>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</si>
  <si>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</si>
  <si>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</si>
  <si>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</si>
  <si>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</si>
  <si>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</si>
  <si>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</si>
  <si>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</si>
  <si>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</si>
  <si>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</si>
  <si>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</si>
  <si>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</si>
  <si>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</si>
  <si>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</si>
  <si>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</si>
  <si>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</si>
  <si>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</si>
  <si>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12.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</si>
  <si>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</si>
  <si>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</si>
  <si>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</si>
  <si>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</si>
  <si>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</si>
  <si>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</si>
  <si>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</si>
  <si>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</si>
  <si>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</si>
  <si>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</si>
  <si>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</si>
  <si>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</si>
  <si>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Sinan ÇELİK</t>
  </si>
  <si>
    <t>HESAP ÖZETİ</t>
  </si>
  <si>
    <t>2026 kira bedeli</t>
  </si>
  <si>
    <t>Senet 30000 TL</t>
  </si>
  <si>
    <t>ilk ödeme</t>
  </si>
  <si>
    <t>indirim</t>
  </si>
  <si>
    <t>2027 kira bedeli</t>
  </si>
  <si>
    <t>420000+tüfe artışı</t>
  </si>
  <si>
    <t xml:space="preserve">Senet 30000 TL </t>
  </si>
  <si>
    <t>2026 3-4-5</t>
  </si>
  <si>
    <t>2026-6</t>
  </si>
  <si>
    <t>2027-7</t>
  </si>
  <si>
    <t>2026-7</t>
  </si>
  <si>
    <t>2026-8</t>
  </si>
  <si>
    <t>2026-9</t>
  </si>
  <si>
    <t>2026-10</t>
  </si>
  <si>
    <t>2026-11</t>
  </si>
  <si>
    <t>2026-12</t>
  </si>
  <si>
    <t>2027-1</t>
  </si>
  <si>
    <t>2027-2</t>
  </si>
  <si>
    <t>2027-3</t>
  </si>
  <si>
    <t>2027-4</t>
  </si>
  <si>
    <t>2027-5</t>
  </si>
  <si>
    <t>2027-6</t>
  </si>
  <si>
    <t>2027-8</t>
  </si>
  <si>
    <t>2027-9</t>
  </si>
  <si>
    <t>2027-10</t>
  </si>
  <si>
    <t>2027-11</t>
  </si>
  <si>
    <t>2027-12</t>
  </si>
  <si>
    <t>01-01-2026 / 31-12-2026</t>
  </si>
  <si>
    <t xml:space="preserve">ilk 2 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</si>
</sst>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_-* #,##0.00&quot; ₺&quot;_-;\-* #,##0.00&quot; ₺&quot;_-;_-* \-??&quot; ₺&quot;_-;_-@_-"/>
    <numFmt numFmtId="166" formatCode="_-* #,##0.00\ _₺_-;\-* #,##0.00\ _₺_-;_-* \-??\ _₺_-;_-@_-"/>
    <numFmt numFmtId="167" formatCode="#,##0_ ;\-#,##0\ "/>
  </numFmts>
  <fonts count="14" x14ac:knownFonts="1"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1"/>
      <color rgb="FF000000"/>
      <name val="Calibri"/>
      <family val="2"/>
      <charset val="162"/>
    </font>
    <font>
      <sz val="8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6" fontId="12" fillId="0" borderId="0" applyBorder="0" applyProtection="0"/>
    <xf numFmtId="165" fontId="12" fillId="0" borderId="0" applyBorder="0" applyProtection="0"/>
  </cellStyleXfs>
  <cellXfs count="80">
    <xf numFmtId="0" fontId="0" fillId="0" borderId="0" xfId="0"/>
    <xf numFmtId="164" fontId="4" fillId="0" borderId="3" xfId="0" applyNumberFormat="1" applyFont="1" applyBorder="1" applyAlignment="1" applyProtection="1">
      <alignment horizontal="left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4" fillId="0" borderId="12" xfId="0" applyFont="1" applyBorder="1" applyAlignment="1" applyProtection="1">
      <alignment horizontal="left"/>
      <protection hidden="1"/>
    </xf>
    <xf numFmtId="0" fontId="4" fillId="0" borderId="0" xfId="0" applyFont="1" applyBorder="1" applyAlignment="1" applyProtection="1">
      <alignment horizontal="left"/>
      <protection hidden="1"/>
    </xf>
    <xf numFmtId="0" fontId="4" fillId="0" borderId="0" xfId="0" applyFont="1" applyBorder="1" applyAlignment="1" applyProtection="1">
      <alignment horizontal="left" vertical="top" wrapText="1"/>
      <protection hidden="1"/>
    </xf>
    <xf numFmtId="0" fontId="5" fillId="0" borderId="3" xfId="0" applyFont="1" applyBorder="1" applyAlignment="1" applyProtection="1">
      <alignment horizontal="left" readingOrder="1"/>
      <protection hidden="1"/>
    </xf>
    <xf numFmtId="0" fontId="4" fillId="0" borderId="11" xfId="0" applyFont="1" applyBorder="1" applyAlignment="1" applyProtection="1">
      <alignment horizontal="center" vertical="center" textRotation="90"/>
      <protection hidden="1"/>
    </xf>
    <xf numFmtId="4" fontId="4" fillId="0" borderId="9" xfId="0" applyNumberFormat="1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justify" vertical="top" wrapText="1"/>
      <protection hidden="1"/>
    </xf>
    <xf numFmtId="0" fontId="6" fillId="0" borderId="0" xfId="0" applyFont="1" applyBorder="1" applyAlignment="1" applyProtection="1">
      <alignment horizontal="center" vertical="center" textRotation="90" wrapText="1"/>
      <protection hidden="1"/>
    </xf>
    <xf numFmtId="0" fontId="1" fillId="0" borderId="0" xfId="0" applyFont="1" applyBorder="1" applyAlignment="1" applyProtection="1">
      <alignment horizontal="center" vertical="center" textRotation="90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/>
    <xf numFmtId="0" fontId="0" fillId="0" borderId="0" xfId="0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hidden="1"/>
    </xf>
    <xf numFmtId="0" fontId="2" fillId="0" borderId="0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justify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Border="1" applyAlignment="1" applyProtection="1">
      <alignment horizontal="right" vertical="center"/>
      <protection hidden="1"/>
    </xf>
    <xf numFmtId="164" fontId="3" fillId="0" borderId="0" xfId="0" applyNumberFormat="1" applyFont="1" applyBorder="1" applyAlignment="1" applyProtection="1">
      <alignment horizontal="center" vertical="center"/>
      <protection locked="0"/>
    </xf>
    <xf numFmtId="4" fontId="3" fillId="0" borderId="0" xfId="2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4" fillId="0" borderId="0" xfId="0" applyFont="1" applyBorder="1" applyProtection="1">
      <protection hidden="1"/>
    </xf>
    <xf numFmtId="0" fontId="4" fillId="0" borderId="2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4" fillId="0" borderId="0" xfId="0" applyFont="1"/>
    <xf numFmtId="0" fontId="4" fillId="0" borderId="7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5" xfId="0" applyFont="1" applyBorder="1" applyProtection="1"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>
      <alignment horizontal="center"/>
    </xf>
    <xf numFmtId="164" fontId="8" fillId="0" borderId="0" xfId="0" applyNumberFormat="1" applyFont="1" applyBorder="1" applyAlignment="1" applyProtection="1">
      <alignment horizontal="center"/>
      <protection hidden="1"/>
    </xf>
    <xf numFmtId="0" fontId="8" fillId="0" borderId="0" xfId="0" applyFont="1" applyBorder="1" applyProtection="1">
      <protection hidden="1"/>
    </xf>
    <xf numFmtId="167" fontId="8" fillId="0" borderId="0" xfId="1" applyNumberFormat="1" applyFont="1" applyBorder="1" applyAlignment="1" applyProtection="1">
      <alignment horizontal="center" vertical="center"/>
      <protection hidden="1"/>
    </xf>
    <xf numFmtId="1" fontId="8" fillId="0" borderId="0" xfId="0" applyNumberFormat="1" applyFont="1" applyBorder="1" applyAlignment="1" applyProtection="1">
      <alignment horizontal="center"/>
      <protection hidden="1"/>
    </xf>
    <xf numFmtId="0" fontId="9" fillId="0" borderId="0" xfId="0" applyFont="1" applyBorder="1" applyAlignment="1" applyProtection="1">
      <alignment horizontal="center"/>
      <protection hidden="1"/>
    </xf>
    <xf numFmtId="164" fontId="4" fillId="0" borderId="0" xfId="0" applyNumberFormat="1" applyFont="1" applyBorder="1" applyAlignment="1" applyProtection="1">
      <alignment horizontal="center"/>
      <protection hidden="1"/>
    </xf>
    <xf numFmtId="0" fontId="4" fillId="0" borderId="7" xfId="0" applyFont="1" applyBorder="1" applyProtection="1"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167" fontId="10" fillId="0" borderId="10" xfId="1" applyNumberFormat="1" applyFont="1" applyBorder="1" applyAlignment="1" applyProtection="1">
      <alignment horizontal="center"/>
      <protection hidden="1"/>
    </xf>
    <xf numFmtId="0" fontId="10" fillId="0" borderId="9" xfId="0" applyFont="1" applyBorder="1" applyAlignment="1" applyProtection="1">
      <alignment horizontal="center"/>
      <protection hidden="1"/>
    </xf>
    <xf numFmtId="0" fontId="11" fillId="0" borderId="8" xfId="0" applyFont="1" applyBorder="1" applyAlignment="1" applyProtection="1">
      <alignment horizontal="center"/>
      <protection hidden="1"/>
    </xf>
    <xf numFmtId="0" fontId="4" fillId="0" borderId="5" xfId="0" applyFont="1" applyBorder="1"/>
    <xf numFmtId="0" fontId="4" fillId="0" borderId="5" xfId="0" applyFont="1" applyBorder="1" applyAlignment="1" applyProtection="1">
      <alignment horizontal="left" vertical="top"/>
      <protection hidden="1"/>
    </xf>
    <xf numFmtId="0" fontId="4" fillId="0" borderId="0" xfId="0" applyFont="1" applyBorder="1" applyAlignment="1" applyProtection="1">
      <alignment horizontal="left" vertical="top"/>
      <protection hidden="1"/>
    </xf>
    <xf numFmtId="0" fontId="4" fillId="0" borderId="12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3" xfId="0" applyFont="1" applyBorder="1"/>
    <xf numFmtId="164" fontId="4" fillId="0" borderId="9" xfId="0" applyNumberFormat="1" applyFont="1" applyBorder="1" applyAlignment="1" applyProtection="1">
      <alignment horizontal="center"/>
      <protection hidden="1"/>
    </xf>
    <xf numFmtId="0" fontId="4" fillId="0" borderId="14" xfId="0" applyFont="1" applyBorder="1" applyProtection="1">
      <protection hidden="1"/>
    </xf>
    <xf numFmtId="4" fontId="1" fillId="0" borderId="15" xfId="0" applyNumberFormat="1" applyFont="1" applyBorder="1"/>
    <xf numFmtId="4" fontId="1" fillId="0" borderId="0" xfId="0" applyNumberFormat="1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1343160</xdr:colOff>
      <xdr:row>1</xdr:row>
      <xdr:rowOff>20520</xdr:rowOff>
    </xdr:from>
    <xdr:to>
      <xdr:col>5</xdr:col>
      <xdr:colOff>66240</xdr:colOff>
      <xdr:row>19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88640" y="322560"/>
          <a:ext cx="2460240" cy="544104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21</xdr:row>
      <xdr:rowOff>264600</xdr:rowOff>
    </xdr:from>
    <xdr:to>
      <xdr:col>5</xdr:col>
      <xdr:colOff>66240</xdr:colOff>
      <xdr:row>40</xdr:row>
      <xdr:rowOff>13320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88640" y="6611760"/>
          <a:ext cx="2460240" cy="54918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43</xdr:row>
      <xdr:rowOff>57960</xdr:rowOff>
    </xdr:from>
    <xdr:to>
      <xdr:col>5</xdr:col>
      <xdr:colOff>66240</xdr:colOff>
      <xdr:row>61</xdr:row>
      <xdr:rowOff>18360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88640" y="13055040"/>
          <a:ext cx="2460240" cy="540108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63</xdr:row>
      <xdr:rowOff>58320</xdr:rowOff>
    </xdr:from>
    <xdr:to>
      <xdr:col>5</xdr:col>
      <xdr:colOff>66240</xdr:colOff>
      <xdr:row>81</xdr:row>
      <xdr:rowOff>18720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988640" y="19100520"/>
          <a:ext cx="2460240" cy="540108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84</xdr:row>
      <xdr:rowOff>58320</xdr:rowOff>
    </xdr:from>
    <xdr:to>
      <xdr:col>5</xdr:col>
      <xdr:colOff>66240</xdr:colOff>
      <xdr:row>102</xdr:row>
      <xdr:rowOff>18720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988640" y="25448040"/>
          <a:ext cx="2460240" cy="540108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105</xdr:row>
      <xdr:rowOff>9360</xdr:rowOff>
    </xdr:from>
    <xdr:to>
      <xdr:col>5</xdr:col>
      <xdr:colOff>66600</xdr:colOff>
      <xdr:row>123</xdr:row>
      <xdr:rowOff>13680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988640" y="3174660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125</xdr:row>
      <xdr:rowOff>9360</xdr:rowOff>
    </xdr:from>
    <xdr:to>
      <xdr:col>5</xdr:col>
      <xdr:colOff>66600</xdr:colOff>
      <xdr:row>143</xdr:row>
      <xdr:rowOff>13680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988640" y="3779172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146</xdr:row>
      <xdr:rowOff>9360</xdr:rowOff>
    </xdr:from>
    <xdr:to>
      <xdr:col>5</xdr:col>
      <xdr:colOff>66600</xdr:colOff>
      <xdr:row>164</xdr:row>
      <xdr:rowOff>13680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988640" y="4413924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167</xdr:row>
      <xdr:rowOff>9360</xdr:rowOff>
    </xdr:from>
    <xdr:to>
      <xdr:col>5</xdr:col>
      <xdr:colOff>66600</xdr:colOff>
      <xdr:row>185</xdr:row>
      <xdr:rowOff>13680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988640" y="5048676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187</xdr:row>
      <xdr:rowOff>9360</xdr:rowOff>
    </xdr:from>
    <xdr:to>
      <xdr:col>5</xdr:col>
      <xdr:colOff>66600</xdr:colOff>
      <xdr:row>205</xdr:row>
      <xdr:rowOff>13680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988640" y="5653188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208</xdr:row>
      <xdr:rowOff>9360</xdr:rowOff>
    </xdr:from>
    <xdr:to>
      <xdr:col>5</xdr:col>
      <xdr:colOff>66600</xdr:colOff>
      <xdr:row>226</xdr:row>
      <xdr:rowOff>13680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988640" y="6287940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1343160</xdr:colOff>
      <xdr:row>229</xdr:row>
      <xdr:rowOff>9720</xdr:rowOff>
    </xdr:from>
    <xdr:to>
      <xdr:col>5</xdr:col>
      <xdr:colOff>66600</xdr:colOff>
      <xdr:row>247</xdr:row>
      <xdr:rowOff>14040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988640" y="69226920"/>
          <a:ext cx="2460600" cy="5445000"/>
        </a:xfrm>
        <a:prstGeom prst="bracePair">
          <a:avLst>
            <a:gd name="adj" fmla="val 8333"/>
          </a:avLst>
        </a:prstGeom>
        <a:noFill/>
        <a:ln w="0">
          <a:solidFill>
            <a:srgbClr val="4A7EBB"/>
          </a:solidFill>
        </a:ln>
        <a:effectLst>
          <a:glow rad="63360">
            <a:srgbClr val="A8E034">
              <a:alpha val="40000"/>
            </a:srgbClr>
          </a:glow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4"/>
  <sheetViews>
    <sheetView tabSelected="1" zoomScale="220" zoomScaleNormal="220" workbookViewId="0">
      <selection activeCell="G19" sqref="G19"/>
    </sheetView>
  </sheetViews>
  <sheetFormatPr defaultColWidth="11.5703125" defaultRowHeight="15" x14ac:dyDescent="0.25"/>
  <cols>
    <col min="1" max="1" width="4.85546875" customWidth="1"/>
    <col min="3" max="3" width="16.85546875" customWidth="1"/>
    <col min="4" max="4" width="9.85546875" bestFit="1" customWidth="1"/>
    <col min="5" max="5" width="9.85546875" customWidth="1"/>
    <col min="6" max="6" width="11.5703125" style="15"/>
  </cols>
  <sheetData>
    <row r="2" spans="1:7" x14ac:dyDescent="0.25">
      <c r="B2" t="s">
        <v>52</v>
      </c>
    </row>
    <row r="3" spans="1:7" x14ac:dyDescent="0.25">
      <c r="B3" s="16"/>
    </row>
    <row r="4" spans="1:7" x14ac:dyDescent="0.25">
      <c r="C4" t="s">
        <v>53</v>
      </c>
    </row>
    <row r="5" spans="1:7" x14ac:dyDescent="0.25">
      <c r="F5" s="17" t="s">
        <v>0</v>
      </c>
      <c r="G5" s="18" t="s">
        <v>1</v>
      </c>
    </row>
    <row r="6" spans="1:7" x14ac:dyDescent="0.25">
      <c r="C6" t="s">
        <v>81</v>
      </c>
      <c r="F6" s="17"/>
      <c r="G6" s="18"/>
    </row>
    <row r="7" spans="1:7" x14ac:dyDescent="0.25">
      <c r="B7" s="19"/>
      <c r="C7" t="s">
        <v>54</v>
      </c>
      <c r="F7">
        <v>420000</v>
      </c>
      <c r="G7" s="15">
        <f>F7</f>
        <v>420000</v>
      </c>
    </row>
    <row r="8" spans="1:7" x14ac:dyDescent="0.25">
      <c r="B8" s="19"/>
      <c r="C8" t="s">
        <v>82</v>
      </c>
      <c r="F8">
        <v>-60000</v>
      </c>
      <c r="G8" s="15">
        <f>G7+F8</f>
        <v>360000</v>
      </c>
    </row>
    <row r="9" spans="1:7" ht="15.75" thickBot="1" x14ac:dyDescent="0.3">
      <c r="B9" s="19"/>
      <c r="C9" t="s">
        <v>57</v>
      </c>
      <c r="F9">
        <v>-60000</v>
      </c>
      <c r="G9" s="78">
        <f>G8+F9</f>
        <v>300000</v>
      </c>
    </row>
    <row r="10" spans="1:7" ht="15.75" thickTop="1" x14ac:dyDescent="0.25">
      <c r="B10" s="19">
        <v>46045</v>
      </c>
      <c r="C10" t="s">
        <v>56</v>
      </c>
      <c r="D10" t="s">
        <v>61</v>
      </c>
      <c r="F10" s="16">
        <v>-90000</v>
      </c>
      <c r="G10" s="79">
        <f>G9+F10</f>
        <v>210000</v>
      </c>
    </row>
    <row r="11" spans="1:7" x14ac:dyDescent="0.25">
      <c r="A11">
        <v>1</v>
      </c>
      <c r="B11" s="19">
        <v>46111</v>
      </c>
      <c r="C11" t="s">
        <v>60</v>
      </c>
      <c r="D11" t="s">
        <v>62</v>
      </c>
      <c r="F11"/>
      <c r="G11" s="15"/>
    </row>
    <row r="12" spans="1:7" x14ac:dyDescent="0.25">
      <c r="A12">
        <v>2</v>
      </c>
      <c r="B12" s="19">
        <v>46142</v>
      </c>
      <c r="C12" t="s">
        <v>55</v>
      </c>
      <c r="D12" t="s">
        <v>64</v>
      </c>
    </row>
    <row r="13" spans="1:7" x14ac:dyDescent="0.25">
      <c r="A13">
        <v>3</v>
      </c>
      <c r="B13" s="19">
        <v>46172</v>
      </c>
      <c r="C13" t="s">
        <v>55</v>
      </c>
      <c r="D13" t="s">
        <v>65</v>
      </c>
    </row>
    <row r="14" spans="1:7" x14ac:dyDescent="0.25">
      <c r="A14">
        <v>4</v>
      </c>
      <c r="B14" s="19">
        <v>46203</v>
      </c>
      <c r="C14" t="s">
        <v>55</v>
      </c>
      <c r="D14" t="s">
        <v>66</v>
      </c>
      <c r="E14" s="15"/>
    </row>
    <row r="15" spans="1:7" x14ac:dyDescent="0.25">
      <c r="A15">
        <v>5</v>
      </c>
      <c r="B15" s="19">
        <v>46233</v>
      </c>
      <c r="C15" t="s">
        <v>55</v>
      </c>
      <c r="D15" t="s">
        <v>67</v>
      </c>
    </row>
    <row r="16" spans="1:7" x14ac:dyDescent="0.25">
      <c r="A16">
        <v>6</v>
      </c>
      <c r="B16" s="19">
        <v>46264</v>
      </c>
      <c r="C16" t="s">
        <v>55</v>
      </c>
      <c r="D16" t="s">
        <v>68</v>
      </c>
    </row>
    <row r="17" spans="1:6" x14ac:dyDescent="0.25">
      <c r="A17">
        <v>7</v>
      </c>
      <c r="B17" s="19">
        <v>46295</v>
      </c>
      <c r="C17" t="s">
        <v>55</v>
      </c>
      <c r="D17" t="s">
        <v>69</v>
      </c>
    </row>
    <row r="18" spans="1:6" x14ac:dyDescent="0.25">
      <c r="B18" s="19"/>
      <c r="C18" t="s">
        <v>58</v>
      </c>
      <c r="E18" s="15"/>
      <c r="F18" s="15" t="s">
        <v>59</v>
      </c>
    </row>
    <row r="19" spans="1:6" x14ac:dyDescent="0.25">
      <c r="A19">
        <v>8</v>
      </c>
      <c r="B19" s="19">
        <v>46325</v>
      </c>
      <c r="D19" t="s">
        <v>70</v>
      </c>
      <c r="E19" s="15"/>
    </row>
    <row r="20" spans="1:6" x14ac:dyDescent="0.25">
      <c r="A20">
        <v>9</v>
      </c>
      <c r="B20" s="19">
        <v>46356</v>
      </c>
      <c r="D20" t="s">
        <v>71</v>
      </c>
      <c r="E20" s="15"/>
    </row>
    <row r="21" spans="1:6" x14ac:dyDescent="0.25">
      <c r="A21">
        <v>10</v>
      </c>
      <c r="B21" s="19">
        <v>46386</v>
      </c>
      <c r="D21" t="s">
        <v>72</v>
      </c>
      <c r="E21" s="15"/>
    </row>
    <row r="22" spans="1:6" x14ac:dyDescent="0.25">
      <c r="A22">
        <v>11</v>
      </c>
      <c r="B22" s="19">
        <v>46417</v>
      </c>
      <c r="D22" t="s">
        <v>73</v>
      </c>
      <c r="E22" s="15"/>
    </row>
    <row r="23" spans="1:6" x14ac:dyDescent="0.25">
      <c r="A23">
        <v>12</v>
      </c>
      <c r="B23" s="19">
        <v>46446</v>
      </c>
      <c r="D23" t="s">
        <v>74</v>
      </c>
      <c r="E23" s="15"/>
    </row>
    <row r="24" spans="1:6" x14ac:dyDescent="0.25">
      <c r="A24">
        <v>13</v>
      </c>
      <c r="B24" s="19">
        <v>46476</v>
      </c>
      <c r="D24" t="s">
        <v>75</v>
      </c>
      <c r="E24" s="15"/>
    </row>
    <row r="25" spans="1:6" x14ac:dyDescent="0.25">
      <c r="A25">
        <v>14</v>
      </c>
      <c r="B25" s="19">
        <v>46507</v>
      </c>
      <c r="D25" t="s">
        <v>63</v>
      </c>
      <c r="E25" s="15"/>
    </row>
    <row r="26" spans="1:6" x14ac:dyDescent="0.25">
      <c r="A26">
        <v>15</v>
      </c>
      <c r="B26" s="19">
        <v>46537</v>
      </c>
      <c r="D26" t="s">
        <v>76</v>
      </c>
      <c r="E26" s="15"/>
    </row>
    <row r="27" spans="1:6" x14ac:dyDescent="0.25">
      <c r="A27">
        <v>16</v>
      </c>
      <c r="B27" s="19">
        <v>46568</v>
      </c>
      <c r="D27" t="s">
        <v>77</v>
      </c>
      <c r="E27" s="15"/>
    </row>
    <row r="28" spans="1:6" x14ac:dyDescent="0.25">
      <c r="A28">
        <v>17</v>
      </c>
      <c r="B28" s="19">
        <v>46598</v>
      </c>
      <c r="D28" t="s">
        <v>78</v>
      </c>
      <c r="E28" s="15"/>
    </row>
    <row r="29" spans="1:6" x14ac:dyDescent="0.25">
      <c r="A29">
        <v>18</v>
      </c>
      <c r="B29" s="19">
        <v>46629</v>
      </c>
      <c r="D29" t="s">
        <v>79</v>
      </c>
      <c r="E29" s="15"/>
    </row>
    <row r="30" spans="1:6" x14ac:dyDescent="0.25">
      <c r="A30">
        <v>19</v>
      </c>
      <c r="B30" s="19">
        <v>46660</v>
      </c>
      <c r="D30" t="s">
        <v>80</v>
      </c>
      <c r="E30" s="15"/>
    </row>
    <row r="31" spans="1:6" x14ac:dyDescent="0.25">
      <c r="B31" s="19"/>
    </row>
    <row r="32" spans="1:6" x14ac:dyDescent="0.25">
      <c r="B32" s="19"/>
    </row>
    <row r="33" spans="2:2" x14ac:dyDescent="0.25">
      <c r="B33" s="19"/>
    </row>
    <row r="34" spans="2:2" x14ac:dyDescent="0.25">
      <c r="B34" s="19"/>
    </row>
  </sheetData>
  <phoneticPr fontId="1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zoomScale="80" zoomScaleNormal="80" workbookViewId="0">
      <selection activeCell="C10" sqref="C10"/>
    </sheetView>
  </sheetViews>
  <sheetFormatPr defaultColWidth="9.140625" defaultRowHeight="15" x14ac:dyDescent="0.25"/>
  <cols>
    <col min="1" max="1" width="3.7109375" style="20" customWidth="1"/>
    <col min="2" max="2" width="26.140625" style="21" customWidth="1"/>
    <col min="3" max="3" width="86.28515625" style="20" customWidth="1"/>
    <col min="4" max="1024" width="9.140625" style="20"/>
  </cols>
  <sheetData>
    <row r="1" spans="1:5" ht="25.35" customHeight="1" x14ac:dyDescent="0.25">
      <c r="A1" s="14"/>
      <c r="B1" s="22" t="s">
        <v>2</v>
      </c>
      <c r="C1" s="23" t="s">
        <v>3</v>
      </c>
      <c r="D1" s="24"/>
      <c r="E1" s="24"/>
    </row>
    <row r="2" spans="1:5" ht="25.35" customHeight="1" x14ac:dyDescent="0.25">
      <c r="A2" s="14"/>
      <c r="B2" s="22" t="s">
        <v>4</v>
      </c>
      <c r="C2" s="23" t="s">
        <v>5</v>
      </c>
      <c r="D2" s="24"/>
      <c r="E2" s="24"/>
    </row>
    <row r="3" spans="1:5" ht="25.35" customHeight="1" x14ac:dyDescent="0.25">
      <c r="B3" s="25"/>
      <c r="C3" s="24"/>
      <c r="D3" s="24"/>
      <c r="E3" s="24"/>
    </row>
    <row r="4" spans="1:5" ht="25.35" customHeight="1" x14ac:dyDescent="0.25">
      <c r="A4" s="13" t="s">
        <v>6</v>
      </c>
      <c r="B4" s="22" t="s">
        <v>7</v>
      </c>
      <c r="C4" s="26" t="s">
        <v>8</v>
      </c>
      <c r="D4" s="24"/>
      <c r="E4" s="24"/>
    </row>
    <row r="5" spans="1:5" ht="25.35" customHeight="1" x14ac:dyDescent="0.25">
      <c r="A5" s="13"/>
      <c r="B5" s="22" t="s">
        <v>9</v>
      </c>
      <c r="C5" s="26" t="s">
        <v>10</v>
      </c>
      <c r="D5" s="24"/>
      <c r="E5" s="24"/>
    </row>
    <row r="6" spans="1:5" ht="25.35" customHeight="1" x14ac:dyDescent="0.25">
      <c r="A6" s="13"/>
      <c r="B6" s="22" t="s">
        <v>11</v>
      </c>
      <c r="C6" s="26" t="s">
        <v>12</v>
      </c>
      <c r="D6" s="24"/>
      <c r="E6" s="24"/>
    </row>
    <row r="7" spans="1:5" ht="25.35" customHeight="1" x14ac:dyDescent="0.25">
      <c r="A7" s="13"/>
      <c r="B7" s="22" t="s">
        <v>13</v>
      </c>
      <c r="C7" s="26" t="s">
        <v>14</v>
      </c>
      <c r="D7" s="24"/>
      <c r="E7" s="24"/>
    </row>
    <row r="8" spans="1:5" ht="25.35" customHeight="1" x14ac:dyDescent="0.25">
      <c r="A8" s="13"/>
      <c r="B8" s="22" t="s">
        <v>15</v>
      </c>
      <c r="C8" s="26" t="s">
        <v>16</v>
      </c>
      <c r="D8" s="24"/>
      <c r="E8" s="24"/>
    </row>
    <row r="9" spans="1:5" ht="25.35" customHeight="1" x14ac:dyDescent="0.25">
      <c r="A9" s="13" t="s">
        <v>17</v>
      </c>
      <c r="B9" s="22" t="s">
        <v>9</v>
      </c>
      <c r="C9" s="26" t="s">
        <v>18</v>
      </c>
      <c r="D9" s="24"/>
      <c r="E9" s="24"/>
    </row>
    <row r="10" spans="1:5" ht="25.35" customHeight="1" x14ac:dyDescent="0.3">
      <c r="A10" s="13"/>
      <c r="B10" s="22" t="s">
        <v>11</v>
      </c>
      <c r="C10" s="27" t="s">
        <v>19</v>
      </c>
      <c r="D10" s="24"/>
      <c r="E10" s="24"/>
    </row>
    <row r="11" spans="1:5" ht="25.35" customHeight="1" x14ac:dyDescent="0.25">
      <c r="A11" s="13"/>
      <c r="B11" s="22" t="s">
        <v>13</v>
      </c>
      <c r="C11" s="26" t="s">
        <v>14</v>
      </c>
      <c r="D11" s="24"/>
      <c r="E11" s="24"/>
    </row>
    <row r="12" spans="1:5" ht="25.35" customHeight="1" x14ac:dyDescent="0.3">
      <c r="A12" s="13"/>
      <c r="B12" s="22" t="s">
        <v>15</v>
      </c>
      <c r="C12" s="28" t="s">
        <v>16</v>
      </c>
      <c r="D12" s="24"/>
      <c r="E12" s="24"/>
    </row>
    <row r="13" spans="1:5" ht="25.35" customHeight="1" x14ac:dyDescent="0.25">
      <c r="B13" s="25"/>
      <c r="C13" s="24"/>
      <c r="D13" s="24"/>
      <c r="E13" s="24"/>
    </row>
    <row r="14" spans="1:5" ht="25.35" customHeight="1" x14ac:dyDescent="0.25">
      <c r="B14" s="25"/>
      <c r="C14" s="24"/>
      <c r="D14" s="24"/>
      <c r="E14" s="24"/>
    </row>
    <row r="15" spans="1:5" ht="25.35" customHeight="1" x14ac:dyDescent="0.25">
      <c r="B15" s="25"/>
      <c r="C15" s="24"/>
      <c r="D15" s="24"/>
      <c r="E15" s="24"/>
    </row>
    <row r="16" spans="1:5" ht="25.35" customHeight="1" x14ac:dyDescent="0.25">
      <c r="B16" s="25"/>
      <c r="C16" s="24"/>
      <c r="D16" s="24"/>
      <c r="E16" s="24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selection activeCell="H27" sqref="H27"/>
    </sheetView>
  </sheetViews>
  <sheetFormatPr defaultColWidth="11.5703125" defaultRowHeight="15" x14ac:dyDescent="0.25"/>
  <cols>
    <col min="1" max="1" width="3.7109375" customWidth="1"/>
    <col min="2" max="2" width="9.140625" style="29" customWidth="1"/>
    <col min="3" max="3" width="15.7109375" style="29" customWidth="1"/>
    <col min="4" max="4" width="13.42578125" style="29" customWidth="1"/>
    <col min="5" max="5" width="13.85546875" customWidth="1"/>
    <col min="6" max="6" width="20.7109375" style="30" customWidth="1"/>
    <col min="7" max="7" width="17.28515625" style="29" customWidth="1"/>
    <col min="8" max="8" width="21.5703125" style="29" customWidth="1"/>
  </cols>
  <sheetData>
    <row r="1" spans="1:8" ht="18.75" x14ac:dyDescent="0.3">
      <c r="A1" s="12"/>
      <c r="B1" s="32"/>
      <c r="C1" s="33"/>
      <c r="D1" s="34"/>
      <c r="E1" s="24"/>
      <c r="F1" s="35"/>
      <c r="G1" s="36"/>
      <c r="H1" s="36"/>
    </row>
    <row r="2" spans="1:8" ht="18.75" x14ac:dyDescent="0.25">
      <c r="A2" s="12"/>
      <c r="B2" s="32" t="s">
        <v>20</v>
      </c>
      <c r="C2" s="32" t="s">
        <v>21</v>
      </c>
      <c r="D2" s="32" t="s">
        <v>22</v>
      </c>
      <c r="E2" s="25" t="s">
        <v>23</v>
      </c>
      <c r="F2" s="37" t="s">
        <v>24</v>
      </c>
      <c r="G2" s="32" t="s">
        <v>25</v>
      </c>
      <c r="H2" s="32" t="s">
        <v>26</v>
      </c>
    </row>
    <row r="3" spans="1:8" ht="18.75" x14ac:dyDescent="0.25">
      <c r="A3" s="11">
        <v>3</v>
      </c>
      <c r="B3" s="33">
        <v>1</v>
      </c>
      <c r="C3" s="38">
        <v>44252</v>
      </c>
      <c r="D3" s="38">
        <v>44285</v>
      </c>
      <c r="E3" s="39">
        <v>2000</v>
      </c>
      <c r="F3" s="40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İkibin TL </v>
      </c>
      <c r="G3" s="33" t="s">
        <v>27</v>
      </c>
      <c r="H3" s="33" t="s">
        <v>28</v>
      </c>
    </row>
    <row r="4" spans="1:8" ht="18.75" x14ac:dyDescent="0.3">
      <c r="A4" s="11"/>
      <c r="B4" s="36">
        <v>2</v>
      </c>
      <c r="C4" s="38">
        <v>44252</v>
      </c>
      <c r="D4" s="38">
        <v>44316</v>
      </c>
      <c r="E4" s="41">
        <v>2000</v>
      </c>
      <c r="F4" s="40" t="str">
        <f t="shared" si="0"/>
        <v xml:space="preserve">İkibin TL </v>
      </c>
      <c r="G4" s="36" t="str">
        <f t="shared" ref="G4:G14" si="1">G3</f>
        <v>NAKDEN</v>
      </c>
      <c r="H4" s="33" t="s">
        <v>29</v>
      </c>
    </row>
    <row r="5" spans="1:8" ht="18.75" x14ac:dyDescent="0.3">
      <c r="A5" s="11"/>
      <c r="B5" s="36">
        <v>3</v>
      </c>
      <c r="C5" s="38">
        <v>44252</v>
      </c>
      <c r="D5" s="38">
        <v>44346</v>
      </c>
      <c r="E5" s="41">
        <v>2000</v>
      </c>
      <c r="F5" s="40" t="str">
        <f t="shared" si="0"/>
        <v xml:space="preserve">İkibin TL </v>
      </c>
      <c r="G5" s="36" t="str">
        <f t="shared" si="1"/>
        <v>NAKDEN</v>
      </c>
      <c r="H5" s="33" t="s">
        <v>30</v>
      </c>
    </row>
    <row r="6" spans="1:8" ht="18.75" x14ac:dyDescent="0.3">
      <c r="A6" s="11"/>
      <c r="B6" s="36">
        <v>4</v>
      </c>
      <c r="C6" s="38">
        <v>44252</v>
      </c>
      <c r="D6" s="38">
        <v>44377</v>
      </c>
      <c r="E6" s="41">
        <v>2000</v>
      </c>
      <c r="F6" s="40" t="str">
        <f t="shared" si="0"/>
        <v xml:space="preserve">İkibin TL </v>
      </c>
      <c r="G6" s="36" t="str">
        <f t="shared" si="1"/>
        <v>NAKDEN</v>
      </c>
      <c r="H6" s="33" t="s">
        <v>31</v>
      </c>
    </row>
    <row r="7" spans="1:8" ht="18.75" x14ac:dyDescent="0.3">
      <c r="A7" s="11"/>
      <c r="B7" s="36">
        <v>5</v>
      </c>
      <c r="C7" s="38">
        <v>44252</v>
      </c>
      <c r="D7" s="38">
        <v>44407</v>
      </c>
      <c r="E7" s="41">
        <v>14000</v>
      </c>
      <c r="F7" s="40" t="str">
        <f t="shared" si="0"/>
        <v xml:space="preserve">Ondörtbin TL </v>
      </c>
      <c r="G7" s="36" t="str">
        <f t="shared" si="1"/>
        <v>NAKDEN</v>
      </c>
      <c r="H7" s="33" t="s">
        <v>32</v>
      </c>
    </row>
    <row r="8" spans="1:8" ht="18.75" x14ac:dyDescent="0.3">
      <c r="A8" s="11"/>
      <c r="B8" s="36">
        <v>6</v>
      </c>
      <c r="C8" s="38">
        <v>44252</v>
      </c>
      <c r="D8" s="38">
        <v>44438</v>
      </c>
      <c r="E8" s="41">
        <v>2000</v>
      </c>
      <c r="F8" s="40" t="str">
        <f t="shared" si="0"/>
        <v xml:space="preserve">İkibin TL </v>
      </c>
      <c r="G8" s="36" t="str">
        <f t="shared" si="1"/>
        <v>NAKDEN</v>
      </c>
      <c r="H8" s="33" t="s">
        <v>33</v>
      </c>
    </row>
    <row r="9" spans="1:8" ht="18.75" x14ac:dyDescent="0.3">
      <c r="A9" s="11"/>
      <c r="B9" s="36">
        <v>7</v>
      </c>
      <c r="C9" s="38">
        <v>44252</v>
      </c>
      <c r="D9" s="38">
        <v>44469</v>
      </c>
      <c r="E9" s="41">
        <v>2000</v>
      </c>
      <c r="F9" s="40" t="str">
        <f t="shared" si="0"/>
        <v xml:space="preserve">İkibin TL </v>
      </c>
      <c r="G9" s="36" t="str">
        <f t="shared" si="1"/>
        <v>NAKDEN</v>
      </c>
      <c r="H9" s="33" t="s">
        <v>34</v>
      </c>
    </row>
    <row r="10" spans="1:8" ht="18.75" x14ac:dyDescent="0.3">
      <c r="A10" s="20"/>
      <c r="B10" s="36">
        <v>8</v>
      </c>
      <c r="C10" s="38">
        <v>44252</v>
      </c>
      <c r="D10" s="38">
        <v>44499</v>
      </c>
      <c r="E10" s="41">
        <v>2000</v>
      </c>
      <c r="F10" s="40" t="str">
        <f t="shared" si="0"/>
        <v xml:space="preserve">İkibin TL </v>
      </c>
      <c r="G10" s="36" t="str">
        <f t="shared" si="1"/>
        <v>NAKDEN</v>
      </c>
      <c r="H10" s="33" t="s">
        <v>35</v>
      </c>
    </row>
    <row r="11" spans="1:8" ht="18.75" x14ac:dyDescent="0.3">
      <c r="A11" s="11"/>
      <c r="B11" s="36">
        <v>9</v>
      </c>
      <c r="C11" s="38">
        <v>44252</v>
      </c>
      <c r="D11" s="38">
        <v>44530</v>
      </c>
      <c r="E11" s="41">
        <v>2000</v>
      </c>
      <c r="F11" s="40" t="str">
        <f t="shared" si="0"/>
        <v xml:space="preserve">İkibin TL </v>
      </c>
      <c r="G11" s="36" t="str">
        <f t="shared" si="1"/>
        <v>NAKDEN</v>
      </c>
      <c r="H11" s="33" t="s">
        <v>36</v>
      </c>
    </row>
    <row r="12" spans="1:8" ht="18.75" x14ac:dyDescent="0.3">
      <c r="A12" s="11"/>
      <c r="B12" s="36">
        <v>10</v>
      </c>
      <c r="C12" s="38">
        <v>44252</v>
      </c>
      <c r="D12" s="38">
        <v>44560</v>
      </c>
      <c r="E12" s="41">
        <v>2000</v>
      </c>
      <c r="F12" s="40" t="str">
        <f t="shared" si="0"/>
        <v xml:space="preserve">İkibin TL </v>
      </c>
      <c r="G12" s="36" t="str">
        <f t="shared" si="1"/>
        <v>NAKDEN</v>
      </c>
      <c r="H12" s="33" t="s">
        <v>37</v>
      </c>
    </row>
    <row r="13" spans="1:8" ht="18.75" x14ac:dyDescent="0.3">
      <c r="A13" s="11"/>
      <c r="B13" s="36">
        <v>11</v>
      </c>
      <c r="C13" s="38">
        <v>44252</v>
      </c>
      <c r="D13" s="38">
        <v>44591</v>
      </c>
      <c r="E13" s="41">
        <v>2000</v>
      </c>
      <c r="F13" s="40" t="str">
        <f t="shared" si="0"/>
        <v xml:space="preserve">İkibin TL </v>
      </c>
      <c r="G13" s="36" t="str">
        <f t="shared" si="1"/>
        <v>NAKDEN</v>
      </c>
      <c r="H13" s="33" t="s">
        <v>38</v>
      </c>
    </row>
    <row r="14" spans="1:8" ht="18.75" x14ac:dyDescent="0.3">
      <c r="A14" s="11"/>
      <c r="B14" s="36">
        <v>12</v>
      </c>
      <c r="C14" s="38">
        <v>44252</v>
      </c>
      <c r="D14" s="38">
        <v>44620</v>
      </c>
      <c r="E14" s="41">
        <v>2000</v>
      </c>
      <c r="F14" s="40" t="str">
        <f t="shared" si="0"/>
        <v xml:space="preserve">İkibin TL </v>
      </c>
      <c r="G14" s="36" t="str">
        <f t="shared" si="1"/>
        <v>NAKDEN</v>
      </c>
      <c r="H14" s="33" t="s">
        <v>39</v>
      </c>
    </row>
    <row r="15" spans="1:8" ht="18.75" x14ac:dyDescent="0.3">
      <c r="A15" s="11"/>
      <c r="B15" s="32"/>
      <c r="C15" s="38"/>
      <c r="D15" s="34"/>
      <c r="E15" s="24"/>
      <c r="F15" s="35"/>
      <c r="G15" s="36"/>
      <c r="H15" s="36"/>
    </row>
    <row r="16" spans="1:8" ht="18.75" x14ac:dyDescent="0.3">
      <c r="A16" s="11"/>
      <c r="B16" s="32"/>
      <c r="C16" s="38"/>
      <c r="D16" s="34"/>
      <c r="E16" s="24"/>
      <c r="F16" s="35"/>
      <c r="G16" s="36"/>
      <c r="H16" s="36"/>
    </row>
    <row r="17" spans="1:8" ht="18.75" x14ac:dyDescent="0.3">
      <c r="A17" s="11"/>
      <c r="B17" s="32"/>
      <c r="C17" s="38"/>
      <c r="D17" s="34"/>
      <c r="E17" s="24"/>
      <c r="F17" s="35"/>
      <c r="G17" s="36"/>
      <c r="H17" s="36"/>
    </row>
    <row r="18" spans="1:8" ht="18.75" x14ac:dyDescent="0.3">
      <c r="A18" s="11"/>
      <c r="B18" s="32"/>
      <c r="C18" s="33"/>
      <c r="D18" s="34"/>
      <c r="E18" s="24"/>
      <c r="F18" s="35"/>
      <c r="G18" s="36"/>
      <c r="H18" s="36"/>
    </row>
    <row r="19" spans="1:8" ht="18.75" x14ac:dyDescent="0.3">
      <c r="A19" s="11"/>
      <c r="B19" s="32"/>
      <c r="C19" s="36"/>
      <c r="D19" s="34"/>
      <c r="E19" s="24"/>
      <c r="F19" s="35"/>
      <c r="G19" s="36"/>
      <c r="H19" s="36"/>
    </row>
    <row r="20" spans="1:8" x14ac:dyDescent="0.25">
      <c r="A20" s="20"/>
      <c r="B20" s="42"/>
      <c r="C20" s="31"/>
      <c r="D20" s="31"/>
      <c r="E20" s="20"/>
    </row>
    <row r="21" spans="1:8" x14ac:dyDescent="0.25">
      <c r="A21" s="20"/>
      <c r="B21" s="42"/>
      <c r="C21" s="31"/>
      <c r="D21" s="31"/>
      <c r="E21" s="20"/>
    </row>
    <row r="22" spans="1:8" x14ac:dyDescent="0.25">
      <c r="A22" s="20"/>
      <c r="B22" s="42"/>
      <c r="C22" s="31"/>
      <c r="D22" s="31"/>
      <c r="E22" s="20"/>
    </row>
  </sheetData>
  <mergeCells count="4">
    <mergeCell ref="A1:A2"/>
    <mergeCell ref="A3:A9"/>
    <mergeCell ref="A11:A15"/>
    <mergeCell ref="A16:A19"/>
  </mergeCells>
  <dataValidations count="1">
    <dataValidation type="list" allowBlank="1" showInputMessage="1" showErrorMessage="1" sqref="G3" xr:uid="{00000000-0002-0000-0200-000000000000}">
      <formula1>"Malen,Nakden"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048576"/>
  <sheetViews>
    <sheetView topLeftCell="A82" zoomScale="80" zoomScaleNormal="80" workbookViewId="0">
      <selection activeCell="A84" sqref="A84"/>
    </sheetView>
  </sheetViews>
  <sheetFormatPr defaultColWidth="9.140625" defaultRowHeight="23.25" x14ac:dyDescent="0.35"/>
  <cols>
    <col min="1" max="1" width="1.7109375" style="43" customWidth="1"/>
    <col min="2" max="2" width="4" style="43" customWidth="1"/>
    <col min="3" max="3" width="1.5703125" style="43" customWidth="1"/>
    <col min="4" max="4" width="20.7109375" style="43" customWidth="1"/>
    <col min="5" max="5" width="21.28515625" style="43" customWidth="1"/>
    <col min="6" max="6" width="4.85546875" style="43" customWidth="1"/>
    <col min="7" max="7" width="27" style="43" customWidth="1"/>
    <col min="8" max="8" width="6" style="43" customWidth="1"/>
    <col min="9" max="9" width="19.7109375" style="43" customWidth="1"/>
    <col min="10" max="10" width="25.85546875" style="43" customWidth="1"/>
    <col min="11" max="11" width="10.85546875" style="43" customWidth="1"/>
    <col min="12" max="12" width="7.28515625" style="43" customWidth="1"/>
    <col min="13" max="13" width="7.140625" style="43" customWidth="1"/>
    <col min="14" max="14" width="2.85546875" style="43" customWidth="1"/>
    <col min="15" max="15" width="28.42578125" style="43" customWidth="1"/>
    <col min="16" max="16" width="1.7109375" style="43" customWidth="1"/>
    <col min="17" max="1024" width="9.140625" style="43"/>
  </cols>
  <sheetData>
    <row r="1" spans="1:16" ht="23.85" customHeight="1" x14ac:dyDescent="0.35">
      <c r="A1" s="44"/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6" s="54" customFormat="1" ht="23.85" customHeight="1" x14ac:dyDescent="0.35">
      <c r="A2" s="48"/>
      <c r="B2" s="49"/>
      <c r="C2" s="48"/>
      <c r="D2" s="50" t="s">
        <v>40</v>
      </c>
      <c r="E2" s="10" t="str">
        <f>$D9 &amp;"    - Taksit No: " &amp; $D4&amp;"  "</f>
        <v xml:space="preserve">Bursa Fabrika Satış Mağazası – Adem Duman    - Taksit No: # 1 #  </v>
      </c>
      <c r="F2" s="48"/>
      <c r="G2" s="51" t="s">
        <v>41</v>
      </c>
      <c r="H2" s="48"/>
      <c r="I2" s="51" t="s">
        <v>42</v>
      </c>
      <c r="J2" s="51" t="s">
        <v>43</v>
      </c>
      <c r="K2"/>
      <c r="L2" s="48"/>
      <c r="M2" s="51" t="s">
        <v>44</v>
      </c>
      <c r="N2" s="52"/>
      <c r="O2" s="51" t="s">
        <v>21</v>
      </c>
      <c r="P2" s="53"/>
    </row>
    <row r="3" spans="1:16" ht="23.85" customHeight="1" x14ac:dyDescent="0.35">
      <c r="A3" s="44"/>
      <c r="B3" s="55"/>
      <c r="C3" s="56"/>
      <c r="D3" s="57" t="s">
        <v>45</v>
      </c>
      <c r="E3" s="10"/>
      <c r="F3" s="44"/>
      <c r="G3" s="58">
        <f>D17</f>
        <v>44285</v>
      </c>
      <c r="H3" s="59"/>
      <c r="I3" s="60" t="str">
        <f>D6</f>
        <v># 2.000 TL #</v>
      </c>
      <c r="J3" s="61" t="str">
        <f>D7</f>
        <v>#   Krş #</v>
      </c>
      <c r="K3"/>
      <c r="L3" s="59"/>
      <c r="M3" s="62" t="str">
        <f>D4</f>
        <v># 1 #</v>
      </c>
      <c r="N3" s="52"/>
      <c r="O3" s="63">
        <f>D19</f>
        <v>44252</v>
      </c>
      <c r="P3" s="64"/>
    </row>
    <row r="4" spans="1:16" ht="23.85" customHeight="1" x14ac:dyDescent="0.35">
      <c r="A4" s="44"/>
      <c r="B4" s="55"/>
      <c r="C4" s="56"/>
      <c r="D4" s="65" t="str">
        <f>"# "&amp;TEXT(INT('Senet Taksit Giriş'!B3),"##.##0")&amp;" #"</f>
        <v># 1 #</v>
      </c>
      <c r="E4" s="10"/>
      <c r="F4" s="44"/>
      <c r="G4" s="44"/>
      <c r="H4" s="44"/>
      <c r="I4" s="44"/>
      <c r="J4" s="44"/>
      <c r="K4" s="44"/>
      <c r="L4" s="44"/>
      <c r="M4" s="44"/>
      <c r="N4" s="44"/>
      <c r="O4" s="44"/>
      <c r="P4" s="64"/>
    </row>
    <row r="5" spans="1:16" ht="23.85" customHeight="1" x14ac:dyDescent="0.35">
      <c r="A5" s="44"/>
      <c r="B5" s="55"/>
      <c r="C5" s="56"/>
      <c r="D5" s="66" t="s">
        <v>46</v>
      </c>
      <c r="E5" s="10"/>
      <c r="F5" s="9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5" s="9"/>
      <c r="H5" s="9"/>
      <c r="I5" s="9"/>
      <c r="J5" s="9"/>
      <c r="K5" s="9"/>
      <c r="L5" s="9"/>
      <c r="M5" s="9"/>
      <c r="N5" s="9"/>
      <c r="O5" s="9"/>
      <c r="P5" s="64"/>
    </row>
    <row r="6" spans="1:16" ht="23.85" customHeight="1" x14ac:dyDescent="0.35">
      <c r="A6" s="44"/>
      <c r="B6" s="55"/>
      <c r="C6" s="56"/>
      <c r="D6" s="67" t="str">
        <f>"# "&amp;TEXT(INT('Senet Taksit Giriş'!E3),"##.##0")&amp;" TL #"</f>
        <v># 2.000 TL #</v>
      </c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64"/>
    </row>
    <row r="7" spans="1:16" ht="23.85" customHeight="1" x14ac:dyDescent="0.35">
      <c r="A7" s="44"/>
      <c r="B7" s="55"/>
      <c r="C7" s="44"/>
      <c r="D7" s="68" t="str">
        <f>"# "&amp;TEXT(('Senet Taksit Giriş'!E3-INT('Senet Taksit Giriş'!E3))*100,"##.##")&amp;"  Krş #"</f>
        <v>#   Krş #</v>
      </c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64"/>
    </row>
    <row r="8" spans="1:16" ht="23.85" customHeight="1" x14ac:dyDescent="0.35">
      <c r="A8" s="44"/>
      <c r="B8" s="55"/>
      <c r="C8" s="44"/>
      <c r="D8" s="69" t="s">
        <v>47</v>
      </c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64"/>
    </row>
    <row r="9" spans="1:16" ht="23.85" customHeight="1" x14ac:dyDescent="0.35">
      <c r="A9" s="44"/>
      <c r="B9" s="70"/>
      <c r="C9" s="44"/>
      <c r="D9" s="8" t="str">
        <f>'Senet Borçlu Alacaklı Giriş'!C5</f>
        <v>Bursa Fabrika Satış Mağazası – Adem Duman</v>
      </c>
      <c r="E9" s="10"/>
      <c r="F9" s="52"/>
      <c r="G9" s="52"/>
      <c r="H9" s="52"/>
      <c r="I9" s="52"/>
      <c r="J9" s="52"/>
      <c r="K9" s="52"/>
      <c r="L9" s="52"/>
      <c r="M9" s="52"/>
      <c r="N9" s="52"/>
      <c r="O9" s="52"/>
      <c r="P9" s="64"/>
    </row>
    <row r="10" spans="1:16" ht="23.85" customHeight="1" x14ac:dyDescent="0.35">
      <c r="A10" s="44"/>
      <c r="B10" s="55"/>
      <c r="C10" s="44"/>
      <c r="D10" s="8"/>
      <c r="E10" s="10"/>
      <c r="F10" s="7" t="s">
        <v>48</v>
      </c>
      <c r="G10" s="6" t="str">
        <f>"İsim : "&amp;$D9</f>
        <v>İsim : Bursa Fabrika Satış Mağazası – Adem Duman</v>
      </c>
      <c r="H10" s="6"/>
      <c r="I10" s="6"/>
      <c r="J10" s="6"/>
      <c r="K10" s="6"/>
      <c r="L10" s="6"/>
      <c r="M10" s="6"/>
      <c r="N10" s="6"/>
      <c r="O10" s="47"/>
      <c r="P10" s="64"/>
    </row>
    <row r="11" spans="1:16" ht="23.85" customHeight="1" x14ac:dyDescent="0.35">
      <c r="A11" s="44"/>
      <c r="B11" s="71"/>
      <c r="C11" s="72"/>
      <c r="D11" s="8"/>
      <c r="E11" s="10"/>
      <c r="F11" s="7"/>
      <c r="G11" s="5" t="str">
        <f>"Adres : " &amp;'Senet Borçlu Alacaklı Giriş'!$C$6</f>
        <v>Adres : Hızarhane Cad. No:5 TOKAT</v>
      </c>
      <c r="H11" s="5"/>
      <c r="I11" s="5"/>
      <c r="J11" s="5"/>
      <c r="K11" s="5"/>
      <c r="L11" s="44"/>
      <c r="M11" s="44"/>
      <c r="N11" s="44"/>
      <c r="O11" s="64"/>
      <c r="P11" s="64"/>
    </row>
    <row r="12" spans="1:16" ht="23.85" customHeight="1" x14ac:dyDescent="0.35">
      <c r="A12" s="44"/>
      <c r="B12" s="71"/>
      <c r="C12" s="72"/>
      <c r="D12" s="8"/>
      <c r="E12" s="10"/>
      <c r="F12" s="7"/>
      <c r="G12" s="5"/>
      <c r="H12" s="5"/>
      <c r="I12" s="5"/>
      <c r="J12" s="5"/>
      <c r="K12" s="5"/>
      <c r="L12" s="56" t="s">
        <v>49</v>
      </c>
      <c r="M12" s="56"/>
      <c r="N12" s="52"/>
      <c r="O12" s="64"/>
      <c r="P12" s="64"/>
    </row>
    <row r="13" spans="1:16" ht="23.85" customHeight="1" x14ac:dyDescent="0.35">
      <c r="A13" s="44"/>
      <c r="B13" s="71"/>
      <c r="C13" s="72"/>
      <c r="D13" s="8"/>
      <c r="E13" s="10"/>
      <c r="F13" s="7"/>
      <c r="G13" s="4" t="str">
        <f>"Vergi Dairesi : "&amp;'Senet Borçlu Alacaklı Giriş'!$C$7</f>
        <v>Vergi Dairesi : Tokat</v>
      </c>
      <c r="H13" s="4"/>
      <c r="I13" s="4"/>
      <c r="J13" s="4"/>
      <c r="K13" s="44"/>
      <c r="L13" s="44"/>
      <c r="M13" s="44"/>
      <c r="N13" s="44"/>
      <c r="O13" s="64"/>
      <c r="P13" s="64"/>
    </row>
    <row r="14" spans="1:16" ht="23.85" customHeight="1" x14ac:dyDescent="0.35">
      <c r="A14" s="44"/>
      <c r="B14" s="55"/>
      <c r="C14" s="44"/>
      <c r="D14" s="8"/>
      <c r="E14" s="10"/>
      <c r="F14" s="7"/>
      <c r="G14" s="3" t="str">
        <f>"Vergi No / TC Kimlik No : "&amp;'Senet Borçlu Alacaklı Giriş'!$C$8</f>
        <v>Vergi No / TC Kimlik No : 341 3267 6260</v>
      </c>
      <c r="H14" s="3"/>
      <c r="I14" s="3"/>
      <c r="J14" s="3"/>
      <c r="K14" s="73"/>
      <c r="L14" s="73"/>
      <c r="M14" s="73"/>
      <c r="N14" s="73"/>
      <c r="O14" s="74"/>
      <c r="P14" s="64"/>
    </row>
    <row r="15" spans="1:16" ht="23.85" customHeight="1" x14ac:dyDescent="0.35">
      <c r="A15" s="44"/>
      <c r="B15" s="70"/>
      <c r="C15" s="44"/>
      <c r="D15" s="8"/>
      <c r="E15" s="10"/>
      <c r="F15" s="7" t="s">
        <v>17</v>
      </c>
      <c r="G15" s="2" t="str">
        <f>"İsim Unvan : "&amp;'Senet Borçlu Alacaklı Giriş'!$C$9</f>
        <v>İsim Unvan : Adem Duman</v>
      </c>
      <c r="H15" s="2"/>
      <c r="I15" s="2"/>
      <c r="J15" s="2"/>
      <c r="K15" s="46"/>
      <c r="L15" s="75"/>
      <c r="M15" s="46"/>
      <c r="N15" s="46"/>
      <c r="O15" s="47"/>
      <c r="P15" s="64"/>
    </row>
    <row r="16" spans="1:16" ht="23.85" customHeight="1" x14ac:dyDescent="0.35">
      <c r="A16" s="44"/>
      <c r="B16" s="55"/>
      <c r="C16" s="44"/>
      <c r="D16" s="66" t="s">
        <v>50</v>
      </c>
      <c r="E16" s="10"/>
      <c r="F16" s="7"/>
      <c r="G16" s="5" t="str">
        <f>"Adres : " &amp;'Senet Borçlu Alacaklı Giriş'!$C$10</f>
        <v>Adres : Esentepe Mah. Şehit Ulaşar Cad. Belde Sitesi B Blk. K1: D:3 TOKAT</v>
      </c>
      <c r="H16" s="5"/>
      <c r="I16" s="5"/>
      <c r="J16" s="5"/>
      <c r="K16" s="44"/>
      <c r="L16" s="44"/>
      <c r="M16" s="44"/>
      <c r="N16" s="44"/>
      <c r="O16" s="64"/>
      <c r="P16" s="64"/>
    </row>
    <row r="17" spans="1:16" ht="23.85" customHeight="1" x14ac:dyDescent="0.35">
      <c r="A17" s="44"/>
      <c r="B17" s="70"/>
      <c r="C17" s="44"/>
      <c r="D17" s="76">
        <f>'Senet Taksit Giriş'!D3</f>
        <v>44285</v>
      </c>
      <c r="E17" s="10"/>
      <c r="F17" s="7"/>
      <c r="G17" s="5"/>
      <c r="H17" s="5"/>
      <c r="I17" s="5"/>
      <c r="J17" s="5"/>
      <c r="K17" s="44"/>
      <c r="L17" s="56" t="s">
        <v>49</v>
      </c>
      <c r="M17" s="44"/>
      <c r="N17" s="44"/>
      <c r="O17" s="64"/>
      <c r="P17" s="64"/>
    </row>
    <row r="18" spans="1:16" ht="23.85" customHeight="1" x14ac:dyDescent="0.35">
      <c r="A18" s="44"/>
      <c r="B18" s="55"/>
      <c r="C18" s="44"/>
      <c r="D18" s="66" t="s">
        <v>51</v>
      </c>
      <c r="E18" s="10"/>
      <c r="F18" s="7"/>
      <c r="G18" s="4" t="str">
        <f>"Vergi Dairesi : "&amp;'Senet Borçlu Alacaklı Giriş'!$C$11</f>
        <v>Vergi Dairesi : Tokat</v>
      </c>
      <c r="H18" s="4"/>
      <c r="I18" s="4"/>
      <c r="J18" s="4"/>
      <c r="K18" s="44"/>
      <c r="L18" s="44"/>
      <c r="M18" s="44"/>
      <c r="N18" s="44"/>
      <c r="O18" s="64"/>
      <c r="P18" s="64"/>
    </row>
    <row r="19" spans="1:16" ht="23.85" customHeight="1" x14ac:dyDescent="0.35">
      <c r="A19" s="44"/>
      <c r="B19" s="55"/>
      <c r="C19" s="44"/>
      <c r="D19" s="76">
        <f>'Senet Taksit Giriş'!C3</f>
        <v>44252</v>
      </c>
      <c r="E19" s="10"/>
      <c r="F19" s="7"/>
      <c r="G19" s="3" t="str">
        <f>"Vergi No / TC Kimlik No : "&amp;'Senet Borçlu Alacaklı Giriş'!$C$12</f>
        <v>Vergi No / TC Kimlik No : 341 3267 6260</v>
      </c>
      <c r="H19" s="3"/>
      <c r="I19" s="3"/>
      <c r="J19" s="3"/>
      <c r="K19" s="73"/>
      <c r="L19" s="73"/>
      <c r="M19" s="73"/>
      <c r="N19" s="73"/>
      <c r="O19" s="74"/>
      <c r="P19" s="64"/>
    </row>
    <row r="20" spans="1:16" ht="23.85" customHeight="1" x14ac:dyDescent="0.35">
      <c r="A20" s="44"/>
      <c r="B20" s="77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  <row r="21" spans="1:16" ht="23.85" customHeight="1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ht="23.85" customHeight="1" x14ac:dyDescent="0.35">
      <c r="A22" s="44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7"/>
    </row>
    <row r="23" spans="1:16" ht="23.85" customHeight="1" x14ac:dyDescent="0.35">
      <c r="A23" s="48"/>
      <c r="B23" s="49"/>
      <c r="C23" s="48"/>
      <c r="D23" s="50" t="s">
        <v>40</v>
      </c>
      <c r="E23" s="10" t="str">
        <f>$D30 &amp;"    - Taksit No: " &amp; $D25&amp;"  "</f>
        <v xml:space="preserve">Bursa Fabrika Satış Mağazası – Adem Duman    - Taksit No: # 2 #  </v>
      </c>
      <c r="F23" s="48"/>
      <c r="G23" s="51" t="s">
        <v>41</v>
      </c>
      <c r="H23" s="48"/>
      <c r="I23" s="51" t="s">
        <v>42</v>
      </c>
      <c r="J23" s="51" t="s">
        <v>43</v>
      </c>
      <c r="K23"/>
      <c r="L23" s="48"/>
      <c r="M23" s="51" t="s">
        <v>44</v>
      </c>
      <c r="N23" s="52"/>
      <c r="O23" s="51" t="s">
        <v>21</v>
      </c>
      <c r="P23" s="53"/>
    </row>
    <row r="24" spans="1:16" ht="23.85" customHeight="1" x14ac:dyDescent="0.35">
      <c r="A24" s="44"/>
      <c r="B24" s="55"/>
      <c r="C24" s="56"/>
      <c r="D24" s="57" t="s">
        <v>45</v>
      </c>
      <c r="E24" s="10"/>
      <c r="F24" s="44"/>
      <c r="G24" s="58">
        <f>D38</f>
        <v>44316</v>
      </c>
      <c r="H24" s="59"/>
      <c r="I24" s="60" t="str">
        <f>D27</f>
        <v># 2.000 TL #</v>
      </c>
      <c r="J24" s="61" t="str">
        <f>D28</f>
        <v>#   Krş #</v>
      </c>
      <c r="K24"/>
      <c r="L24" s="59"/>
      <c r="M24" s="62" t="str">
        <f>D25</f>
        <v># 2 #</v>
      </c>
      <c r="N24" s="52"/>
      <c r="O24" s="63">
        <f>D40</f>
        <v>44252</v>
      </c>
      <c r="P24" s="64"/>
    </row>
    <row r="25" spans="1:16" ht="23.85" customHeight="1" x14ac:dyDescent="0.35">
      <c r="A25" s="44"/>
      <c r="B25" s="55"/>
      <c r="C25" s="56"/>
      <c r="D25" s="65" t="str">
        <f>"# "&amp;TEXT(INT('Senet Taksit Giriş'!B4),"##.##0")&amp;" #"</f>
        <v># 2 #</v>
      </c>
      <c r="E25" s="10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64"/>
    </row>
    <row r="26" spans="1:16" ht="23.85" customHeight="1" x14ac:dyDescent="0.35">
      <c r="A26" s="44"/>
      <c r="B26" s="55"/>
      <c r="C26" s="56"/>
      <c r="D26" s="66" t="s">
        <v>46</v>
      </c>
      <c r="E26" s="10"/>
      <c r="F26" s="9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6" s="9"/>
      <c r="H26" s="9"/>
      <c r="I26" s="9"/>
      <c r="J26" s="9"/>
      <c r="K26" s="9"/>
      <c r="L26" s="9"/>
      <c r="M26" s="9"/>
      <c r="N26" s="9"/>
      <c r="O26" s="9"/>
      <c r="P26" s="64"/>
    </row>
    <row r="27" spans="1:16" ht="23.85" customHeight="1" x14ac:dyDescent="0.35">
      <c r="A27" s="44"/>
      <c r="B27" s="55"/>
      <c r="C27" s="56"/>
      <c r="D27" s="67" t="str">
        <f>"# "&amp;TEXT(INT('Senet Taksit Giriş'!E4),"##.##0")&amp;" TL #"</f>
        <v># 2.000 TL #</v>
      </c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64"/>
    </row>
    <row r="28" spans="1:16" ht="23.85" customHeight="1" x14ac:dyDescent="0.35">
      <c r="A28" s="44"/>
      <c r="B28" s="55"/>
      <c r="C28" s="44"/>
      <c r="D28" s="68" t="str">
        <f>"# "&amp;TEXT(('Senet Taksit Giriş'!E24-INT('Senet Taksit Giriş'!E24))*100,"##.##")&amp;"  Krş #"</f>
        <v>#   Krş #</v>
      </c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64"/>
    </row>
    <row r="29" spans="1:16" ht="23.85" customHeight="1" x14ac:dyDescent="0.35">
      <c r="A29" s="44"/>
      <c r="B29" s="55"/>
      <c r="C29" s="44"/>
      <c r="D29" s="69" t="s">
        <v>47</v>
      </c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64"/>
    </row>
    <row r="30" spans="1:16" ht="23.85" customHeight="1" x14ac:dyDescent="0.35">
      <c r="A30" s="44"/>
      <c r="B30" s="70"/>
      <c r="C30" s="44"/>
      <c r="D30" s="8" t="str">
        <f>$D$9</f>
        <v>Bursa Fabrika Satış Mağazası – Adem Duman</v>
      </c>
      <c r="E30" s="10"/>
      <c r="F30"/>
      <c r="G30"/>
      <c r="H30"/>
      <c r="I30"/>
      <c r="J30"/>
      <c r="K30"/>
      <c r="L30"/>
      <c r="M30"/>
      <c r="N30"/>
      <c r="O30"/>
      <c r="P30" s="64"/>
    </row>
    <row r="31" spans="1:16" ht="23.85" customHeight="1" x14ac:dyDescent="0.35">
      <c r="A31" s="44"/>
      <c r="B31" s="55"/>
      <c r="C31" s="44"/>
      <c r="D31" s="8"/>
      <c r="E31" s="10"/>
      <c r="F31" s="7" t="s">
        <v>48</v>
      </c>
      <c r="G31" s="2" t="str">
        <f>"İsim : "&amp;$D30</f>
        <v>İsim : Bursa Fabrika Satış Mağazası – Adem Duman</v>
      </c>
      <c r="H31" s="2"/>
      <c r="I31" s="2"/>
      <c r="J31" s="2"/>
      <c r="K31" s="46"/>
      <c r="L31" s="46"/>
      <c r="M31" s="1"/>
      <c r="N31" s="1"/>
      <c r="O31" s="47"/>
      <c r="P31" s="64"/>
    </row>
    <row r="32" spans="1:16" ht="23.85" customHeight="1" x14ac:dyDescent="0.35">
      <c r="A32" s="44"/>
      <c r="B32" s="71"/>
      <c r="C32" s="72"/>
      <c r="D32" s="8"/>
      <c r="E32" s="10"/>
      <c r="F32" s="7"/>
      <c r="G32" s="5" t="str">
        <f>"Adres : " &amp;'Senet Borçlu Alacaklı Giriş'!$C$6</f>
        <v>Adres : Hızarhane Cad. No:5 TOKAT</v>
      </c>
      <c r="H32" s="5"/>
      <c r="I32" s="5"/>
      <c r="J32" s="5"/>
      <c r="K32" s="5"/>
      <c r="L32" s="44"/>
      <c r="M32" s="44"/>
      <c r="N32" s="44"/>
      <c r="O32" s="64"/>
      <c r="P32" s="64"/>
    </row>
    <row r="33" spans="1:16" ht="23.85" customHeight="1" x14ac:dyDescent="0.35">
      <c r="A33" s="44"/>
      <c r="B33" s="71"/>
      <c r="C33" s="72"/>
      <c r="D33" s="8"/>
      <c r="E33" s="10"/>
      <c r="F33" s="7"/>
      <c r="G33" s="5"/>
      <c r="H33" s="5"/>
      <c r="I33" s="5"/>
      <c r="J33" s="5"/>
      <c r="K33" s="5"/>
      <c r="L33" s="56" t="s">
        <v>49</v>
      </c>
      <c r="M33" s="56"/>
      <c r="N33" s="52"/>
      <c r="O33" s="64"/>
      <c r="P33" s="64"/>
    </row>
    <row r="34" spans="1:16" ht="23.85" customHeight="1" x14ac:dyDescent="0.35">
      <c r="A34" s="44"/>
      <c r="B34" s="71"/>
      <c r="C34" s="72"/>
      <c r="D34" s="8"/>
      <c r="E34" s="10"/>
      <c r="F34" s="7"/>
      <c r="G34" s="4" t="str">
        <f>"Vergi Dairesi : "&amp;'Senet Borçlu Alacaklı Giriş'!$C$7</f>
        <v>Vergi Dairesi : Tokat</v>
      </c>
      <c r="H34" s="4"/>
      <c r="I34" s="4"/>
      <c r="J34" s="4"/>
      <c r="K34" s="44"/>
      <c r="L34" s="44"/>
      <c r="M34" s="44"/>
      <c r="N34" s="44"/>
      <c r="O34" s="64"/>
      <c r="P34" s="64"/>
    </row>
    <row r="35" spans="1:16" ht="23.85" customHeight="1" x14ac:dyDescent="0.35">
      <c r="A35" s="44"/>
      <c r="B35" s="55"/>
      <c r="C35" s="44"/>
      <c r="D35" s="8"/>
      <c r="E35" s="10"/>
      <c r="F35" s="7"/>
      <c r="G35" s="3" t="str">
        <f>"Vergi No / TC Kimlik No : "&amp;'Senet Borçlu Alacaklı Giriş'!$C$8</f>
        <v>Vergi No / TC Kimlik No : 341 3267 6260</v>
      </c>
      <c r="H35" s="3"/>
      <c r="I35" s="3"/>
      <c r="J35" s="3"/>
      <c r="K35" s="73"/>
      <c r="L35" s="73"/>
      <c r="M35" s="73"/>
      <c r="N35" s="73"/>
      <c r="O35" s="74"/>
      <c r="P35" s="64"/>
    </row>
    <row r="36" spans="1:16" ht="23.85" customHeight="1" x14ac:dyDescent="0.35">
      <c r="A36" s="44"/>
      <c r="B36" s="70"/>
      <c r="C36" s="44"/>
      <c r="D36" s="8"/>
      <c r="E36" s="10"/>
      <c r="F36" s="7" t="s">
        <v>17</v>
      </c>
      <c r="G36" s="2" t="str">
        <f>"İsim Unvan : "&amp;'Senet Borçlu Alacaklı Giriş'!$C$9</f>
        <v>İsim Unvan : Adem Duman</v>
      </c>
      <c r="H36" s="2"/>
      <c r="I36" s="2"/>
      <c r="J36" s="2"/>
      <c r="K36" s="46"/>
      <c r="L36" s="75"/>
      <c r="M36" s="46"/>
      <c r="N36" s="46"/>
      <c r="O36" s="47"/>
      <c r="P36" s="64"/>
    </row>
    <row r="37" spans="1:16" ht="23.85" customHeight="1" x14ac:dyDescent="0.35">
      <c r="A37" s="44"/>
      <c r="B37" s="55"/>
      <c r="C37" s="44"/>
      <c r="D37" s="66" t="s">
        <v>50</v>
      </c>
      <c r="E37" s="10"/>
      <c r="F37" s="7"/>
      <c r="G37" s="5" t="str">
        <f>"Adres : " &amp;'Senet Borçlu Alacaklı Giriş'!$C$10</f>
        <v>Adres : Esentepe Mah. Şehit Ulaşar Cad. Belde Sitesi B Blk. K1: D:3 TOKAT</v>
      </c>
      <c r="H37" s="5"/>
      <c r="I37" s="5"/>
      <c r="J37" s="5"/>
      <c r="K37" s="44"/>
      <c r="L37" s="44"/>
      <c r="M37" s="44"/>
      <c r="N37" s="44"/>
      <c r="O37" s="64"/>
      <c r="P37" s="64"/>
    </row>
    <row r="38" spans="1:16" ht="23.85" customHeight="1" x14ac:dyDescent="0.35">
      <c r="A38" s="44"/>
      <c r="B38" s="70"/>
      <c r="C38" s="44"/>
      <c r="D38" s="76">
        <f>'Senet Taksit Giriş'!D4</f>
        <v>44316</v>
      </c>
      <c r="E38" s="10"/>
      <c r="F38" s="7"/>
      <c r="G38" s="5"/>
      <c r="H38" s="5"/>
      <c r="I38" s="5"/>
      <c r="J38" s="5"/>
      <c r="K38" s="44"/>
      <c r="L38" s="56" t="s">
        <v>49</v>
      </c>
      <c r="M38" s="44"/>
      <c r="N38" s="44"/>
      <c r="O38" s="64"/>
      <c r="P38" s="64"/>
    </row>
    <row r="39" spans="1:16" ht="23.85" customHeight="1" x14ac:dyDescent="0.35">
      <c r="A39" s="44"/>
      <c r="B39" s="55"/>
      <c r="C39" s="44"/>
      <c r="D39" s="66" t="s">
        <v>51</v>
      </c>
      <c r="E39" s="10"/>
      <c r="F39" s="7"/>
      <c r="G39" s="4" t="str">
        <f>"Vergi Dairesi : "&amp;'Senet Borçlu Alacaklı Giriş'!$C$11</f>
        <v>Vergi Dairesi : Tokat</v>
      </c>
      <c r="H39" s="4"/>
      <c r="I39" s="4"/>
      <c r="J39" s="4"/>
      <c r="K39" s="44"/>
      <c r="L39" s="44"/>
      <c r="M39" s="44"/>
      <c r="N39" s="44"/>
      <c r="O39" s="64"/>
      <c r="P39" s="64"/>
    </row>
    <row r="40" spans="1:16" ht="23.85" customHeight="1" x14ac:dyDescent="0.35">
      <c r="A40" s="44"/>
      <c r="B40" s="55"/>
      <c r="C40" s="44"/>
      <c r="D40" s="76">
        <f>'Senet Taksit Giriş'!C4</f>
        <v>44252</v>
      </c>
      <c r="E40" s="10"/>
      <c r="F40" s="7"/>
      <c r="G40" s="3" t="str">
        <f>"Vergi No / TC Kimlik No : "&amp;'Senet Borçlu Alacaklı Giriş'!$C$12</f>
        <v>Vergi No / TC Kimlik No : 341 3267 6260</v>
      </c>
      <c r="H40" s="3"/>
      <c r="I40" s="3"/>
      <c r="J40" s="3"/>
      <c r="K40" s="73"/>
      <c r="L40" s="73"/>
      <c r="M40" s="73"/>
      <c r="N40" s="73"/>
      <c r="O40" s="74"/>
      <c r="P40" s="64"/>
    </row>
    <row r="41" spans="1:16" ht="23.85" customHeight="1" x14ac:dyDescent="0.35">
      <c r="A41" s="44"/>
      <c r="B41" s="77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4"/>
    </row>
    <row r="43" spans="1:16" ht="23.85" customHeight="1" x14ac:dyDescent="0.35">
      <c r="A43" s="44"/>
      <c r="B43" s="45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7"/>
    </row>
    <row r="44" spans="1:16" ht="23.85" customHeight="1" x14ac:dyDescent="0.35">
      <c r="A44" s="48"/>
      <c r="B44" s="49"/>
      <c r="C44" s="48"/>
      <c r="D44" s="50" t="s">
        <v>40</v>
      </c>
      <c r="E44" s="10" t="str">
        <f>$D51 &amp;"    - Taksit No: " &amp; $D46&amp;"  "</f>
        <v xml:space="preserve">Bursa Fabrika Satış Mağazası – Adem Duman    - Taksit No: # 3 #  </v>
      </c>
      <c r="F44" s="48"/>
      <c r="G44" s="51" t="s">
        <v>41</v>
      </c>
      <c r="H44" s="48"/>
      <c r="I44" s="51" t="s">
        <v>42</v>
      </c>
      <c r="J44" s="51" t="s">
        <v>43</v>
      </c>
      <c r="K44"/>
      <c r="L44" s="48"/>
      <c r="M44" s="51" t="s">
        <v>44</v>
      </c>
      <c r="N44" s="52"/>
      <c r="O44" s="51" t="s">
        <v>21</v>
      </c>
      <c r="P44" s="53"/>
    </row>
    <row r="45" spans="1:16" ht="23.85" customHeight="1" x14ac:dyDescent="0.35">
      <c r="A45" s="44"/>
      <c r="B45" s="55"/>
      <c r="C45" s="56"/>
      <c r="D45" s="57" t="s">
        <v>45</v>
      </c>
      <c r="E45" s="10"/>
      <c r="F45" s="44"/>
      <c r="G45" s="58">
        <f>D59</f>
        <v>44346</v>
      </c>
      <c r="H45" s="59"/>
      <c r="I45" s="60" t="str">
        <f>D48</f>
        <v># 2.000 TL #</v>
      </c>
      <c r="J45" s="61" t="str">
        <f>D49</f>
        <v>#   Krş #</v>
      </c>
      <c r="K45"/>
      <c r="L45" s="59"/>
      <c r="M45" s="62" t="str">
        <f>D46</f>
        <v># 3 #</v>
      </c>
      <c r="N45" s="52"/>
      <c r="O45" s="63">
        <f>D61</f>
        <v>44252</v>
      </c>
      <c r="P45" s="64"/>
    </row>
    <row r="46" spans="1:16" ht="23.85" customHeight="1" x14ac:dyDescent="0.35">
      <c r="A46" s="44"/>
      <c r="B46" s="55"/>
      <c r="C46" s="56"/>
      <c r="D46" s="65" t="str">
        <f>"# "&amp;TEXT(INT('Senet Taksit Giriş'!B5),"##.##0")&amp;" #"</f>
        <v># 3 #</v>
      </c>
      <c r="E46" s="10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64"/>
    </row>
    <row r="47" spans="1:16" ht="23.85" customHeight="1" x14ac:dyDescent="0.35">
      <c r="A47" s="44"/>
      <c r="B47" s="55"/>
      <c r="C47" s="56"/>
      <c r="D47" s="66" t="s">
        <v>46</v>
      </c>
      <c r="E47" s="10"/>
      <c r="F47" s="9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47" s="9"/>
      <c r="H47" s="9"/>
      <c r="I47" s="9"/>
      <c r="J47" s="9"/>
      <c r="K47" s="9"/>
      <c r="L47" s="9"/>
      <c r="M47" s="9"/>
      <c r="N47" s="9"/>
      <c r="O47" s="9"/>
      <c r="P47" s="64"/>
    </row>
    <row r="48" spans="1:16" ht="23.85" customHeight="1" x14ac:dyDescent="0.35">
      <c r="A48" s="44"/>
      <c r="B48" s="55"/>
      <c r="C48" s="56"/>
      <c r="D48" s="67" t="str">
        <f>"# "&amp;TEXT(INT('Senet Taksit Giriş'!E5),"##.##0")&amp;" TL #"</f>
        <v># 2.000 TL #</v>
      </c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64"/>
    </row>
    <row r="49" spans="1:16" ht="23.85" customHeight="1" x14ac:dyDescent="0.35">
      <c r="A49" s="44"/>
      <c r="B49" s="55"/>
      <c r="C49" s="44"/>
      <c r="D49" s="68" t="str">
        <f>"# "&amp;TEXT(('Senet Taksit Giriş'!E46-INT('Senet Taksit Giriş'!E46))*100,"##.##")&amp;"  Krş #"</f>
        <v>#   Krş #</v>
      </c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64"/>
    </row>
    <row r="50" spans="1:16" ht="23.85" customHeight="1" x14ac:dyDescent="0.35">
      <c r="A50" s="44"/>
      <c r="B50" s="55"/>
      <c r="C50" s="44"/>
      <c r="D50" s="69" t="s">
        <v>47</v>
      </c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64"/>
    </row>
    <row r="51" spans="1:16" ht="23.85" customHeight="1" x14ac:dyDescent="0.35">
      <c r="A51" s="44"/>
      <c r="B51" s="70"/>
      <c r="C51" s="44"/>
      <c r="D51" s="8" t="str">
        <f>$D$9</f>
        <v>Bursa Fabrika Satış Mağazası – Adem Duman</v>
      </c>
      <c r="E51" s="10"/>
      <c r="F51"/>
      <c r="G51"/>
      <c r="H51"/>
      <c r="I51"/>
      <c r="J51"/>
      <c r="K51"/>
      <c r="L51"/>
      <c r="M51"/>
      <c r="N51"/>
      <c r="O51"/>
      <c r="P51" s="64"/>
    </row>
    <row r="52" spans="1:16" ht="23.85" customHeight="1" x14ac:dyDescent="0.35">
      <c r="A52" s="44"/>
      <c r="B52" s="55"/>
      <c r="C52" s="44"/>
      <c r="D52" s="8"/>
      <c r="E52" s="10"/>
      <c r="F52" s="7" t="s">
        <v>48</v>
      </c>
      <c r="G52" s="2" t="str">
        <f>"İsim : "&amp;$D51</f>
        <v>İsim : Bursa Fabrika Satış Mağazası – Adem Duman</v>
      </c>
      <c r="H52" s="2"/>
      <c r="I52" s="2"/>
      <c r="J52" s="2"/>
      <c r="K52" s="46"/>
      <c r="L52" s="46"/>
      <c r="M52" s="1"/>
      <c r="N52" s="1"/>
      <c r="O52" s="47"/>
      <c r="P52" s="64"/>
    </row>
    <row r="53" spans="1:16" ht="23.85" customHeight="1" x14ac:dyDescent="0.35">
      <c r="A53" s="44"/>
      <c r="B53" s="71"/>
      <c r="C53" s="72"/>
      <c r="D53" s="8"/>
      <c r="E53" s="10"/>
      <c r="F53" s="7"/>
      <c r="G53" s="5" t="str">
        <f>"Adres : " &amp;'Senet Borçlu Alacaklı Giriş'!$C$6</f>
        <v>Adres : Hızarhane Cad. No:5 TOKAT</v>
      </c>
      <c r="H53" s="5"/>
      <c r="I53" s="5"/>
      <c r="J53" s="5"/>
      <c r="K53" s="5"/>
      <c r="L53" s="44"/>
      <c r="M53" s="44"/>
      <c r="N53" s="44"/>
      <c r="O53" s="64"/>
      <c r="P53" s="64"/>
    </row>
    <row r="54" spans="1:16" ht="23.85" customHeight="1" x14ac:dyDescent="0.35">
      <c r="A54" s="44"/>
      <c r="B54" s="71"/>
      <c r="C54" s="72"/>
      <c r="D54" s="8"/>
      <c r="E54" s="10"/>
      <c r="F54" s="7"/>
      <c r="G54" s="5"/>
      <c r="H54" s="5"/>
      <c r="I54" s="5"/>
      <c r="J54" s="5"/>
      <c r="K54" s="5"/>
      <c r="L54" s="56" t="s">
        <v>49</v>
      </c>
      <c r="M54" s="56"/>
      <c r="N54" s="52"/>
      <c r="O54" s="64"/>
      <c r="P54" s="64"/>
    </row>
    <row r="55" spans="1:16" ht="23.85" customHeight="1" x14ac:dyDescent="0.35">
      <c r="A55" s="44"/>
      <c r="B55" s="71"/>
      <c r="C55" s="72"/>
      <c r="D55" s="8"/>
      <c r="E55" s="10"/>
      <c r="F55" s="7"/>
      <c r="G55" s="4" t="str">
        <f>"Vergi Dairesi : "&amp;'Senet Borçlu Alacaklı Giriş'!$C$7</f>
        <v>Vergi Dairesi : Tokat</v>
      </c>
      <c r="H55" s="4"/>
      <c r="I55" s="4"/>
      <c r="J55" s="4"/>
      <c r="K55" s="44"/>
      <c r="L55" s="44"/>
      <c r="M55" s="44"/>
      <c r="N55" s="44"/>
      <c r="O55" s="64"/>
      <c r="P55" s="64"/>
    </row>
    <row r="56" spans="1:16" ht="23.85" customHeight="1" x14ac:dyDescent="0.35">
      <c r="A56" s="44"/>
      <c r="B56" s="55"/>
      <c r="C56" s="44"/>
      <c r="D56" s="8"/>
      <c r="E56" s="10"/>
      <c r="F56" s="7"/>
      <c r="G56" s="3" t="str">
        <f>"Vergi No / TC Kimlik No : "&amp;'Senet Borçlu Alacaklı Giriş'!$C$8</f>
        <v>Vergi No / TC Kimlik No : 341 3267 6260</v>
      </c>
      <c r="H56" s="3"/>
      <c r="I56" s="3"/>
      <c r="J56" s="3"/>
      <c r="K56" s="73"/>
      <c r="L56" s="73"/>
      <c r="M56" s="73"/>
      <c r="N56" s="73"/>
      <c r="O56" s="74"/>
      <c r="P56" s="64"/>
    </row>
    <row r="57" spans="1:16" ht="23.85" customHeight="1" x14ac:dyDescent="0.35">
      <c r="A57" s="44"/>
      <c r="B57" s="70"/>
      <c r="C57" s="44"/>
      <c r="D57" s="8"/>
      <c r="E57" s="10"/>
      <c r="F57" s="7" t="s">
        <v>17</v>
      </c>
      <c r="G57" s="2" t="str">
        <f>"İsim Unvan : "&amp;'Senet Borçlu Alacaklı Giriş'!$C$9</f>
        <v>İsim Unvan : Adem Duman</v>
      </c>
      <c r="H57" s="2"/>
      <c r="I57" s="2"/>
      <c r="J57" s="2"/>
      <c r="K57" s="46"/>
      <c r="L57" s="75"/>
      <c r="M57" s="46"/>
      <c r="N57" s="46"/>
      <c r="O57" s="47"/>
      <c r="P57" s="64"/>
    </row>
    <row r="58" spans="1:16" ht="23.85" customHeight="1" x14ac:dyDescent="0.35">
      <c r="A58" s="44"/>
      <c r="B58" s="55"/>
      <c r="C58" s="44"/>
      <c r="D58" s="66" t="s">
        <v>50</v>
      </c>
      <c r="E58" s="10"/>
      <c r="F58" s="7"/>
      <c r="G58" s="5" t="str">
        <f>"Adres : " &amp;'Senet Borçlu Alacaklı Giriş'!$C$10</f>
        <v>Adres : Esentepe Mah. Şehit Ulaşar Cad. Belde Sitesi B Blk. K1: D:3 TOKAT</v>
      </c>
      <c r="H58" s="5"/>
      <c r="I58" s="5"/>
      <c r="J58" s="5"/>
      <c r="K58" s="44"/>
      <c r="L58" s="44"/>
      <c r="M58" s="44"/>
      <c r="N58" s="44"/>
      <c r="O58" s="64"/>
      <c r="P58" s="64"/>
    </row>
    <row r="59" spans="1:16" ht="23.85" customHeight="1" x14ac:dyDescent="0.35">
      <c r="A59" s="44"/>
      <c r="B59" s="70"/>
      <c r="C59" s="44"/>
      <c r="D59" s="76">
        <f>'Senet Taksit Giriş'!D5</f>
        <v>44346</v>
      </c>
      <c r="E59" s="10"/>
      <c r="F59" s="7"/>
      <c r="G59" s="5"/>
      <c r="H59" s="5"/>
      <c r="I59" s="5"/>
      <c r="J59" s="5"/>
      <c r="K59" s="44"/>
      <c r="L59" s="56" t="s">
        <v>49</v>
      </c>
      <c r="M59" s="44"/>
      <c r="N59" s="44"/>
      <c r="O59" s="64"/>
      <c r="P59" s="64"/>
    </row>
    <row r="60" spans="1:16" ht="23.85" customHeight="1" x14ac:dyDescent="0.35">
      <c r="A60" s="44"/>
      <c r="B60" s="55"/>
      <c r="C60" s="44"/>
      <c r="D60" s="66" t="s">
        <v>51</v>
      </c>
      <c r="E60" s="10"/>
      <c r="F60" s="7"/>
      <c r="G60" s="4" t="str">
        <f>"Vergi Dairesi : "&amp;'Senet Borçlu Alacaklı Giriş'!$C$11</f>
        <v>Vergi Dairesi : Tokat</v>
      </c>
      <c r="H60" s="4"/>
      <c r="I60" s="4"/>
      <c r="J60" s="4"/>
      <c r="K60" s="44"/>
      <c r="L60" s="44"/>
      <c r="M60" s="44"/>
      <c r="N60" s="44"/>
      <c r="O60" s="64"/>
      <c r="P60" s="64"/>
    </row>
    <row r="61" spans="1:16" ht="23.85" customHeight="1" x14ac:dyDescent="0.35">
      <c r="A61" s="44"/>
      <c r="B61" s="55"/>
      <c r="C61" s="44"/>
      <c r="D61" s="76">
        <f>'Senet Taksit Giriş'!C5</f>
        <v>44252</v>
      </c>
      <c r="E61" s="10"/>
      <c r="F61" s="7"/>
      <c r="G61" s="3" t="str">
        <f>"Vergi No / TC Kimlik No : "&amp;'Senet Borçlu Alacaklı Giriş'!$C$12</f>
        <v>Vergi No / TC Kimlik No : 341 3267 6260</v>
      </c>
      <c r="H61" s="3"/>
      <c r="I61" s="3"/>
      <c r="J61" s="3"/>
      <c r="K61" s="73"/>
      <c r="L61" s="73"/>
      <c r="M61" s="73"/>
      <c r="N61" s="73"/>
      <c r="O61" s="74"/>
      <c r="P61" s="64"/>
    </row>
    <row r="62" spans="1:16" ht="23.85" customHeight="1" x14ac:dyDescent="0.35">
      <c r="A62" s="44"/>
      <c r="B62" s="77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4"/>
    </row>
    <row r="63" spans="1:16" ht="23.85" customHeight="1" x14ac:dyDescent="0.35">
      <c r="A63" s="44"/>
      <c r="B63" s="45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7"/>
    </row>
    <row r="64" spans="1:16" ht="23.85" customHeight="1" x14ac:dyDescent="0.35">
      <c r="A64" s="48"/>
      <c r="B64" s="49"/>
      <c r="C64" s="48"/>
      <c r="D64" s="50" t="s">
        <v>40</v>
      </c>
      <c r="E64" s="10" t="str">
        <f>$D71 &amp;"    - Taksit No: " &amp; $D66&amp;"  "</f>
        <v xml:space="preserve">Bursa Fabrika Satış Mağazası – Adem Duman    - Taksit No: # 4 #  </v>
      </c>
      <c r="F64" s="48"/>
      <c r="G64" s="51" t="s">
        <v>41</v>
      </c>
      <c r="H64" s="48"/>
      <c r="I64" s="51" t="s">
        <v>42</v>
      </c>
      <c r="J64" s="51" t="s">
        <v>43</v>
      </c>
      <c r="K64"/>
      <c r="L64" s="48"/>
      <c r="M64" s="51" t="s">
        <v>44</v>
      </c>
      <c r="N64" s="52"/>
      <c r="O64" s="51" t="s">
        <v>21</v>
      </c>
      <c r="P64" s="53"/>
    </row>
    <row r="65" spans="1:16" ht="23.85" customHeight="1" x14ac:dyDescent="0.35">
      <c r="A65" s="44"/>
      <c r="B65" s="55"/>
      <c r="C65" s="56"/>
      <c r="D65" s="57" t="s">
        <v>45</v>
      </c>
      <c r="E65" s="10"/>
      <c r="F65" s="44"/>
      <c r="G65" s="58">
        <f>D79</f>
        <v>44377</v>
      </c>
      <c r="H65" s="59"/>
      <c r="I65" s="60" t="str">
        <f>D68</f>
        <v># 2.000 TL #</v>
      </c>
      <c r="J65" s="61" t="str">
        <f>D69</f>
        <v>#   Krş #</v>
      </c>
      <c r="K65"/>
      <c r="L65" s="59"/>
      <c r="M65" s="62" t="str">
        <f>D66</f>
        <v># 4 #</v>
      </c>
      <c r="N65" s="52"/>
      <c r="O65" s="63">
        <f>D81</f>
        <v>44252</v>
      </c>
      <c r="P65" s="64"/>
    </row>
    <row r="66" spans="1:16" ht="23.85" customHeight="1" x14ac:dyDescent="0.35">
      <c r="A66" s="44"/>
      <c r="B66" s="55"/>
      <c r="C66" s="56"/>
      <c r="D66" s="65" t="str">
        <f>"# "&amp;TEXT(INT('Senet Taksit Giriş'!B6),"##.##0")&amp;" #"</f>
        <v># 4 #</v>
      </c>
      <c r="E66" s="10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64"/>
    </row>
    <row r="67" spans="1:16" ht="23.85" customHeight="1" x14ac:dyDescent="0.35">
      <c r="A67" s="44"/>
      <c r="B67" s="55"/>
      <c r="C67" s="56"/>
      <c r="D67" s="66" t="s">
        <v>46</v>
      </c>
      <c r="E67" s="10"/>
      <c r="F67" s="9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67" s="9"/>
      <c r="H67" s="9"/>
      <c r="I67" s="9"/>
      <c r="J67" s="9"/>
      <c r="K67" s="9"/>
      <c r="L67" s="9"/>
      <c r="M67" s="9"/>
      <c r="N67" s="9"/>
      <c r="O67" s="9"/>
      <c r="P67" s="64"/>
    </row>
    <row r="68" spans="1:16" ht="23.85" customHeight="1" x14ac:dyDescent="0.35">
      <c r="A68" s="44"/>
      <c r="B68" s="55"/>
      <c r="C68" s="56"/>
      <c r="D68" s="67" t="str">
        <f>"# "&amp;TEXT(INT('Senet Taksit Giriş'!E6),"##.##0")&amp;" TL #"</f>
        <v># 2.000 TL #</v>
      </c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64"/>
    </row>
    <row r="69" spans="1:16" ht="23.85" customHeight="1" x14ac:dyDescent="0.35">
      <c r="A69" s="44"/>
      <c r="B69" s="55"/>
      <c r="C69" s="44"/>
      <c r="D69" s="68" t="str">
        <f>"# "&amp;TEXT(('Senet Taksit Giriş'!E68-INT('Senet Taksit Giriş'!E68))*100,"##.##")&amp;"  Krş #"</f>
        <v>#   Krş #</v>
      </c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64"/>
    </row>
    <row r="70" spans="1:16" ht="23.85" customHeight="1" x14ac:dyDescent="0.35">
      <c r="A70" s="44"/>
      <c r="B70" s="55"/>
      <c r="C70" s="44"/>
      <c r="D70" s="69" t="s">
        <v>47</v>
      </c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64"/>
    </row>
    <row r="71" spans="1:16" ht="23.85" customHeight="1" x14ac:dyDescent="0.35">
      <c r="A71" s="44"/>
      <c r="B71" s="70"/>
      <c r="C71" s="44"/>
      <c r="D71" s="8" t="str">
        <f>$D$9</f>
        <v>Bursa Fabrika Satış Mağazası – Adem Duman</v>
      </c>
      <c r="E71" s="10"/>
      <c r="F71"/>
      <c r="G71"/>
      <c r="H71"/>
      <c r="I71"/>
      <c r="J71"/>
      <c r="K71"/>
      <c r="L71"/>
      <c r="M71"/>
      <c r="N71"/>
      <c r="O71"/>
      <c r="P71" s="64"/>
    </row>
    <row r="72" spans="1:16" ht="23.85" customHeight="1" x14ac:dyDescent="0.35">
      <c r="A72" s="44"/>
      <c r="B72" s="55"/>
      <c r="C72" s="44"/>
      <c r="D72" s="8"/>
      <c r="E72" s="10"/>
      <c r="F72" s="7" t="s">
        <v>48</v>
      </c>
      <c r="G72" s="2" t="str">
        <f>"İsim : "&amp;$D71</f>
        <v>İsim : Bursa Fabrika Satış Mağazası – Adem Duman</v>
      </c>
      <c r="H72" s="2"/>
      <c r="I72" s="2"/>
      <c r="J72" s="2"/>
      <c r="K72" s="46"/>
      <c r="L72" s="46"/>
      <c r="M72" s="1"/>
      <c r="N72" s="1"/>
      <c r="O72" s="47"/>
      <c r="P72" s="64"/>
    </row>
    <row r="73" spans="1:16" ht="23.85" customHeight="1" x14ac:dyDescent="0.35">
      <c r="A73" s="44"/>
      <c r="B73" s="71"/>
      <c r="C73" s="72"/>
      <c r="D73" s="8"/>
      <c r="E73" s="10"/>
      <c r="F73" s="7"/>
      <c r="G73" s="5" t="str">
        <f>"Adres : " &amp;'Senet Borçlu Alacaklı Giriş'!$C$6</f>
        <v>Adres : Hızarhane Cad. No:5 TOKAT</v>
      </c>
      <c r="H73" s="5"/>
      <c r="I73" s="5"/>
      <c r="J73" s="5"/>
      <c r="K73" s="5"/>
      <c r="L73" s="44"/>
      <c r="M73" s="44"/>
      <c r="N73" s="44"/>
      <c r="O73" s="64"/>
      <c r="P73" s="64"/>
    </row>
    <row r="74" spans="1:16" ht="23.85" customHeight="1" x14ac:dyDescent="0.35">
      <c r="A74" s="44"/>
      <c r="B74" s="71"/>
      <c r="C74" s="72"/>
      <c r="D74" s="8"/>
      <c r="E74" s="10"/>
      <c r="F74" s="7"/>
      <c r="G74" s="5"/>
      <c r="H74" s="5"/>
      <c r="I74" s="5"/>
      <c r="J74" s="5"/>
      <c r="K74" s="5"/>
      <c r="L74" s="56" t="s">
        <v>49</v>
      </c>
      <c r="M74" s="56"/>
      <c r="N74" s="52"/>
      <c r="O74" s="64"/>
      <c r="P74" s="64"/>
    </row>
    <row r="75" spans="1:16" ht="23.85" customHeight="1" x14ac:dyDescent="0.35">
      <c r="A75" s="44"/>
      <c r="B75" s="71"/>
      <c r="C75" s="72"/>
      <c r="D75" s="8"/>
      <c r="E75" s="10"/>
      <c r="F75" s="7"/>
      <c r="G75" s="4" t="str">
        <f>"Vergi Dairesi : "&amp;'Senet Borçlu Alacaklı Giriş'!$C$7</f>
        <v>Vergi Dairesi : Tokat</v>
      </c>
      <c r="H75" s="4"/>
      <c r="I75" s="4"/>
      <c r="J75" s="4"/>
      <c r="K75" s="44"/>
      <c r="L75" s="44"/>
      <c r="M75" s="44"/>
      <c r="N75" s="44"/>
      <c r="O75" s="64"/>
      <c r="P75" s="64"/>
    </row>
    <row r="76" spans="1:16" ht="23.85" customHeight="1" x14ac:dyDescent="0.35">
      <c r="A76" s="44"/>
      <c r="B76" s="55"/>
      <c r="C76" s="44"/>
      <c r="D76" s="8"/>
      <c r="E76" s="10"/>
      <c r="F76" s="7"/>
      <c r="G76" s="3" t="str">
        <f>"Vergi No / TC Kimlik No : "&amp;'Senet Borçlu Alacaklı Giriş'!$C$8</f>
        <v>Vergi No / TC Kimlik No : 341 3267 6260</v>
      </c>
      <c r="H76" s="3"/>
      <c r="I76" s="3"/>
      <c r="J76" s="3"/>
      <c r="K76" s="73"/>
      <c r="L76" s="73"/>
      <c r="M76" s="73"/>
      <c r="N76" s="73"/>
      <c r="O76" s="74"/>
      <c r="P76" s="64"/>
    </row>
    <row r="77" spans="1:16" ht="23.85" customHeight="1" x14ac:dyDescent="0.35">
      <c r="A77" s="44"/>
      <c r="B77" s="70"/>
      <c r="C77" s="44"/>
      <c r="D77" s="8"/>
      <c r="E77" s="10"/>
      <c r="F77" s="7" t="s">
        <v>17</v>
      </c>
      <c r="G77" s="2" t="str">
        <f>"İsim Unvan : "&amp;'Senet Borçlu Alacaklı Giriş'!$C$9</f>
        <v>İsim Unvan : Adem Duman</v>
      </c>
      <c r="H77" s="2"/>
      <c r="I77" s="2"/>
      <c r="J77" s="2"/>
      <c r="K77" s="46"/>
      <c r="L77" s="75"/>
      <c r="M77" s="46"/>
      <c r="N77" s="46"/>
      <c r="O77" s="47"/>
      <c r="P77" s="64"/>
    </row>
    <row r="78" spans="1:16" ht="23.85" customHeight="1" x14ac:dyDescent="0.35">
      <c r="A78" s="44"/>
      <c r="B78" s="55"/>
      <c r="C78" s="44"/>
      <c r="D78" s="66" t="s">
        <v>50</v>
      </c>
      <c r="E78" s="10"/>
      <c r="F78" s="7"/>
      <c r="G78" s="5" t="str">
        <f>"Adres : " &amp;'Senet Borçlu Alacaklı Giriş'!$C$10</f>
        <v>Adres : Esentepe Mah. Şehit Ulaşar Cad. Belde Sitesi B Blk. K1: D:3 TOKAT</v>
      </c>
      <c r="H78" s="5"/>
      <c r="I78" s="5"/>
      <c r="J78" s="5"/>
      <c r="K78" s="44"/>
      <c r="L78" s="44"/>
      <c r="M78" s="44"/>
      <c r="N78" s="44"/>
      <c r="O78" s="64"/>
      <c r="P78" s="64"/>
    </row>
    <row r="79" spans="1:16" ht="23.85" customHeight="1" x14ac:dyDescent="0.35">
      <c r="A79" s="44"/>
      <c r="B79" s="70"/>
      <c r="C79" s="44"/>
      <c r="D79" s="76">
        <f>'Senet Taksit Giriş'!D6</f>
        <v>44377</v>
      </c>
      <c r="E79" s="10"/>
      <c r="F79" s="7"/>
      <c r="G79" s="5"/>
      <c r="H79" s="5"/>
      <c r="I79" s="5"/>
      <c r="J79" s="5"/>
      <c r="K79" s="44"/>
      <c r="L79" s="56" t="s">
        <v>49</v>
      </c>
      <c r="M79" s="44"/>
      <c r="N79" s="44"/>
      <c r="O79" s="64"/>
      <c r="P79" s="64"/>
    </row>
    <row r="80" spans="1:16" ht="23.85" customHeight="1" x14ac:dyDescent="0.35">
      <c r="A80" s="44"/>
      <c r="B80" s="55"/>
      <c r="C80" s="44"/>
      <c r="D80" s="66" t="s">
        <v>51</v>
      </c>
      <c r="E80" s="10"/>
      <c r="F80" s="7"/>
      <c r="G80" s="4" t="str">
        <f>"Vergi Dairesi : "&amp;'Senet Borçlu Alacaklı Giriş'!$C$11</f>
        <v>Vergi Dairesi : Tokat</v>
      </c>
      <c r="H80" s="4"/>
      <c r="I80" s="4"/>
      <c r="J80" s="4"/>
      <c r="K80" s="44"/>
      <c r="L80" s="44"/>
      <c r="M80" s="44"/>
      <c r="N80" s="44"/>
      <c r="O80" s="64"/>
      <c r="P80" s="64"/>
    </row>
    <row r="81" spans="1:16" ht="23.85" customHeight="1" x14ac:dyDescent="0.35">
      <c r="A81" s="44"/>
      <c r="B81" s="55"/>
      <c r="C81" s="44"/>
      <c r="D81" s="76">
        <f>'Senet Taksit Giriş'!C6</f>
        <v>44252</v>
      </c>
      <c r="E81" s="10"/>
      <c r="F81" s="7"/>
      <c r="G81" s="3" t="str">
        <f>"Vergi No / TC Kimlik No : "&amp;'Senet Borçlu Alacaklı Giriş'!$C$12</f>
        <v>Vergi No / TC Kimlik No : 341 3267 6260</v>
      </c>
      <c r="H81" s="3"/>
      <c r="I81" s="3"/>
      <c r="J81" s="3"/>
      <c r="K81" s="73"/>
      <c r="L81" s="73"/>
      <c r="M81" s="73"/>
      <c r="N81" s="73"/>
      <c r="O81" s="74"/>
      <c r="P81" s="64"/>
    </row>
    <row r="82" spans="1:16" ht="23.85" customHeight="1" x14ac:dyDescent="0.35">
      <c r="A82" s="44"/>
      <c r="B82" s="77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4"/>
    </row>
    <row r="84" spans="1:16" ht="23.85" customHeight="1" x14ac:dyDescent="0.35">
      <c r="A84" s="44"/>
      <c r="B84" s="45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7"/>
    </row>
    <row r="85" spans="1:16" ht="23.85" customHeight="1" x14ac:dyDescent="0.35">
      <c r="A85" s="48"/>
      <c r="B85" s="49"/>
      <c r="C85" s="48"/>
      <c r="D85" s="50" t="s">
        <v>40</v>
      </c>
      <c r="E85" s="10" t="str">
        <f>$D92 &amp;"    - Taksit No: " &amp; $D87&amp;"  "</f>
        <v xml:space="preserve">Bursa Fabrika Satış Mağazası – Adem Duman    - Taksit No: # 5 #  </v>
      </c>
      <c r="F85" s="48"/>
      <c r="G85" s="51" t="s">
        <v>41</v>
      </c>
      <c r="H85" s="48"/>
      <c r="I85" s="51" t="s">
        <v>42</v>
      </c>
      <c r="J85" s="51" t="s">
        <v>43</v>
      </c>
      <c r="K85"/>
      <c r="L85" s="48"/>
      <c r="M85" s="51" t="s">
        <v>44</v>
      </c>
      <c r="N85" s="52"/>
      <c r="O85" s="51" t="s">
        <v>21</v>
      </c>
      <c r="P85" s="53"/>
    </row>
    <row r="86" spans="1:16" ht="23.85" customHeight="1" x14ac:dyDescent="0.35">
      <c r="A86" s="44"/>
      <c r="B86" s="55"/>
      <c r="C86" s="56"/>
      <c r="D86" s="57" t="s">
        <v>45</v>
      </c>
      <c r="E86" s="10"/>
      <c r="F86" s="44"/>
      <c r="G86" s="58">
        <f>D100</f>
        <v>44407</v>
      </c>
      <c r="H86" s="59"/>
      <c r="I86" s="60" t="str">
        <f>D89</f>
        <v># 14.000 TL #</v>
      </c>
      <c r="J86" s="61" t="str">
        <f>D90</f>
        <v>#   Krş #</v>
      </c>
      <c r="K86"/>
      <c r="L86" s="59"/>
      <c r="M86" s="62" t="str">
        <f>D87</f>
        <v># 5 #</v>
      </c>
      <c r="N86" s="52"/>
      <c r="O86" s="63">
        <f>D102</f>
        <v>44252</v>
      </c>
      <c r="P86" s="64"/>
    </row>
    <row r="87" spans="1:16" ht="23.85" customHeight="1" x14ac:dyDescent="0.35">
      <c r="A87" s="44"/>
      <c r="B87" s="55"/>
      <c r="C87" s="56"/>
      <c r="D87" s="65" t="str">
        <f>"# "&amp;TEXT(INT('Senet Taksit Giriş'!B7),"##.##0")&amp;" #"</f>
        <v># 5 #</v>
      </c>
      <c r="E87" s="10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64"/>
    </row>
    <row r="88" spans="1:16" ht="23.85" customHeight="1" x14ac:dyDescent="0.35">
      <c r="A88" s="44"/>
      <c r="B88" s="55"/>
      <c r="C88" s="56"/>
      <c r="D88" s="66" t="s">
        <v>46</v>
      </c>
      <c r="E88" s="10"/>
      <c r="F88" s="9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Ondörtbin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88" s="9"/>
      <c r="H88" s="9"/>
      <c r="I88" s="9"/>
      <c r="J88" s="9"/>
      <c r="K88" s="9"/>
      <c r="L88" s="9"/>
      <c r="M88" s="9"/>
      <c r="N88" s="9"/>
      <c r="O88" s="9"/>
      <c r="P88" s="64"/>
    </row>
    <row r="89" spans="1:16" ht="23.85" customHeight="1" x14ac:dyDescent="0.35">
      <c r="A89" s="44"/>
      <c r="B89" s="55"/>
      <c r="C89" s="56"/>
      <c r="D89" s="67" t="str">
        <f>"# "&amp;TEXT(INT('Senet Taksit Giriş'!E7),"##.##0")&amp;" TL #"</f>
        <v># 14.000 TL #</v>
      </c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64"/>
    </row>
    <row r="90" spans="1:16" ht="23.85" customHeight="1" x14ac:dyDescent="0.35">
      <c r="A90" s="44"/>
      <c r="B90" s="55"/>
      <c r="C90" s="44"/>
      <c r="D90" s="68" t="str">
        <f>"# "&amp;TEXT(('Senet Taksit Giriş'!E90-INT('Senet Taksit Giriş'!E90))*100,"##.##")&amp;"  Krş #"</f>
        <v>#   Krş #</v>
      </c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64"/>
    </row>
    <row r="91" spans="1:16" ht="23.85" customHeight="1" x14ac:dyDescent="0.35">
      <c r="A91" s="44"/>
      <c r="B91" s="55"/>
      <c r="C91" s="44"/>
      <c r="D91" s="69" t="s">
        <v>47</v>
      </c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64"/>
    </row>
    <row r="92" spans="1:16" ht="23.85" customHeight="1" x14ac:dyDescent="0.35">
      <c r="A92" s="44"/>
      <c r="B92" s="70"/>
      <c r="C92" s="44"/>
      <c r="D92" s="8" t="str">
        <f>$D$9</f>
        <v>Bursa Fabrika Satış Mağazası – Adem Duman</v>
      </c>
      <c r="E92" s="10"/>
      <c r="F92"/>
      <c r="G92"/>
      <c r="H92"/>
      <c r="I92"/>
      <c r="J92"/>
      <c r="K92"/>
      <c r="L92"/>
      <c r="M92"/>
      <c r="N92"/>
      <c r="O92"/>
      <c r="P92" s="64"/>
    </row>
    <row r="93" spans="1:16" ht="23.85" customHeight="1" x14ac:dyDescent="0.35">
      <c r="A93" s="44"/>
      <c r="B93" s="55"/>
      <c r="C93" s="44"/>
      <c r="D93" s="8"/>
      <c r="E93" s="10"/>
      <c r="F93" s="7" t="s">
        <v>48</v>
      </c>
      <c r="G93" s="2" t="str">
        <f>"İsim : "&amp;$D92</f>
        <v>İsim : Bursa Fabrika Satış Mağazası – Adem Duman</v>
      </c>
      <c r="H93" s="2"/>
      <c r="I93" s="2"/>
      <c r="J93" s="2"/>
      <c r="K93" s="46"/>
      <c r="L93" s="46"/>
      <c r="M93" s="1"/>
      <c r="N93" s="1"/>
      <c r="O93" s="47"/>
      <c r="P93" s="64"/>
    </row>
    <row r="94" spans="1:16" ht="23.85" customHeight="1" x14ac:dyDescent="0.35">
      <c r="A94" s="44"/>
      <c r="B94" s="71"/>
      <c r="C94" s="72"/>
      <c r="D94" s="8"/>
      <c r="E94" s="10"/>
      <c r="F94" s="7"/>
      <c r="G94" s="5" t="str">
        <f>"Adres : " &amp;'Senet Borçlu Alacaklı Giriş'!$C$6</f>
        <v>Adres : Hızarhane Cad. No:5 TOKAT</v>
      </c>
      <c r="H94" s="5"/>
      <c r="I94" s="5"/>
      <c r="J94" s="5"/>
      <c r="K94" s="5"/>
      <c r="L94" s="44"/>
      <c r="M94" s="44"/>
      <c r="N94" s="44"/>
      <c r="O94" s="64"/>
      <c r="P94" s="64"/>
    </row>
    <row r="95" spans="1:16" ht="23.85" customHeight="1" x14ac:dyDescent="0.35">
      <c r="A95" s="44"/>
      <c r="B95" s="71"/>
      <c r="C95" s="72"/>
      <c r="D95" s="8"/>
      <c r="E95" s="10"/>
      <c r="F95" s="7"/>
      <c r="G95" s="5"/>
      <c r="H95" s="5"/>
      <c r="I95" s="5"/>
      <c r="J95" s="5"/>
      <c r="K95" s="5"/>
      <c r="L95" s="56" t="s">
        <v>49</v>
      </c>
      <c r="M95" s="56"/>
      <c r="N95" s="52"/>
      <c r="O95" s="64"/>
      <c r="P95" s="64"/>
    </row>
    <row r="96" spans="1:16" ht="23.85" customHeight="1" x14ac:dyDescent="0.35">
      <c r="A96" s="44"/>
      <c r="B96" s="71"/>
      <c r="C96" s="72"/>
      <c r="D96" s="8"/>
      <c r="E96" s="10"/>
      <c r="F96" s="7"/>
      <c r="G96" s="4" t="str">
        <f>"Vergi Dairesi : "&amp;'Senet Borçlu Alacaklı Giriş'!$C$7</f>
        <v>Vergi Dairesi : Tokat</v>
      </c>
      <c r="H96" s="4"/>
      <c r="I96" s="4"/>
      <c r="J96" s="4"/>
      <c r="K96" s="44"/>
      <c r="L96" s="44"/>
      <c r="M96" s="44"/>
      <c r="N96" s="44"/>
      <c r="O96" s="64"/>
      <c r="P96" s="64"/>
    </row>
    <row r="97" spans="1:16" ht="23.85" customHeight="1" x14ac:dyDescent="0.35">
      <c r="A97" s="44"/>
      <c r="B97" s="55"/>
      <c r="C97" s="44"/>
      <c r="D97" s="8"/>
      <c r="E97" s="10"/>
      <c r="F97" s="7"/>
      <c r="G97" s="3" t="str">
        <f>"Vergi No / TC Kimlik No : "&amp;'Senet Borçlu Alacaklı Giriş'!$C$8</f>
        <v>Vergi No / TC Kimlik No : 341 3267 6260</v>
      </c>
      <c r="H97" s="3"/>
      <c r="I97" s="3"/>
      <c r="J97" s="3"/>
      <c r="K97" s="73"/>
      <c r="L97" s="73"/>
      <c r="M97" s="73"/>
      <c r="N97" s="73"/>
      <c r="O97" s="74"/>
      <c r="P97" s="64"/>
    </row>
    <row r="98" spans="1:16" ht="23.85" customHeight="1" x14ac:dyDescent="0.35">
      <c r="A98" s="44"/>
      <c r="B98" s="70"/>
      <c r="C98" s="44"/>
      <c r="D98" s="8"/>
      <c r="E98" s="10"/>
      <c r="F98" s="7" t="s">
        <v>17</v>
      </c>
      <c r="G98" s="2" t="str">
        <f>"İsim Unvan : "&amp;'Senet Borçlu Alacaklı Giriş'!$C$9</f>
        <v>İsim Unvan : Adem Duman</v>
      </c>
      <c r="H98" s="2"/>
      <c r="I98" s="2"/>
      <c r="J98" s="2"/>
      <c r="K98" s="46"/>
      <c r="L98" s="75"/>
      <c r="M98" s="46"/>
      <c r="N98" s="46"/>
      <c r="O98" s="47"/>
      <c r="P98" s="64"/>
    </row>
    <row r="99" spans="1:16" ht="23.85" customHeight="1" x14ac:dyDescent="0.35">
      <c r="A99" s="44"/>
      <c r="B99" s="55"/>
      <c r="C99" s="44"/>
      <c r="D99" s="66" t="s">
        <v>50</v>
      </c>
      <c r="E99" s="10"/>
      <c r="F99" s="7"/>
      <c r="G99" s="5" t="str">
        <f>"Adres : " &amp;'Senet Borçlu Alacaklı Giriş'!$C$10</f>
        <v>Adres : Esentepe Mah. Şehit Ulaşar Cad. Belde Sitesi B Blk. K1: D:3 TOKAT</v>
      </c>
      <c r="H99" s="5"/>
      <c r="I99" s="5"/>
      <c r="J99" s="5"/>
      <c r="K99" s="44"/>
      <c r="L99" s="44"/>
      <c r="M99" s="44"/>
      <c r="N99" s="44"/>
      <c r="O99" s="64"/>
      <c r="P99" s="64"/>
    </row>
    <row r="100" spans="1:16" ht="23.85" customHeight="1" x14ac:dyDescent="0.35">
      <c r="A100" s="44"/>
      <c r="B100" s="70"/>
      <c r="C100" s="44"/>
      <c r="D100" s="76">
        <f>'Senet Taksit Giriş'!D7</f>
        <v>44407</v>
      </c>
      <c r="E100" s="10"/>
      <c r="F100" s="7"/>
      <c r="G100" s="5"/>
      <c r="H100" s="5"/>
      <c r="I100" s="5"/>
      <c r="J100" s="5"/>
      <c r="K100" s="44"/>
      <c r="L100" s="56" t="s">
        <v>49</v>
      </c>
      <c r="M100" s="44"/>
      <c r="N100" s="44"/>
      <c r="O100" s="64"/>
      <c r="P100" s="64"/>
    </row>
    <row r="101" spans="1:16" ht="23.85" customHeight="1" x14ac:dyDescent="0.35">
      <c r="A101" s="44"/>
      <c r="B101" s="55"/>
      <c r="C101" s="44"/>
      <c r="D101" s="66" t="s">
        <v>51</v>
      </c>
      <c r="E101" s="10"/>
      <c r="F101" s="7"/>
      <c r="G101" s="4" t="str">
        <f>"Vergi Dairesi : "&amp;'Senet Borçlu Alacaklı Giriş'!$C$11</f>
        <v>Vergi Dairesi : Tokat</v>
      </c>
      <c r="H101" s="4"/>
      <c r="I101" s="4"/>
      <c r="J101" s="4"/>
      <c r="K101" s="44"/>
      <c r="L101" s="44"/>
      <c r="M101" s="44"/>
      <c r="N101" s="44"/>
      <c r="O101" s="64"/>
      <c r="P101" s="64"/>
    </row>
    <row r="102" spans="1:16" ht="23.85" customHeight="1" x14ac:dyDescent="0.35">
      <c r="A102" s="44"/>
      <c r="B102" s="55"/>
      <c r="C102" s="44"/>
      <c r="D102" s="76">
        <f>'Senet Taksit Giriş'!C7</f>
        <v>44252</v>
      </c>
      <c r="E102" s="10"/>
      <c r="F102" s="7"/>
      <c r="G102" s="3" t="str">
        <f>"Vergi No / TC Kimlik No : "&amp;'Senet Borçlu Alacaklı Giriş'!$C$12</f>
        <v>Vergi No / TC Kimlik No : 341 3267 6260</v>
      </c>
      <c r="H102" s="3"/>
      <c r="I102" s="3"/>
      <c r="J102" s="3"/>
      <c r="K102" s="73"/>
      <c r="L102" s="73"/>
      <c r="M102" s="73"/>
      <c r="N102" s="73"/>
      <c r="O102" s="74"/>
      <c r="P102" s="64"/>
    </row>
    <row r="103" spans="1:16" ht="23.85" customHeight="1" x14ac:dyDescent="0.35">
      <c r="A103" s="44"/>
      <c r="B103" s="77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4"/>
    </row>
    <row r="105" spans="1:16" ht="23.85" customHeight="1" x14ac:dyDescent="0.35">
      <c r="A105" s="44"/>
      <c r="B105" s="45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7"/>
    </row>
    <row r="106" spans="1:16" ht="23.85" customHeight="1" x14ac:dyDescent="0.35">
      <c r="A106" s="48"/>
      <c r="B106" s="49"/>
      <c r="C106" s="48"/>
      <c r="D106" s="50" t="s">
        <v>40</v>
      </c>
      <c r="E106" s="10" t="str">
        <f>$D113 &amp;"    - Taksit No: " &amp; $D108&amp;"  "</f>
        <v xml:space="preserve">Bursa Fabrika Satış Mağazası – Adem Duman    - Taksit No: # 6 #  </v>
      </c>
      <c r="F106" s="48"/>
      <c r="G106" s="51" t="s">
        <v>41</v>
      </c>
      <c r="H106" s="48"/>
      <c r="I106" s="51" t="s">
        <v>42</v>
      </c>
      <c r="J106" s="51" t="s">
        <v>43</v>
      </c>
      <c r="K106"/>
      <c r="L106" s="48"/>
      <c r="M106" s="51" t="s">
        <v>44</v>
      </c>
      <c r="N106" s="52"/>
      <c r="O106" s="51" t="s">
        <v>21</v>
      </c>
      <c r="P106" s="53"/>
    </row>
    <row r="107" spans="1:16" ht="23.85" customHeight="1" x14ac:dyDescent="0.35">
      <c r="A107" s="44"/>
      <c r="B107" s="55"/>
      <c r="C107" s="56"/>
      <c r="D107" s="57" t="s">
        <v>45</v>
      </c>
      <c r="E107" s="10"/>
      <c r="F107" s="44"/>
      <c r="G107" s="58">
        <f>D121</f>
        <v>44438</v>
      </c>
      <c r="H107" s="59"/>
      <c r="I107" s="60" t="str">
        <f>D110</f>
        <v># 2.000 TL #</v>
      </c>
      <c r="J107" s="61" t="str">
        <f>D111</f>
        <v>#   Krş #</v>
      </c>
      <c r="K107"/>
      <c r="L107" s="59"/>
      <c r="M107" s="62" t="str">
        <f>D108</f>
        <v># 6 #</v>
      </c>
      <c r="N107" s="52"/>
      <c r="O107" s="63">
        <f>D123</f>
        <v>44252</v>
      </c>
      <c r="P107" s="64"/>
    </row>
    <row r="108" spans="1:16" ht="23.85" customHeight="1" x14ac:dyDescent="0.35">
      <c r="A108" s="44"/>
      <c r="B108" s="55"/>
      <c r="C108" s="56"/>
      <c r="D108" s="65" t="str">
        <f>"# "&amp;TEXT(INT('Senet Taksit Giriş'!B8),"##.##0")&amp;" #"</f>
        <v># 6 #</v>
      </c>
      <c r="E108" s="10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64"/>
    </row>
    <row r="109" spans="1:16" ht="23.85" customHeight="1" x14ac:dyDescent="0.35">
      <c r="A109" s="44"/>
      <c r="B109" s="55"/>
      <c r="C109" s="56"/>
      <c r="D109" s="66" t="s">
        <v>46</v>
      </c>
      <c r="E109" s="10"/>
      <c r="F109" s="9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09" s="9"/>
      <c r="H109" s="9"/>
      <c r="I109" s="9"/>
      <c r="J109" s="9"/>
      <c r="K109" s="9"/>
      <c r="L109" s="9"/>
      <c r="M109" s="9"/>
      <c r="N109" s="9"/>
      <c r="O109" s="9"/>
      <c r="P109" s="64"/>
    </row>
    <row r="110" spans="1:16" ht="23.85" customHeight="1" x14ac:dyDescent="0.35">
      <c r="A110" s="44"/>
      <c r="B110" s="55"/>
      <c r="C110" s="56"/>
      <c r="D110" s="67" t="str">
        <f>"# "&amp;TEXT(INT('Senet Taksit Giriş'!E8),"##.##0")&amp;" TL #"</f>
        <v># 2.000 TL #</v>
      </c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64"/>
    </row>
    <row r="111" spans="1:16" ht="23.85" customHeight="1" x14ac:dyDescent="0.35">
      <c r="A111" s="44"/>
      <c r="B111" s="55"/>
      <c r="C111" s="44"/>
      <c r="D111" s="68" t="str">
        <f>"# "&amp;TEXT(('Senet Taksit Giriş'!E111-INT('Senet Taksit Giriş'!E111))*100,"##.##")&amp;"  Krş #"</f>
        <v>#   Krş #</v>
      </c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64"/>
    </row>
    <row r="112" spans="1:16" ht="23.85" customHeight="1" x14ac:dyDescent="0.35">
      <c r="A112" s="44"/>
      <c r="B112" s="55"/>
      <c r="C112" s="44"/>
      <c r="D112" s="69" t="s">
        <v>47</v>
      </c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64"/>
    </row>
    <row r="113" spans="1:16" ht="23.85" customHeight="1" x14ac:dyDescent="0.35">
      <c r="A113" s="44"/>
      <c r="B113" s="70"/>
      <c r="C113" s="44"/>
      <c r="D113" s="8" t="str">
        <f>$D$9</f>
        <v>Bursa Fabrika Satış Mağazası – Adem Duman</v>
      </c>
      <c r="E113" s="10"/>
      <c r="F113"/>
      <c r="G113"/>
      <c r="H113"/>
      <c r="I113"/>
      <c r="J113"/>
      <c r="K113"/>
      <c r="L113"/>
      <c r="M113"/>
      <c r="N113"/>
      <c r="O113"/>
      <c r="P113" s="64"/>
    </row>
    <row r="114" spans="1:16" ht="23.85" customHeight="1" x14ac:dyDescent="0.35">
      <c r="A114" s="44"/>
      <c r="B114" s="55"/>
      <c r="C114" s="44"/>
      <c r="D114" s="8"/>
      <c r="E114" s="10"/>
      <c r="F114" s="7" t="s">
        <v>48</v>
      </c>
      <c r="G114" s="2" t="str">
        <f>"İsim : "&amp;$D113</f>
        <v>İsim : Bursa Fabrika Satış Mağazası – Adem Duman</v>
      </c>
      <c r="H114" s="2"/>
      <c r="I114" s="2"/>
      <c r="J114" s="2"/>
      <c r="K114" s="46"/>
      <c r="L114" s="46"/>
      <c r="M114" s="1"/>
      <c r="N114" s="1"/>
      <c r="O114" s="47"/>
      <c r="P114" s="64"/>
    </row>
    <row r="115" spans="1:16" ht="23.85" customHeight="1" x14ac:dyDescent="0.35">
      <c r="A115" s="44"/>
      <c r="B115" s="71"/>
      <c r="C115" s="72"/>
      <c r="D115" s="8"/>
      <c r="E115" s="10"/>
      <c r="F115" s="7"/>
      <c r="G115" s="5" t="str">
        <f>"Adres : " &amp;'Senet Borçlu Alacaklı Giriş'!$C$6</f>
        <v>Adres : Hızarhane Cad. No:5 TOKAT</v>
      </c>
      <c r="H115" s="5"/>
      <c r="I115" s="5"/>
      <c r="J115" s="5"/>
      <c r="K115" s="5"/>
      <c r="L115" s="44"/>
      <c r="M115" s="44"/>
      <c r="N115" s="44"/>
      <c r="O115" s="64"/>
      <c r="P115" s="64"/>
    </row>
    <row r="116" spans="1:16" ht="23.85" customHeight="1" x14ac:dyDescent="0.35">
      <c r="A116" s="44"/>
      <c r="B116" s="71"/>
      <c r="C116" s="72"/>
      <c r="D116" s="8"/>
      <c r="E116" s="10"/>
      <c r="F116" s="7"/>
      <c r="G116" s="5"/>
      <c r="H116" s="5"/>
      <c r="I116" s="5"/>
      <c r="J116" s="5"/>
      <c r="K116" s="5"/>
      <c r="L116" s="56" t="s">
        <v>49</v>
      </c>
      <c r="M116" s="56"/>
      <c r="N116" s="52"/>
      <c r="O116" s="64"/>
      <c r="P116" s="64"/>
    </row>
    <row r="117" spans="1:16" ht="23.85" customHeight="1" x14ac:dyDescent="0.35">
      <c r="A117" s="44"/>
      <c r="B117" s="71"/>
      <c r="C117" s="72"/>
      <c r="D117" s="8"/>
      <c r="E117" s="10"/>
      <c r="F117" s="7"/>
      <c r="G117" s="4" t="str">
        <f>"Vergi Dairesi : "&amp;'Senet Borçlu Alacaklı Giriş'!$C$7</f>
        <v>Vergi Dairesi : Tokat</v>
      </c>
      <c r="H117" s="4"/>
      <c r="I117" s="4"/>
      <c r="J117" s="4"/>
      <c r="K117" s="44"/>
      <c r="L117" s="44"/>
      <c r="M117" s="44"/>
      <c r="N117" s="44"/>
      <c r="O117" s="64"/>
      <c r="P117" s="64"/>
    </row>
    <row r="118" spans="1:16" ht="23.85" customHeight="1" x14ac:dyDescent="0.35">
      <c r="A118" s="44"/>
      <c r="B118" s="55"/>
      <c r="C118" s="44"/>
      <c r="D118" s="8"/>
      <c r="E118" s="10"/>
      <c r="F118" s="7"/>
      <c r="G118" s="3" t="str">
        <f>"Vergi No / TC Kimlik No : "&amp;'Senet Borçlu Alacaklı Giriş'!$C$8</f>
        <v>Vergi No / TC Kimlik No : 341 3267 6260</v>
      </c>
      <c r="H118" s="3"/>
      <c r="I118" s="3"/>
      <c r="J118" s="3"/>
      <c r="K118" s="73"/>
      <c r="L118" s="73"/>
      <c r="M118" s="73"/>
      <c r="N118" s="73"/>
      <c r="O118" s="74"/>
      <c r="P118" s="64"/>
    </row>
    <row r="119" spans="1:16" ht="23.85" customHeight="1" x14ac:dyDescent="0.35">
      <c r="A119" s="44"/>
      <c r="B119" s="70"/>
      <c r="C119" s="44"/>
      <c r="D119" s="8"/>
      <c r="E119" s="10"/>
      <c r="F119" s="7" t="s">
        <v>17</v>
      </c>
      <c r="G119" s="2" t="str">
        <f>"İsim Unvan : "&amp;'Senet Borçlu Alacaklı Giriş'!$C$9</f>
        <v>İsim Unvan : Adem Duman</v>
      </c>
      <c r="H119" s="2"/>
      <c r="I119" s="2"/>
      <c r="J119" s="2"/>
      <c r="K119" s="46"/>
      <c r="L119" s="75"/>
      <c r="M119" s="46"/>
      <c r="N119" s="46"/>
      <c r="O119" s="47"/>
      <c r="P119" s="64"/>
    </row>
    <row r="120" spans="1:16" ht="23.85" customHeight="1" x14ac:dyDescent="0.35">
      <c r="A120" s="44"/>
      <c r="B120" s="55"/>
      <c r="C120" s="44"/>
      <c r="D120" s="66" t="s">
        <v>50</v>
      </c>
      <c r="E120" s="10"/>
      <c r="F120" s="7"/>
      <c r="G120" s="5" t="str">
        <f>"Adres : " &amp;'Senet Borçlu Alacaklı Giriş'!$C$10</f>
        <v>Adres : Esentepe Mah. Şehit Ulaşar Cad. Belde Sitesi B Blk. K1: D:3 TOKAT</v>
      </c>
      <c r="H120" s="5"/>
      <c r="I120" s="5"/>
      <c r="J120" s="5"/>
      <c r="K120" s="44"/>
      <c r="L120" s="44"/>
      <c r="M120" s="44"/>
      <c r="N120" s="44"/>
      <c r="O120" s="64"/>
      <c r="P120" s="64"/>
    </row>
    <row r="121" spans="1:16" ht="23.85" customHeight="1" x14ac:dyDescent="0.35">
      <c r="A121" s="44"/>
      <c r="B121" s="70"/>
      <c r="C121" s="44"/>
      <c r="D121" s="76">
        <f>'Senet Taksit Giriş'!D8</f>
        <v>44438</v>
      </c>
      <c r="E121" s="10"/>
      <c r="F121" s="7"/>
      <c r="G121" s="5"/>
      <c r="H121" s="5"/>
      <c r="I121" s="5"/>
      <c r="J121" s="5"/>
      <c r="K121" s="44"/>
      <c r="L121" s="56" t="s">
        <v>49</v>
      </c>
      <c r="M121" s="44"/>
      <c r="N121" s="44"/>
      <c r="O121" s="64"/>
      <c r="P121" s="64"/>
    </row>
    <row r="122" spans="1:16" ht="23.85" customHeight="1" x14ac:dyDescent="0.35">
      <c r="A122" s="44"/>
      <c r="B122" s="55"/>
      <c r="C122" s="44"/>
      <c r="D122" s="66" t="s">
        <v>51</v>
      </c>
      <c r="E122" s="10"/>
      <c r="F122" s="7"/>
      <c r="G122" s="4" t="str">
        <f>"Vergi Dairesi : "&amp;'Senet Borçlu Alacaklı Giriş'!$C$11</f>
        <v>Vergi Dairesi : Tokat</v>
      </c>
      <c r="H122" s="4"/>
      <c r="I122" s="4"/>
      <c r="J122" s="4"/>
      <c r="K122" s="44"/>
      <c r="L122" s="44"/>
      <c r="M122" s="44"/>
      <c r="N122" s="44"/>
      <c r="O122" s="64"/>
      <c r="P122" s="64"/>
    </row>
    <row r="123" spans="1:16" ht="23.85" customHeight="1" x14ac:dyDescent="0.35">
      <c r="A123" s="44"/>
      <c r="B123" s="55"/>
      <c r="C123" s="44"/>
      <c r="D123" s="76">
        <f>'Senet Taksit Giriş'!C8</f>
        <v>44252</v>
      </c>
      <c r="E123" s="10"/>
      <c r="F123" s="7"/>
      <c r="G123" s="3" t="str">
        <f>"Vergi No / TC Kimlik No : "&amp;'Senet Borçlu Alacaklı Giriş'!$C$12</f>
        <v>Vergi No / TC Kimlik No : 341 3267 6260</v>
      </c>
      <c r="H123" s="3"/>
      <c r="I123" s="3"/>
      <c r="J123" s="3"/>
      <c r="K123" s="73"/>
      <c r="L123" s="73"/>
      <c r="M123" s="73"/>
      <c r="N123" s="73"/>
      <c r="O123" s="74"/>
      <c r="P123" s="64"/>
    </row>
    <row r="124" spans="1:16" ht="23.85" customHeight="1" x14ac:dyDescent="0.35">
      <c r="A124" s="44"/>
      <c r="B124" s="77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4"/>
    </row>
    <row r="125" spans="1:16" ht="23.85" customHeight="1" x14ac:dyDescent="0.35">
      <c r="A125" s="44"/>
      <c r="B125" s="45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7"/>
    </row>
    <row r="126" spans="1:16" ht="23.85" customHeight="1" x14ac:dyDescent="0.35">
      <c r="A126" s="48"/>
      <c r="B126" s="49"/>
      <c r="C126" s="48"/>
      <c r="D126" s="50" t="s">
        <v>40</v>
      </c>
      <c r="E126" s="10" t="str">
        <f>$D133 &amp;"    - Taksit No: " &amp; $D128&amp;"  "</f>
        <v xml:space="preserve">Bursa Fabrika Satış Mağazası – Adem Duman    - Taksit No: # 7 #  </v>
      </c>
      <c r="F126" s="48"/>
      <c r="G126" s="51" t="s">
        <v>41</v>
      </c>
      <c r="H126" s="48"/>
      <c r="I126" s="51" t="s">
        <v>42</v>
      </c>
      <c r="J126" s="51" t="s">
        <v>43</v>
      </c>
      <c r="K126"/>
      <c r="L126" s="48"/>
      <c r="M126" s="51" t="s">
        <v>44</v>
      </c>
      <c r="N126" s="52"/>
      <c r="O126" s="51" t="s">
        <v>21</v>
      </c>
      <c r="P126" s="53"/>
    </row>
    <row r="127" spans="1:16" ht="23.85" customHeight="1" x14ac:dyDescent="0.35">
      <c r="A127" s="44"/>
      <c r="B127" s="55"/>
      <c r="C127" s="56"/>
      <c r="D127" s="57" t="s">
        <v>45</v>
      </c>
      <c r="E127" s="10"/>
      <c r="F127" s="44"/>
      <c r="G127" s="58">
        <f>D141</f>
        <v>44469</v>
      </c>
      <c r="H127" s="59"/>
      <c r="I127" s="60" t="str">
        <f>D130</f>
        <v># 2.000 TL #</v>
      </c>
      <c r="J127" s="61" t="str">
        <f>D131</f>
        <v>#   Krş #</v>
      </c>
      <c r="K127"/>
      <c r="L127" s="59"/>
      <c r="M127" s="62" t="str">
        <f>D128</f>
        <v># 7 #</v>
      </c>
      <c r="N127" s="52"/>
      <c r="O127" s="63">
        <f>D143</f>
        <v>44252</v>
      </c>
      <c r="P127" s="64"/>
    </row>
    <row r="128" spans="1:16" ht="23.85" customHeight="1" x14ac:dyDescent="0.35">
      <c r="A128" s="44"/>
      <c r="B128" s="55"/>
      <c r="C128" s="56"/>
      <c r="D128" s="65" t="str">
        <f>"# "&amp;TEXT(INT('Senet Taksit Giriş'!B9),"##.##0")&amp;" #"</f>
        <v># 7 #</v>
      </c>
      <c r="E128" s="10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64"/>
    </row>
    <row r="129" spans="1:16" ht="23.85" customHeight="1" x14ac:dyDescent="0.35">
      <c r="A129" s="44"/>
      <c r="B129" s="55"/>
      <c r="C129" s="56"/>
      <c r="D129" s="66" t="s">
        <v>46</v>
      </c>
      <c r="E129" s="10"/>
      <c r="F129" s="9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29" s="9"/>
      <c r="H129" s="9"/>
      <c r="I129" s="9"/>
      <c r="J129" s="9"/>
      <c r="K129" s="9"/>
      <c r="L129" s="9"/>
      <c r="M129" s="9"/>
      <c r="N129" s="9"/>
      <c r="O129" s="9"/>
      <c r="P129" s="64"/>
    </row>
    <row r="130" spans="1:16" ht="23.85" customHeight="1" x14ac:dyDescent="0.35">
      <c r="A130" s="44"/>
      <c r="B130" s="55"/>
      <c r="C130" s="56"/>
      <c r="D130" s="67" t="str">
        <f>"# "&amp;TEXT(INT('Senet Taksit Giriş'!E9),"##.##0")&amp;" TL #"</f>
        <v># 2.000 TL #</v>
      </c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64"/>
    </row>
    <row r="131" spans="1:16" ht="23.85" customHeight="1" x14ac:dyDescent="0.35">
      <c r="A131" s="44"/>
      <c r="B131" s="55"/>
      <c r="C131" s="44"/>
      <c r="D131" s="68" t="str">
        <f>"# "&amp;TEXT(('Senet Taksit Giriş'!E132-INT('Senet Taksit Giriş'!E132))*100,"##.##")&amp;"  Krş #"</f>
        <v>#   Krş #</v>
      </c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64"/>
    </row>
    <row r="132" spans="1:16" ht="23.85" customHeight="1" x14ac:dyDescent="0.35">
      <c r="A132" s="44"/>
      <c r="B132" s="55"/>
      <c r="C132" s="44"/>
      <c r="D132" s="69" t="s">
        <v>47</v>
      </c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64"/>
    </row>
    <row r="133" spans="1:16" ht="23.85" customHeight="1" x14ac:dyDescent="0.35">
      <c r="A133" s="44"/>
      <c r="B133" s="70"/>
      <c r="C133" s="44"/>
      <c r="D133" s="8" t="str">
        <f>$D$9</f>
        <v>Bursa Fabrika Satış Mağazası – Adem Duman</v>
      </c>
      <c r="E133" s="10"/>
      <c r="F133"/>
      <c r="G133"/>
      <c r="H133"/>
      <c r="I133"/>
      <c r="J133"/>
      <c r="K133"/>
      <c r="L133"/>
      <c r="M133"/>
      <c r="N133"/>
      <c r="O133"/>
      <c r="P133" s="64"/>
    </row>
    <row r="134" spans="1:16" ht="23.85" customHeight="1" x14ac:dyDescent="0.35">
      <c r="A134" s="44"/>
      <c r="B134" s="55"/>
      <c r="C134" s="44"/>
      <c r="D134" s="8"/>
      <c r="E134" s="10"/>
      <c r="F134" s="7" t="s">
        <v>48</v>
      </c>
      <c r="G134" s="2" t="str">
        <f>"İsim : "&amp;$D133</f>
        <v>İsim : Bursa Fabrika Satış Mağazası – Adem Duman</v>
      </c>
      <c r="H134" s="2"/>
      <c r="I134" s="2"/>
      <c r="J134" s="2"/>
      <c r="K134" s="46"/>
      <c r="L134" s="46"/>
      <c r="M134" s="1"/>
      <c r="N134" s="1"/>
      <c r="O134" s="47"/>
      <c r="P134" s="64"/>
    </row>
    <row r="135" spans="1:16" ht="23.85" customHeight="1" x14ac:dyDescent="0.35">
      <c r="A135" s="44"/>
      <c r="B135" s="71"/>
      <c r="C135" s="72"/>
      <c r="D135" s="8"/>
      <c r="E135" s="10"/>
      <c r="F135" s="7"/>
      <c r="G135" s="5" t="str">
        <f>"Adres : " &amp;'Senet Borçlu Alacaklı Giriş'!$C$6</f>
        <v>Adres : Hızarhane Cad. No:5 TOKAT</v>
      </c>
      <c r="H135" s="5"/>
      <c r="I135" s="5"/>
      <c r="J135" s="5"/>
      <c r="K135" s="5"/>
      <c r="L135" s="44"/>
      <c r="M135" s="44"/>
      <c r="N135" s="44"/>
      <c r="O135" s="64"/>
      <c r="P135" s="64"/>
    </row>
    <row r="136" spans="1:16" ht="23.85" customHeight="1" x14ac:dyDescent="0.35">
      <c r="A136" s="44"/>
      <c r="B136" s="71"/>
      <c r="C136" s="72"/>
      <c r="D136" s="8"/>
      <c r="E136" s="10"/>
      <c r="F136" s="7"/>
      <c r="G136" s="5"/>
      <c r="H136" s="5"/>
      <c r="I136" s="5"/>
      <c r="J136" s="5"/>
      <c r="K136" s="5"/>
      <c r="L136" s="56" t="s">
        <v>49</v>
      </c>
      <c r="M136" s="56"/>
      <c r="N136" s="52"/>
      <c r="O136" s="64"/>
      <c r="P136" s="64"/>
    </row>
    <row r="137" spans="1:16" ht="23.85" customHeight="1" x14ac:dyDescent="0.35">
      <c r="A137" s="44"/>
      <c r="B137" s="71"/>
      <c r="C137" s="72"/>
      <c r="D137" s="8"/>
      <c r="E137" s="10"/>
      <c r="F137" s="7"/>
      <c r="G137" s="4" t="str">
        <f>"Vergi Dairesi : "&amp;'Senet Borçlu Alacaklı Giriş'!$C$7</f>
        <v>Vergi Dairesi : Tokat</v>
      </c>
      <c r="H137" s="4"/>
      <c r="I137" s="4"/>
      <c r="J137" s="4"/>
      <c r="K137" s="44"/>
      <c r="L137" s="44"/>
      <c r="M137" s="44"/>
      <c r="N137" s="44"/>
      <c r="O137" s="64"/>
      <c r="P137" s="64"/>
    </row>
    <row r="138" spans="1:16" ht="23.85" customHeight="1" x14ac:dyDescent="0.35">
      <c r="A138" s="44"/>
      <c r="B138" s="55"/>
      <c r="C138" s="44"/>
      <c r="D138" s="8"/>
      <c r="E138" s="10"/>
      <c r="F138" s="7"/>
      <c r="G138" s="3" t="str">
        <f>"Vergi No / TC Kimlik No : "&amp;'Senet Borçlu Alacaklı Giriş'!$C$8</f>
        <v>Vergi No / TC Kimlik No : 341 3267 6260</v>
      </c>
      <c r="H138" s="3"/>
      <c r="I138" s="3"/>
      <c r="J138" s="3"/>
      <c r="K138" s="73"/>
      <c r="L138" s="73"/>
      <c r="M138" s="73"/>
      <c r="N138" s="73"/>
      <c r="O138" s="74"/>
      <c r="P138" s="64"/>
    </row>
    <row r="139" spans="1:16" ht="23.85" customHeight="1" x14ac:dyDescent="0.35">
      <c r="A139" s="44"/>
      <c r="B139" s="70"/>
      <c r="C139" s="44"/>
      <c r="D139" s="8"/>
      <c r="E139" s="10"/>
      <c r="F139" s="7" t="s">
        <v>17</v>
      </c>
      <c r="G139" s="2" t="str">
        <f>"İsim Unvan : "&amp;'Senet Borçlu Alacaklı Giriş'!$C$9</f>
        <v>İsim Unvan : Adem Duman</v>
      </c>
      <c r="H139" s="2"/>
      <c r="I139" s="2"/>
      <c r="J139" s="2"/>
      <c r="K139" s="46"/>
      <c r="L139" s="75"/>
      <c r="M139" s="46"/>
      <c r="N139" s="46"/>
      <c r="O139" s="47"/>
      <c r="P139" s="64"/>
    </row>
    <row r="140" spans="1:16" ht="23.85" customHeight="1" x14ac:dyDescent="0.35">
      <c r="A140" s="44"/>
      <c r="B140" s="55"/>
      <c r="C140" s="44"/>
      <c r="D140" s="66" t="s">
        <v>50</v>
      </c>
      <c r="E140" s="10"/>
      <c r="F140" s="7"/>
      <c r="G140" s="5" t="str">
        <f>"Adres : " &amp;'Senet Borçlu Alacaklı Giriş'!$C$10</f>
        <v>Adres : Esentepe Mah. Şehit Ulaşar Cad. Belde Sitesi B Blk. K1: D:3 TOKAT</v>
      </c>
      <c r="H140" s="5"/>
      <c r="I140" s="5"/>
      <c r="J140" s="5"/>
      <c r="K140" s="44"/>
      <c r="L140" s="44"/>
      <c r="M140" s="44"/>
      <c r="N140" s="44"/>
      <c r="O140" s="64"/>
      <c r="P140" s="64"/>
    </row>
    <row r="141" spans="1:16" ht="23.85" customHeight="1" x14ac:dyDescent="0.35">
      <c r="A141" s="44"/>
      <c r="B141" s="70"/>
      <c r="C141" s="44"/>
      <c r="D141" s="76">
        <f>'Senet Taksit Giriş'!D9</f>
        <v>44469</v>
      </c>
      <c r="E141" s="10"/>
      <c r="F141" s="7"/>
      <c r="G141" s="5"/>
      <c r="H141" s="5"/>
      <c r="I141" s="5"/>
      <c r="J141" s="5"/>
      <c r="K141" s="44"/>
      <c r="L141" s="56" t="s">
        <v>49</v>
      </c>
      <c r="M141" s="44"/>
      <c r="N141" s="44"/>
      <c r="O141" s="64"/>
      <c r="P141" s="64"/>
    </row>
    <row r="142" spans="1:16" ht="23.85" customHeight="1" x14ac:dyDescent="0.35">
      <c r="A142" s="44"/>
      <c r="B142" s="55"/>
      <c r="C142" s="44"/>
      <c r="D142" s="66" t="s">
        <v>51</v>
      </c>
      <c r="E142" s="10"/>
      <c r="F142" s="7"/>
      <c r="G142" s="4" t="str">
        <f>"Vergi Dairesi : "&amp;'Senet Borçlu Alacaklı Giriş'!$C$11</f>
        <v>Vergi Dairesi : Tokat</v>
      </c>
      <c r="H142" s="4"/>
      <c r="I142" s="4"/>
      <c r="J142" s="4"/>
      <c r="K142" s="44"/>
      <c r="L142" s="44"/>
      <c r="M142" s="44"/>
      <c r="N142" s="44"/>
      <c r="O142" s="64"/>
      <c r="P142" s="64"/>
    </row>
    <row r="143" spans="1:16" ht="23.85" customHeight="1" x14ac:dyDescent="0.35">
      <c r="A143" s="44"/>
      <c r="B143" s="55"/>
      <c r="C143" s="44"/>
      <c r="D143" s="76">
        <f>'Senet Taksit Giriş'!C9</f>
        <v>44252</v>
      </c>
      <c r="E143" s="10"/>
      <c r="F143" s="7"/>
      <c r="G143" s="3" t="str">
        <f>"Vergi No / TC Kimlik No : "&amp;'Senet Borçlu Alacaklı Giriş'!$C$12</f>
        <v>Vergi No / TC Kimlik No : 341 3267 6260</v>
      </c>
      <c r="H143" s="3"/>
      <c r="I143" s="3"/>
      <c r="J143" s="3"/>
      <c r="K143" s="73"/>
      <c r="L143" s="73"/>
      <c r="M143" s="73"/>
      <c r="N143" s="73"/>
      <c r="O143" s="74"/>
      <c r="P143" s="64"/>
    </row>
    <row r="144" spans="1:16" ht="23.85" customHeight="1" x14ac:dyDescent="0.35">
      <c r="A144" s="44"/>
      <c r="B144" s="77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4"/>
    </row>
    <row r="146" spans="1:16" ht="23.85" customHeight="1" x14ac:dyDescent="0.35">
      <c r="A146" s="44"/>
      <c r="B146" s="45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7"/>
    </row>
    <row r="147" spans="1:16" ht="23.85" customHeight="1" x14ac:dyDescent="0.35">
      <c r="A147" s="48"/>
      <c r="B147" s="49"/>
      <c r="C147" s="48"/>
      <c r="D147" s="50" t="s">
        <v>40</v>
      </c>
      <c r="E147" s="10" t="str">
        <f>$D154 &amp;"    - Taksit No: " &amp; $D149&amp;"  "</f>
        <v xml:space="preserve">Bursa Fabrika Satış Mağazası – Adem Duman    - Taksit No: # 8 #  </v>
      </c>
      <c r="F147" s="48"/>
      <c r="G147" s="51" t="s">
        <v>41</v>
      </c>
      <c r="H147" s="48"/>
      <c r="I147" s="51" t="s">
        <v>42</v>
      </c>
      <c r="J147" s="51" t="s">
        <v>43</v>
      </c>
      <c r="K147"/>
      <c r="L147" s="48"/>
      <c r="M147" s="51" t="s">
        <v>44</v>
      </c>
      <c r="N147" s="52"/>
      <c r="O147" s="51" t="s">
        <v>21</v>
      </c>
      <c r="P147" s="53"/>
    </row>
    <row r="148" spans="1:16" ht="23.85" customHeight="1" x14ac:dyDescent="0.35">
      <c r="A148" s="44"/>
      <c r="B148" s="55"/>
      <c r="C148" s="56"/>
      <c r="D148" s="57" t="s">
        <v>45</v>
      </c>
      <c r="E148" s="10"/>
      <c r="F148" s="44"/>
      <c r="G148" s="58">
        <f>D162</f>
        <v>44499</v>
      </c>
      <c r="H148" s="59"/>
      <c r="I148" s="60" t="str">
        <f>D151</f>
        <v># 2.000 TL #</v>
      </c>
      <c r="J148" s="61" t="str">
        <f>D152</f>
        <v>#   Krş #</v>
      </c>
      <c r="K148"/>
      <c r="L148" s="59"/>
      <c r="M148" s="62" t="str">
        <f>D149</f>
        <v># 8 #</v>
      </c>
      <c r="N148" s="52"/>
      <c r="O148" s="63">
        <f>D164</f>
        <v>44252</v>
      </c>
      <c r="P148" s="64"/>
    </row>
    <row r="149" spans="1:16" ht="23.85" customHeight="1" x14ac:dyDescent="0.35">
      <c r="A149" s="44"/>
      <c r="B149" s="55"/>
      <c r="C149" s="56"/>
      <c r="D149" s="65" t="str">
        <f>"# "&amp;TEXT(INT('Senet Taksit Giriş'!B10),"##.##0")&amp;" #"</f>
        <v># 8 #</v>
      </c>
      <c r="E149" s="10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64"/>
    </row>
    <row r="150" spans="1:16" ht="23.85" customHeight="1" x14ac:dyDescent="0.35">
      <c r="A150" s="44"/>
      <c r="B150" s="55"/>
      <c r="C150" s="56"/>
      <c r="D150" s="66" t="s">
        <v>46</v>
      </c>
      <c r="E150" s="10"/>
      <c r="F150" s="9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50" s="9"/>
      <c r="H150" s="9"/>
      <c r="I150" s="9"/>
      <c r="J150" s="9"/>
      <c r="K150" s="9"/>
      <c r="L150" s="9"/>
      <c r="M150" s="9"/>
      <c r="N150" s="9"/>
      <c r="O150" s="9"/>
      <c r="P150" s="64"/>
    </row>
    <row r="151" spans="1:16" ht="23.85" customHeight="1" x14ac:dyDescent="0.35">
      <c r="A151" s="44"/>
      <c r="B151" s="55"/>
      <c r="C151" s="56"/>
      <c r="D151" s="67" t="str">
        <f>"# "&amp;TEXT(INT('Senet Taksit Giriş'!E10),"##.##0")&amp;" TL #"</f>
        <v># 2.000 TL #</v>
      </c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64"/>
    </row>
    <row r="152" spans="1:16" ht="23.85" customHeight="1" x14ac:dyDescent="0.35">
      <c r="A152" s="44"/>
      <c r="B152" s="55"/>
      <c r="C152" s="44"/>
      <c r="D152" s="68" t="str">
        <f>"# "&amp;TEXT(('Senet Taksit Giriş'!E153-INT('Senet Taksit Giriş'!E153))*100,"##.##")&amp;"  Krş #"</f>
        <v>#   Krş #</v>
      </c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64"/>
    </row>
    <row r="153" spans="1:16" ht="23.85" customHeight="1" x14ac:dyDescent="0.35">
      <c r="A153" s="44"/>
      <c r="B153" s="55"/>
      <c r="C153" s="44"/>
      <c r="D153" s="69" t="s">
        <v>47</v>
      </c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64"/>
    </row>
    <row r="154" spans="1:16" ht="23.85" customHeight="1" x14ac:dyDescent="0.35">
      <c r="A154" s="44"/>
      <c r="B154" s="70"/>
      <c r="C154" s="44"/>
      <c r="D154" s="8" t="str">
        <f>$D$9</f>
        <v>Bursa Fabrika Satış Mağazası – Adem Duman</v>
      </c>
      <c r="E154" s="10"/>
      <c r="F154"/>
      <c r="G154"/>
      <c r="H154"/>
      <c r="I154"/>
      <c r="J154"/>
      <c r="K154"/>
      <c r="L154"/>
      <c r="M154"/>
      <c r="N154"/>
      <c r="O154"/>
      <c r="P154" s="64"/>
    </row>
    <row r="155" spans="1:16" ht="23.85" customHeight="1" x14ac:dyDescent="0.35">
      <c r="A155" s="44"/>
      <c r="B155" s="55"/>
      <c r="C155" s="44"/>
      <c r="D155" s="8"/>
      <c r="E155" s="10"/>
      <c r="F155" s="7" t="s">
        <v>48</v>
      </c>
      <c r="G155" s="2" t="str">
        <f>"İsim : "&amp;$D154</f>
        <v>İsim : Bursa Fabrika Satış Mağazası – Adem Duman</v>
      </c>
      <c r="H155" s="2"/>
      <c r="I155" s="2"/>
      <c r="J155" s="2"/>
      <c r="K155" s="46"/>
      <c r="L155" s="46"/>
      <c r="M155" s="1"/>
      <c r="N155" s="1"/>
      <c r="O155" s="47"/>
      <c r="P155" s="64"/>
    </row>
    <row r="156" spans="1:16" ht="23.85" customHeight="1" x14ac:dyDescent="0.35">
      <c r="A156" s="44"/>
      <c r="B156" s="71"/>
      <c r="C156" s="72"/>
      <c r="D156" s="8"/>
      <c r="E156" s="10"/>
      <c r="F156" s="7"/>
      <c r="G156" s="5" t="str">
        <f>"Adres : " &amp;'Senet Borçlu Alacaklı Giriş'!$C$6</f>
        <v>Adres : Hızarhane Cad. No:5 TOKAT</v>
      </c>
      <c r="H156" s="5"/>
      <c r="I156" s="5"/>
      <c r="J156" s="5"/>
      <c r="K156" s="5"/>
      <c r="L156" s="44"/>
      <c r="M156" s="44"/>
      <c r="N156" s="44"/>
      <c r="O156" s="64"/>
      <c r="P156" s="64"/>
    </row>
    <row r="157" spans="1:16" ht="23.85" customHeight="1" x14ac:dyDescent="0.35">
      <c r="A157" s="44"/>
      <c r="B157" s="71"/>
      <c r="C157" s="72"/>
      <c r="D157" s="8"/>
      <c r="E157" s="10"/>
      <c r="F157" s="7"/>
      <c r="G157" s="5"/>
      <c r="H157" s="5"/>
      <c r="I157" s="5"/>
      <c r="J157" s="5"/>
      <c r="K157" s="5"/>
      <c r="L157" s="56" t="s">
        <v>49</v>
      </c>
      <c r="M157" s="56"/>
      <c r="N157" s="52"/>
      <c r="O157" s="64"/>
      <c r="P157" s="64"/>
    </row>
    <row r="158" spans="1:16" ht="23.85" customHeight="1" x14ac:dyDescent="0.35">
      <c r="A158" s="44"/>
      <c r="B158" s="71"/>
      <c r="C158" s="72"/>
      <c r="D158" s="8"/>
      <c r="E158" s="10"/>
      <c r="F158" s="7"/>
      <c r="G158" s="4" t="str">
        <f>"Vergi Dairesi : "&amp;'Senet Borçlu Alacaklı Giriş'!$C$7</f>
        <v>Vergi Dairesi : Tokat</v>
      </c>
      <c r="H158" s="4"/>
      <c r="I158" s="4"/>
      <c r="J158" s="4"/>
      <c r="K158" s="44"/>
      <c r="L158" s="44"/>
      <c r="M158" s="44"/>
      <c r="N158" s="44"/>
      <c r="O158" s="64"/>
      <c r="P158" s="64"/>
    </row>
    <row r="159" spans="1:16" ht="23.85" customHeight="1" x14ac:dyDescent="0.35">
      <c r="A159" s="44"/>
      <c r="B159" s="55"/>
      <c r="C159" s="44"/>
      <c r="D159" s="8"/>
      <c r="E159" s="10"/>
      <c r="F159" s="7"/>
      <c r="G159" s="3" t="str">
        <f>"Vergi No / TC Kimlik No : "&amp;'Senet Borçlu Alacaklı Giriş'!$C$8</f>
        <v>Vergi No / TC Kimlik No : 341 3267 6260</v>
      </c>
      <c r="H159" s="3"/>
      <c r="I159" s="3"/>
      <c r="J159" s="3"/>
      <c r="K159" s="73"/>
      <c r="L159" s="73"/>
      <c r="M159" s="73"/>
      <c r="N159" s="73"/>
      <c r="O159" s="74"/>
      <c r="P159" s="64"/>
    </row>
    <row r="160" spans="1:16" ht="23.85" customHeight="1" x14ac:dyDescent="0.35">
      <c r="A160" s="44"/>
      <c r="B160" s="70"/>
      <c r="C160" s="44"/>
      <c r="D160" s="8"/>
      <c r="E160" s="10"/>
      <c r="F160" s="7" t="s">
        <v>17</v>
      </c>
      <c r="G160" s="2" t="str">
        <f>"İsim Unvan : "&amp;'Senet Borçlu Alacaklı Giriş'!$C$9</f>
        <v>İsim Unvan : Adem Duman</v>
      </c>
      <c r="H160" s="2"/>
      <c r="I160" s="2"/>
      <c r="J160" s="2"/>
      <c r="K160" s="46"/>
      <c r="L160" s="75"/>
      <c r="M160" s="46"/>
      <c r="N160" s="46"/>
      <c r="O160" s="47"/>
      <c r="P160" s="64"/>
    </row>
    <row r="161" spans="1:16" ht="23.85" customHeight="1" x14ac:dyDescent="0.35">
      <c r="A161" s="44"/>
      <c r="B161" s="55"/>
      <c r="C161" s="44"/>
      <c r="D161" s="66" t="s">
        <v>50</v>
      </c>
      <c r="E161" s="10"/>
      <c r="F161" s="7"/>
      <c r="G161" s="5" t="str">
        <f>"Adres : " &amp;'Senet Borçlu Alacaklı Giriş'!$C$10</f>
        <v>Adres : Esentepe Mah. Şehit Ulaşar Cad. Belde Sitesi B Blk. K1: D:3 TOKAT</v>
      </c>
      <c r="H161" s="5"/>
      <c r="I161" s="5"/>
      <c r="J161" s="5"/>
      <c r="K161" s="44"/>
      <c r="L161" s="44"/>
      <c r="M161" s="44"/>
      <c r="N161" s="44"/>
      <c r="O161" s="64"/>
      <c r="P161" s="64"/>
    </row>
    <row r="162" spans="1:16" ht="23.85" customHeight="1" x14ac:dyDescent="0.35">
      <c r="A162" s="44"/>
      <c r="B162" s="70"/>
      <c r="C162" s="44"/>
      <c r="D162" s="76">
        <f>'Senet Taksit Giriş'!D10</f>
        <v>44499</v>
      </c>
      <c r="E162" s="10"/>
      <c r="F162" s="7"/>
      <c r="G162" s="5"/>
      <c r="H162" s="5"/>
      <c r="I162" s="5"/>
      <c r="J162" s="5"/>
      <c r="K162" s="44"/>
      <c r="L162" s="56" t="s">
        <v>49</v>
      </c>
      <c r="M162" s="44"/>
      <c r="N162" s="44"/>
      <c r="O162" s="64"/>
      <c r="P162" s="64"/>
    </row>
    <row r="163" spans="1:16" ht="23.85" customHeight="1" x14ac:dyDescent="0.35">
      <c r="A163" s="44"/>
      <c r="B163" s="55"/>
      <c r="C163" s="44"/>
      <c r="D163" s="66" t="s">
        <v>51</v>
      </c>
      <c r="E163" s="10"/>
      <c r="F163" s="7"/>
      <c r="G163" s="4" t="str">
        <f>"Vergi Dairesi : "&amp;'Senet Borçlu Alacaklı Giriş'!$C$11</f>
        <v>Vergi Dairesi : Tokat</v>
      </c>
      <c r="H163" s="4"/>
      <c r="I163" s="4"/>
      <c r="J163" s="4"/>
      <c r="K163" s="44"/>
      <c r="L163" s="44"/>
      <c r="M163" s="44"/>
      <c r="N163" s="44"/>
      <c r="O163" s="64"/>
      <c r="P163" s="64"/>
    </row>
    <row r="164" spans="1:16" ht="23.85" customHeight="1" x14ac:dyDescent="0.35">
      <c r="A164" s="44"/>
      <c r="B164" s="55"/>
      <c r="C164" s="44"/>
      <c r="D164" s="76">
        <f>'Senet Taksit Giriş'!C10</f>
        <v>44252</v>
      </c>
      <c r="E164" s="10"/>
      <c r="F164" s="7"/>
      <c r="G164" s="3" t="str">
        <f>"Vergi No / TC Kimlik No : "&amp;'Senet Borçlu Alacaklı Giriş'!$C$12</f>
        <v>Vergi No / TC Kimlik No : 341 3267 6260</v>
      </c>
      <c r="H164" s="3"/>
      <c r="I164" s="3"/>
      <c r="J164" s="3"/>
      <c r="K164" s="73"/>
      <c r="L164" s="73"/>
      <c r="M164" s="73"/>
      <c r="N164" s="73"/>
      <c r="O164" s="74"/>
      <c r="P164" s="64"/>
    </row>
    <row r="165" spans="1:16" ht="23.85" customHeight="1" x14ac:dyDescent="0.35">
      <c r="A165" s="44"/>
      <c r="B165" s="77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4"/>
    </row>
    <row r="167" spans="1:16" ht="23.85" customHeight="1" x14ac:dyDescent="0.35">
      <c r="A167" s="44"/>
      <c r="B167" s="45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7"/>
    </row>
    <row r="168" spans="1:16" ht="23.85" customHeight="1" x14ac:dyDescent="0.35">
      <c r="A168" s="48"/>
      <c r="B168" s="49"/>
      <c r="C168" s="48"/>
      <c r="D168" s="50" t="s">
        <v>40</v>
      </c>
      <c r="E168" s="10" t="str">
        <f>$D175 &amp;"    - Taksit No: " &amp; $D170&amp;"  "</f>
        <v xml:space="preserve">Bursa Fabrika Satış Mağazası – Adem Duman    - Taksit No: # 9 #  </v>
      </c>
      <c r="F168" s="48"/>
      <c r="G168" s="51" t="s">
        <v>41</v>
      </c>
      <c r="H168" s="48"/>
      <c r="I168" s="51" t="s">
        <v>42</v>
      </c>
      <c r="J168" s="51" t="s">
        <v>43</v>
      </c>
      <c r="K168"/>
      <c r="L168" s="48"/>
      <c r="M168" s="51" t="s">
        <v>44</v>
      </c>
      <c r="N168" s="52"/>
      <c r="O168" s="51" t="s">
        <v>21</v>
      </c>
      <c r="P168" s="53"/>
    </row>
    <row r="169" spans="1:16" ht="23.85" customHeight="1" x14ac:dyDescent="0.35">
      <c r="A169" s="44"/>
      <c r="B169" s="55"/>
      <c r="C169" s="56"/>
      <c r="D169" s="57" t="s">
        <v>45</v>
      </c>
      <c r="E169" s="10"/>
      <c r="F169" s="44"/>
      <c r="G169" s="58">
        <f>D183</f>
        <v>44530</v>
      </c>
      <c r="H169" s="59"/>
      <c r="I169" s="60" t="str">
        <f>D172</f>
        <v># 2.000 TL #</v>
      </c>
      <c r="J169" s="61" t="str">
        <f>D173</f>
        <v>#   Krş #</v>
      </c>
      <c r="K169"/>
      <c r="L169" s="59"/>
      <c r="M169" s="62" t="str">
        <f>D170</f>
        <v># 9 #</v>
      </c>
      <c r="N169" s="52"/>
      <c r="O169" s="63">
        <f>D185</f>
        <v>44252</v>
      </c>
      <c r="P169" s="64"/>
    </row>
    <row r="170" spans="1:16" ht="23.85" customHeight="1" x14ac:dyDescent="0.35">
      <c r="A170" s="44"/>
      <c r="B170" s="55"/>
      <c r="C170" s="56"/>
      <c r="D170" s="65" t="str">
        <f>"# "&amp;TEXT(INT('Senet Taksit Giriş'!B11),"##.##0")&amp;" #"</f>
        <v># 9 #</v>
      </c>
      <c r="E170" s="10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64"/>
    </row>
    <row r="171" spans="1:16" ht="23.85" customHeight="1" x14ac:dyDescent="0.35">
      <c r="A171" s="44"/>
      <c r="B171" s="55"/>
      <c r="C171" s="56"/>
      <c r="D171" s="66" t="s">
        <v>46</v>
      </c>
      <c r="E171" s="10"/>
      <c r="F171" s="9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71" s="9"/>
      <c r="H171" s="9"/>
      <c r="I171" s="9"/>
      <c r="J171" s="9"/>
      <c r="K171" s="9"/>
      <c r="L171" s="9"/>
      <c r="M171" s="9"/>
      <c r="N171" s="9"/>
      <c r="O171" s="9"/>
      <c r="P171" s="64"/>
    </row>
    <row r="172" spans="1:16" ht="23.85" customHeight="1" x14ac:dyDescent="0.35">
      <c r="A172" s="44"/>
      <c r="B172" s="55"/>
      <c r="C172" s="56"/>
      <c r="D172" s="67" t="str">
        <f>"# "&amp;TEXT(INT('Senet Taksit Giriş'!E11),"##.##0")&amp;" TL #"</f>
        <v># 2.000 TL #</v>
      </c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64"/>
    </row>
    <row r="173" spans="1:16" ht="23.85" customHeight="1" x14ac:dyDescent="0.35">
      <c r="A173" s="44"/>
      <c r="B173" s="55"/>
      <c r="C173" s="44"/>
      <c r="D173" s="68" t="str">
        <f>"# "&amp;TEXT(('Senet Taksit Giriş'!E174-INT('Senet Taksit Giriş'!E174))*100,"##.##")&amp;"  Krş #"</f>
        <v>#   Krş #</v>
      </c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64"/>
    </row>
    <row r="174" spans="1:16" ht="23.85" customHeight="1" x14ac:dyDescent="0.35">
      <c r="A174" s="44"/>
      <c r="B174" s="55"/>
      <c r="C174" s="44"/>
      <c r="D174" s="69" t="s">
        <v>47</v>
      </c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64"/>
    </row>
    <row r="175" spans="1:16" ht="23.85" customHeight="1" x14ac:dyDescent="0.35">
      <c r="A175" s="44"/>
      <c r="B175" s="70"/>
      <c r="C175" s="44"/>
      <c r="D175" s="8" t="str">
        <f>$D$9</f>
        <v>Bursa Fabrika Satış Mağazası – Adem Duman</v>
      </c>
      <c r="E175" s="10"/>
      <c r="F175"/>
      <c r="G175"/>
      <c r="H175"/>
      <c r="I175"/>
      <c r="J175"/>
      <c r="K175"/>
      <c r="L175"/>
      <c r="M175"/>
      <c r="N175"/>
      <c r="O175"/>
      <c r="P175" s="64"/>
    </row>
    <row r="176" spans="1:16" ht="23.85" customHeight="1" x14ac:dyDescent="0.35">
      <c r="A176" s="44"/>
      <c r="B176" s="55"/>
      <c r="C176" s="44"/>
      <c r="D176" s="8"/>
      <c r="E176" s="10"/>
      <c r="F176" s="7" t="s">
        <v>48</v>
      </c>
      <c r="G176" s="2" t="str">
        <f>"İsim : "&amp;$D175</f>
        <v>İsim : Bursa Fabrika Satış Mağazası – Adem Duman</v>
      </c>
      <c r="H176" s="2"/>
      <c r="I176" s="2"/>
      <c r="J176" s="2"/>
      <c r="K176" s="46"/>
      <c r="L176" s="46"/>
      <c r="M176" s="1"/>
      <c r="N176" s="1"/>
      <c r="O176" s="47"/>
      <c r="P176" s="64"/>
    </row>
    <row r="177" spans="1:16" ht="23.85" customHeight="1" x14ac:dyDescent="0.35">
      <c r="A177" s="44"/>
      <c r="B177" s="71"/>
      <c r="C177" s="72"/>
      <c r="D177" s="8"/>
      <c r="E177" s="10"/>
      <c r="F177" s="7"/>
      <c r="G177" s="5" t="str">
        <f>"Adres : " &amp;'Senet Borçlu Alacaklı Giriş'!$C$6</f>
        <v>Adres : Hızarhane Cad. No:5 TOKAT</v>
      </c>
      <c r="H177" s="5"/>
      <c r="I177" s="5"/>
      <c r="J177" s="5"/>
      <c r="K177" s="5"/>
      <c r="L177" s="44"/>
      <c r="M177" s="44"/>
      <c r="N177" s="44"/>
      <c r="O177" s="64"/>
      <c r="P177" s="64"/>
    </row>
    <row r="178" spans="1:16" ht="23.85" customHeight="1" x14ac:dyDescent="0.35">
      <c r="A178" s="44"/>
      <c r="B178" s="71"/>
      <c r="C178" s="72"/>
      <c r="D178" s="8"/>
      <c r="E178" s="10"/>
      <c r="F178" s="7"/>
      <c r="G178" s="5"/>
      <c r="H178" s="5"/>
      <c r="I178" s="5"/>
      <c r="J178" s="5"/>
      <c r="K178" s="5"/>
      <c r="L178" s="56" t="s">
        <v>49</v>
      </c>
      <c r="M178" s="56"/>
      <c r="N178" s="52"/>
      <c r="O178" s="64"/>
      <c r="P178" s="64"/>
    </row>
    <row r="179" spans="1:16" ht="23.85" customHeight="1" x14ac:dyDescent="0.35">
      <c r="A179" s="44"/>
      <c r="B179" s="71"/>
      <c r="C179" s="72"/>
      <c r="D179" s="8"/>
      <c r="E179" s="10"/>
      <c r="F179" s="7"/>
      <c r="G179" s="4" t="str">
        <f>"Vergi Dairesi : "&amp;'Senet Borçlu Alacaklı Giriş'!$C$7</f>
        <v>Vergi Dairesi : Tokat</v>
      </c>
      <c r="H179" s="4"/>
      <c r="I179" s="4"/>
      <c r="J179" s="4"/>
      <c r="K179" s="44"/>
      <c r="L179" s="44"/>
      <c r="M179" s="44"/>
      <c r="N179" s="44"/>
      <c r="O179" s="64"/>
      <c r="P179" s="64"/>
    </row>
    <row r="180" spans="1:16" ht="23.85" customHeight="1" x14ac:dyDescent="0.35">
      <c r="A180" s="44"/>
      <c r="B180" s="55"/>
      <c r="C180" s="44"/>
      <c r="D180" s="8"/>
      <c r="E180" s="10"/>
      <c r="F180" s="7"/>
      <c r="G180" s="3" t="str">
        <f>"Vergi No / TC Kimlik No : "&amp;'Senet Borçlu Alacaklı Giriş'!$C$8</f>
        <v>Vergi No / TC Kimlik No : 341 3267 6260</v>
      </c>
      <c r="H180" s="3"/>
      <c r="I180" s="3"/>
      <c r="J180" s="3"/>
      <c r="K180" s="73"/>
      <c r="L180" s="73"/>
      <c r="M180" s="73"/>
      <c r="N180" s="73"/>
      <c r="O180" s="74"/>
      <c r="P180" s="64"/>
    </row>
    <row r="181" spans="1:16" ht="23.85" customHeight="1" x14ac:dyDescent="0.35">
      <c r="A181" s="44"/>
      <c r="B181" s="70"/>
      <c r="C181" s="44"/>
      <c r="D181" s="8"/>
      <c r="E181" s="10"/>
      <c r="F181" s="7" t="s">
        <v>17</v>
      </c>
      <c r="G181" s="2" t="str">
        <f>"İsim Unvan : "&amp;'Senet Borçlu Alacaklı Giriş'!$C$9</f>
        <v>İsim Unvan : Adem Duman</v>
      </c>
      <c r="H181" s="2"/>
      <c r="I181" s="2"/>
      <c r="J181" s="2"/>
      <c r="K181" s="46"/>
      <c r="L181" s="75"/>
      <c r="M181" s="46"/>
      <c r="N181" s="46"/>
      <c r="O181" s="47"/>
      <c r="P181" s="64"/>
    </row>
    <row r="182" spans="1:16" ht="23.85" customHeight="1" x14ac:dyDescent="0.35">
      <c r="A182" s="44"/>
      <c r="B182" s="55"/>
      <c r="C182" s="44"/>
      <c r="D182" s="66" t="s">
        <v>50</v>
      </c>
      <c r="E182" s="10"/>
      <c r="F182" s="7"/>
      <c r="G182" s="5" t="str">
        <f>"Adres : " &amp;'Senet Borçlu Alacaklı Giriş'!$C$10</f>
        <v>Adres : Esentepe Mah. Şehit Ulaşar Cad. Belde Sitesi B Blk. K1: D:3 TOKAT</v>
      </c>
      <c r="H182" s="5"/>
      <c r="I182" s="5"/>
      <c r="J182" s="5"/>
      <c r="K182" s="44"/>
      <c r="L182" s="44"/>
      <c r="M182" s="44"/>
      <c r="N182" s="44"/>
      <c r="O182" s="64"/>
      <c r="P182" s="64"/>
    </row>
    <row r="183" spans="1:16" ht="23.85" customHeight="1" x14ac:dyDescent="0.35">
      <c r="A183" s="44"/>
      <c r="B183" s="70"/>
      <c r="C183" s="44"/>
      <c r="D183" s="76">
        <f>'Senet Taksit Giriş'!D11</f>
        <v>44530</v>
      </c>
      <c r="E183" s="10"/>
      <c r="F183" s="7"/>
      <c r="G183" s="5"/>
      <c r="H183" s="5"/>
      <c r="I183" s="5"/>
      <c r="J183" s="5"/>
      <c r="K183" s="44"/>
      <c r="L183" s="56" t="s">
        <v>49</v>
      </c>
      <c r="M183" s="44"/>
      <c r="N183" s="44"/>
      <c r="O183" s="64"/>
      <c r="P183" s="64"/>
    </row>
    <row r="184" spans="1:16" ht="23.85" customHeight="1" x14ac:dyDescent="0.35">
      <c r="A184" s="44"/>
      <c r="B184" s="55"/>
      <c r="C184" s="44"/>
      <c r="D184" s="66" t="s">
        <v>51</v>
      </c>
      <c r="E184" s="10"/>
      <c r="F184" s="7"/>
      <c r="G184" s="4" t="str">
        <f>"Vergi Dairesi : "&amp;'Senet Borçlu Alacaklı Giriş'!$C$11</f>
        <v>Vergi Dairesi : Tokat</v>
      </c>
      <c r="H184" s="4"/>
      <c r="I184" s="4"/>
      <c r="J184" s="4"/>
      <c r="K184" s="44"/>
      <c r="L184" s="44"/>
      <c r="M184" s="44"/>
      <c r="N184" s="44"/>
      <c r="O184" s="64"/>
      <c r="P184" s="64"/>
    </row>
    <row r="185" spans="1:16" ht="23.85" customHeight="1" x14ac:dyDescent="0.35">
      <c r="A185" s="44"/>
      <c r="B185" s="55"/>
      <c r="C185" s="44"/>
      <c r="D185" s="76">
        <f>'Senet Taksit Giriş'!C11</f>
        <v>44252</v>
      </c>
      <c r="E185" s="10"/>
      <c r="F185" s="7"/>
      <c r="G185" s="3" t="str">
        <f>"Vergi No / TC Kimlik No : "&amp;'Senet Borçlu Alacaklı Giriş'!$C$12</f>
        <v>Vergi No / TC Kimlik No : 341 3267 6260</v>
      </c>
      <c r="H185" s="3"/>
      <c r="I185" s="3"/>
      <c r="J185" s="3"/>
      <c r="K185" s="73"/>
      <c r="L185" s="73"/>
      <c r="M185" s="73"/>
      <c r="N185" s="73"/>
      <c r="O185" s="74"/>
      <c r="P185" s="64"/>
    </row>
    <row r="186" spans="1:16" ht="23.85" customHeight="1" x14ac:dyDescent="0.35">
      <c r="A186" s="44"/>
      <c r="B186" s="77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4"/>
    </row>
    <row r="187" spans="1:16" ht="23.85" customHeight="1" x14ac:dyDescent="0.35">
      <c r="A187" s="44"/>
      <c r="B187" s="45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7"/>
    </row>
    <row r="188" spans="1:16" ht="23.85" customHeight="1" x14ac:dyDescent="0.35">
      <c r="A188" s="48"/>
      <c r="B188" s="49"/>
      <c r="C188" s="48"/>
      <c r="D188" s="50" t="s">
        <v>40</v>
      </c>
      <c r="E188" s="10" t="str">
        <f>$D195 &amp;"    - Taksit No: " &amp; $D190&amp;"  "</f>
        <v xml:space="preserve">Bursa Fabrika Satış Mağazası – Adem Duman    - Taksit No: # 10 #  </v>
      </c>
      <c r="F188" s="48"/>
      <c r="G188" s="51" t="s">
        <v>41</v>
      </c>
      <c r="H188" s="48"/>
      <c r="I188" s="51" t="s">
        <v>42</v>
      </c>
      <c r="J188" s="51" t="s">
        <v>43</v>
      </c>
      <c r="K188"/>
      <c r="L188" s="48"/>
      <c r="M188" s="51" t="s">
        <v>44</v>
      </c>
      <c r="N188" s="52"/>
      <c r="O188" s="51" t="s">
        <v>21</v>
      </c>
      <c r="P188" s="53"/>
    </row>
    <row r="189" spans="1:16" ht="23.85" customHeight="1" x14ac:dyDescent="0.35">
      <c r="A189" s="44"/>
      <c r="B189" s="55"/>
      <c r="C189" s="56"/>
      <c r="D189" s="57" t="s">
        <v>45</v>
      </c>
      <c r="E189" s="10"/>
      <c r="F189" s="44"/>
      <c r="G189" s="58">
        <f>D203</f>
        <v>44560</v>
      </c>
      <c r="H189" s="59"/>
      <c r="I189" s="60" t="str">
        <f>D192</f>
        <v># 2.000 TL #</v>
      </c>
      <c r="J189" s="61" t="str">
        <f>D193</f>
        <v>#   Krş #</v>
      </c>
      <c r="K189"/>
      <c r="L189" s="59"/>
      <c r="M189" s="62" t="str">
        <f>D190</f>
        <v># 10 #</v>
      </c>
      <c r="N189" s="52"/>
      <c r="O189" s="63">
        <f>D205</f>
        <v>44252</v>
      </c>
      <c r="P189" s="64"/>
    </row>
    <row r="190" spans="1:16" ht="23.85" customHeight="1" x14ac:dyDescent="0.35">
      <c r="A190" s="44"/>
      <c r="B190" s="55"/>
      <c r="C190" s="56"/>
      <c r="D190" s="65" t="str">
        <f>"# "&amp;TEXT(INT('Senet Taksit Giriş'!B12),"##.##0")&amp;" #"</f>
        <v># 10 #</v>
      </c>
      <c r="E190" s="10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64"/>
    </row>
    <row r="191" spans="1:16" ht="23.85" customHeight="1" x14ac:dyDescent="0.35">
      <c r="A191" s="44"/>
      <c r="B191" s="55"/>
      <c r="C191" s="56"/>
      <c r="D191" s="66" t="s">
        <v>46</v>
      </c>
      <c r="E191" s="10"/>
      <c r="F191" s="9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91" s="9"/>
      <c r="H191" s="9"/>
      <c r="I191" s="9"/>
      <c r="J191" s="9"/>
      <c r="K191" s="9"/>
      <c r="L191" s="9"/>
      <c r="M191" s="9"/>
      <c r="N191" s="9"/>
      <c r="O191" s="9"/>
      <c r="P191" s="64"/>
    </row>
    <row r="192" spans="1:16" ht="23.85" customHeight="1" x14ac:dyDescent="0.35">
      <c r="A192" s="44"/>
      <c r="B192" s="55"/>
      <c r="C192" s="56"/>
      <c r="D192" s="67" t="str">
        <f>"# "&amp;TEXT(INT('Senet Taksit Giriş'!E12),"##.##0")&amp;" TL #"</f>
        <v># 2.000 TL #</v>
      </c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64"/>
    </row>
    <row r="193" spans="1:16" ht="23.85" customHeight="1" x14ac:dyDescent="0.35">
      <c r="A193" s="44"/>
      <c r="B193" s="55"/>
      <c r="C193" s="44"/>
      <c r="D193" s="68" t="str">
        <f>"# "&amp;TEXT(('Senet Taksit Giriş'!E195-INT('Senet Taksit Giriş'!E195))*100,"##.##")&amp;"  Krş #"</f>
        <v>#   Krş #</v>
      </c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64"/>
    </row>
    <row r="194" spans="1:16" ht="23.85" customHeight="1" x14ac:dyDescent="0.35">
      <c r="A194" s="44"/>
      <c r="B194" s="55"/>
      <c r="C194" s="44"/>
      <c r="D194" s="69" t="s">
        <v>47</v>
      </c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64"/>
    </row>
    <row r="195" spans="1:16" ht="23.85" customHeight="1" x14ac:dyDescent="0.35">
      <c r="A195" s="44"/>
      <c r="B195" s="70"/>
      <c r="C195" s="44"/>
      <c r="D195" s="8" t="str">
        <f>$D$9</f>
        <v>Bursa Fabrika Satış Mağazası – Adem Duman</v>
      </c>
      <c r="E195" s="10"/>
      <c r="F195"/>
      <c r="G195"/>
      <c r="H195"/>
      <c r="I195"/>
      <c r="J195"/>
      <c r="K195"/>
      <c r="L195"/>
      <c r="M195"/>
      <c r="N195"/>
      <c r="O195"/>
      <c r="P195" s="64"/>
    </row>
    <row r="196" spans="1:16" ht="23.85" customHeight="1" x14ac:dyDescent="0.35">
      <c r="A196" s="44"/>
      <c r="B196" s="55"/>
      <c r="C196" s="44"/>
      <c r="D196" s="8"/>
      <c r="E196" s="10"/>
      <c r="F196" s="7" t="s">
        <v>48</v>
      </c>
      <c r="G196" s="2" t="str">
        <f>"İsim : "&amp;$D195</f>
        <v>İsim : Bursa Fabrika Satış Mağazası – Adem Duman</v>
      </c>
      <c r="H196" s="2"/>
      <c r="I196" s="2"/>
      <c r="J196" s="2"/>
      <c r="K196" s="46"/>
      <c r="L196" s="46"/>
      <c r="M196" s="1"/>
      <c r="N196" s="1"/>
      <c r="O196" s="47"/>
      <c r="P196" s="64"/>
    </row>
    <row r="197" spans="1:16" ht="23.85" customHeight="1" x14ac:dyDescent="0.35">
      <c r="A197" s="44"/>
      <c r="B197" s="71"/>
      <c r="C197" s="72"/>
      <c r="D197" s="8"/>
      <c r="E197" s="10"/>
      <c r="F197" s="7"/>
      <c r="G197" s="5" t="str">
        <f>"Adres : " &amp;'Senet Borçlu Alacaklı Giriş'!$C$6</f>
        <v>Adres : Hızarhane Cad. No:5 TOKAT</v>
      </c>
      <c r="H197" s="5"/>
      <c r="I197" s="5"/>
      <c r="J197" s="5"/>
      <c r="K197" s="5"/>
      <c r="L197" s="44"/>
      <c r="M197" s="44"/>
      <c r="N197" s="44"/>
      <c r="O197" s="64"/>
      <c r="P197" s="64"/>
    </row>
    <row r="198" spans="1:16" ht="23.85" customHeight="1" x14ac:dyDescent="0.35">
      <c r="A198" s="44"/>
      <c r="B198" s="71"/>
      <c r="C198" s="72"/>
      <c r="D198" s="8"/>
      <c r="E198" s="10"/>
      <c r="F198" s="7"/>
      <c r="G198" s="5"/>
      <c r="H198" s="5"/>
      <c r="I198" s="5"/>
      <c r="J198" s="5"/>
      <c r="K198" s="5"/>
      <c r="L198" s="56" t="s">
        <v>49</v>
      </c>
      <c r="M198" s="56"/>
      <c r="N198" s="52"/>
      <c r="O198" s="64"/>
      <c r="P198" s="64"/>
    </row>
    <row r="199" spans="1:16" ht="23.85" customHeight="1" x14ac:dyDescent="0.35">
      <c r="A199" s="44"/>
      <c r="B199" s="71"/>
      <c r="C199" s="72"/>
      <c r="D199" s="8"/>
      <c r="E199" s="10"/>
      <c r="F199" s="7"/>
      <c r="G199" s="4" t="str">
        <f>"Vergi Dairesi : "&amp;'Senet Borçlu Alacaklı Giriş'!$C$7</f>
        <v>Vergi Dairesi : Tokat</v>
      </c>
      <c r="H199" s="4"/>
      <c r="I199" s="4"/>
      <c r="J199" s="4"/>
      <c r="K199" s="44"/>
      <c r="L199" s="44"/>
      <c r="M199" s="44"/>
      <c r="N199" s="44"/>
      <c r="O199" s="64"/>
      <c r="P199" s="64"/>
    </row>
    <row r="200" spans="1:16" ht="23.85" customHeight="1" x14ac:dyDescent="0.35">
      <c r="A200" s="44"/>
      <c r="B200" s="55"/>
      <c r="C200" s="44"/>
      <c r="D200" s="8"/>
      <c r="E200" s="10"/>
      <c r="F200" s="7"/>
      <c r="G200" s="3" t="str">
        <f>"Vergi No / TC Kimlik No : "&amp;'Senet Borçlu Alacaklı Giriş'!$C$8</f>
        <v>Vergi No / TC Kimlik No : 341 3267 6260</v>
      </c>
      <c r="H200" s="3"/>
      <c r="I200" s="3"/>
      <c r="J200" s="3"/>
      <c r="K200" s="73"/>
      <c r="L200" s="73"/>
      <c r="M200" s="73"/>
      <c r="N200" s="73"/>
      <c r="O200" s="74"/>
      <c r="P200" s="64"/>
    </row>
    <row r="201" spans="1:16" ht="23.85" customHeight="1" x14ac:dyDescent="0.35">
      <c r="A201" s="44"/>
      <c r="B201" s="70"/>
      <c r="C201" s="44"/>
      <c r="D201" s="8"/>
      <c r="E201" s="10"/>
      <c r="F201" s="7" t="s">
        <v>17</v>
      </c>
      <c r="G201" s="2" t="str">
        <f>"İsim Unvan : "&amp;'Senet Borçlu Alacaklı Giriş'!$C$9</f>
        <v>İsim Unvan : Adem Duman</v>
      </c>
      <c r="H201" s="2"/>
      <c r="I201" s="2"/>
      <c r="J201" s="2"/>
      <c r="K201" s="46"/>
      <c r="L201" s="75"/>
      <c r="M201" s="46"/>
      <c r="N201" s="46"/>
      <c r="O201" s="47"/>
      <c r="P201" s="64"/>
    </row>
    <row r="202" spans="1:16" ht="23.85" customHeight="1" x14ac:dyDescent="0.35">
      <c r="A202" s="44"/>
      <c r="B202" s="55"/>
      <c r="C202" s="44"/>
      <c r="D202" s="66" t="s">
        <v>50</v>
      </c>
      <c r="E202" s="10"/>
      <c r="F202" s="7"/>
      <c r="G202" s="5" t="str">
        <f>"Adres : " &amp;'Senet Borçlu Alacaklı Giriş'!$C$10</f>
        <v>Adres : Esentepe Mah. Şehit Ulaşar Cad. Belde Sitesi B Blk. K1: D:3 TOKAT</v>
      </c>
      <c r="H202" s="5"/>
      <c r="I202" s="5"/>
      <c r="J202" s="5"/>
      <c r="K202" s="44"/>
      <c r="L202" s="44"/>
      <c r="M202" s="44"/>
      <c r="N202" s="44"/>
      <c r="O202" s="64"/>
      <c r="P202" s="64"/>
    </row>
    <row r="203" spans="1:16" ht="23.85" customHeight="1" x14ac:dyDescent="0.35">
      <c r="A203" s="44"/>
      <c r="B203" s="70"/>
      <c r="C203" s="44"/>
      <c r="D203" s="76">
        <f>'Senet Taksit Giriş'!D12</f>
        <v>44560</v>
      </c>
      <c r="E203" s="10"/>
      <c r="F203" s="7"/>
      <c r="G203" s="5"/>
      <c r="H203" s="5"/>
      <c r="I203" s="5"/>
      <c r="J203" s="5"/>
      <c r="K203" s="44"/>
      <c r="L203" s="56" t="s">
        <v>49</v>
      </c>
      <c r="M203" s="44"/>
      <c r="N203" s="44"/>
      <c r="O203" s="64"/>
      <c r="P203" s="64"/>
    </row>
    <row r="204" spans="1:16" ht="23.85" customHeight="1" x14ac:dyDescent="0.35">
      <c r="A204" s="44"/>
      <c r="B204" s="55"/>
      <c r="C204" s="44"/>
      <c r="D204" s="66" t="s">
        <v>51</v>
      </c>
      <c r="E204" s="10"/>
      <c r="F204" s="7"/>
      <c r="G204" s="4" t="str">
        <f>"Vergi Dairesi : "&amp;'Senet Borçlu Alacaklı Giriş'!$C$11</f>
        <v>Vergi Dairesi : Tokat</v>
      </c>
      <c r="H204" s="4"/>
      <c r="I204" s="4"/>
      <c r="J204" s="4"/>
      <c r="K204" s="44"/>
      <c r="L204" s="44"/>
      <c r="M204" s="44"/>
      <c r="N204" s="44"/>
      <c r="O204" s="64"/>
      <c r="P204" s="64"/>
    </row>
    <row r="205" spans="1:16" ht="23.85" customHeight="1" x14ac:dyDescent="0.35">
      <c r="A205" s="44"/>
      <c r="B205" s="55"/>
      <c r="C205" s="44"/>
      <c r="D205" s="76">
        <f>'Senet Taksit Giriş'!C12</f>
        <v>44252</v>
      </c>
      <c r="E205" s="10"/>
      <c r="F205" s="7"/>
      <c r="G205" s="3" t="str">
        <f>"Vergi No / TC Kimlik No : "&amp;'Senet Borçlu Alacaklı Giriş'!$C$12</f>
        <v>Vergi No / TC Kimlik No : 341 3267 6260</v>
      </c>
      <c r="H205" s="3"/>
      <c r="I205" s="3"/>
      <c r="J205" s="3"/>
      <c r="K205" s="73"/>
      <c r="L205" s="73"/>
      <c r="M205" s="73"/>
      <c r="N205" s="73"/>
      <c r="O205" s="74"/>
      <c r="P205" s="64"/>
    </row>
    <row r="206" spans="1:16" ht="23.85" customHeight="1" x14ac:dyDescent="0.35">
      <c r="A206" s="44"/>
      <c r="B206" s="77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4"/>
    </row>
    <row r="208" spans="1:16" ht="23.85" customHeight="1" x14ac:dyDescent="0.35">
      <c r="A208" s="44"/>
      <c r="B208" s="45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7"/>
    </row>
    <row r="209" spans="1:16" ht="23.85" customHeight="1" x14ac:dyDescent="0.35">
      <c r="A209" s="48"/>
      <c r="B209" s="49"/>
      <c r="C209" s="48"/>
      <c r="D209" s="50" t="s">
        <v>40</v>
      </c>
      <c r="E209" s="10" t="str">
        <f>$D216 &amp;"    - Taksit No: " &amp; $D211&amp;"  "</f>
        <v xml:space="preserve">Bursa Fabrika Satış Mağazası – Adem Duman    - Taksit No: # 11 #  </v>
      </c>
      <c r="F209" s="48"/>
      <c r="G209" s="51" t="s">
        <v>41</v>
      </c>
      <c r="H209" s="48"/>
      <c r="I209" s="51" t="s">
        <v>42</v>
      </c>
      <c r="J209" s="51" t="s">
        <v>43</v>
      </c>
      <c r="K209"/>
      <c r="L209" s="48"/>
      <c r="M209" s="51" t="s">
        <v>44</v>
      </c>
      <c r="N209" s="52"/>
      <c r="O209" s="51" t="s">
        <v>21</v>
      </c>
      <c r="P209" s="53"/>
    </row>
    <row r="210" spans="1:16" ht="23.85" customHeight="1" x14ac:dyDescent="0.35">
      <c r="A210" s="44"/>
      <c r="B210" s="55"/>
      <c r="C210" s="56"/>
      <c r="D210" s="57" t="s">
        <v>45</v>
      </c>
      <c r="E210" s="10"/>
      <c r="F210" s="44"/>
      <c r="G210" s="58">
        <f>D224</f>
        <v>44591</v>
      </c>
      <c r="H210" s="59"/>
      <c r="I210" s="60" t="str">
        <f>D213</f>
        <v># 2.000 TL #</v>
      </c>
      <c r="J210" s="61" t="str">
        <f>D214</f>
        <v>#   Krş #</v>
      </c>
      <c r="K210"/>
      <c r="L210" s="59"/>
      <c r="M210" s="62" t="str">
        <f>D211</f>
        <v># 11 #</v>
      </c>
      <c r="N210" s="52"/>
      <c r="O210" s="63">
        <f>D226</f>
        <v>44252</v>
      </c>
      <c r="P210" s="64"/>
    </row>
    <row r="211" spans="1:16" ht="23.85" customHeight="1" x14ac:dyDescent="0.35">
      <c r="A211" s="44"/>
      <c r="B211" s="55"/>
      <c r="C211" s="56"/>
      <c r="D211" s="65" t="str">
        <f>"# "&amp;TEXT(INT('Senet Taksit Giriş'!B13),"##.##0")&amp;" #"</f>
        <v># 11 #</v>
      </c>
      <c r="E211" s="10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64"/>
    </row>
    <row r="212" spans="1:16" ht="23.85" customHeight="1" x14ac:dyDescent="0.35">
      <c r="A212" s="44"/>
      <c r="B212" s="55"/>
      <c r="C212" s="56"/>
      <c r="D212" s="66" t="s">
        <v>46</v>
      </c>
      <c r="E212" s="10"/>
      <c r="F212" s="9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12" s="9"/>
      <c r="H212" s="9"/>
      <c r="I212" s="9"/>
      <c r="J212" s="9"/>
      <c r="K212" s="9"/>
      <c r="L212" s="9"/>
      <c r="M212" s="9"/>
      <c r="N212" s="9"/>
      <c r="O212" s="9"/>
      <c r="P212" s="64"/>
    </row>
    <row r="213" spans="1:16" ht="23.85" customHeight="1" x14ac:dyDescent="0.35">
      <c r="A213" s="44"/>
      <c r="B213" s="55"/>
      <c r="C213" s="56"/>
      <c r="D213" s="67" t="str">
        <f>"# "&amp;TEXT(INT('Senet Taksit Giriş'!E13),"##.##0")&amp;" TL #"</f>
        <v># 2.000 TL #</v>
      </c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64"/>
    </row>
    <row r="214" spans="1:16" ht="23.85" customHeight="1" x14ac:dyDescent="0.35">
      <c r="A214" s="44"/>
      <c r="B214" s="55"/>
      <c r="C214" s="44"/>
      <c r="D214" s="68" t="str">
        <f>"# "&amp;TEXT(('Senet Taksit Giriş'!E216-INT('Senet Taksit Giriş'!E216))*100,"##.##")&amp;"  Krş #"</f>
        <v>#   Krş #</v>
      </c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64"/>
    </row>
    <row r="215" spans="1:16" ht="23.85" customHeight="1" x14ac:dyDescent="0.35">
      <c r="A215" s="44"/>
      <c r="B215" s="55"/>
      <c r="C215" s="44"/>
      <c r="D215" s="69" t="s">
        <v>47</v>
      </c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64"/>
    </row>
    <row r="216" spans="1:16" ht="23.85" customHeight="1" x14ac:dyDescent="0.35">
      <c r="A216" s="44"/>
      <c r="B216" s="70"/>
      <c r="C216" s="44"/>
      <c r="D216" s="8" t="str">
        <f>$D$9</f>
        <v>Bursa Fabrika Satış Mağazası – Adem Duman</v>
      </c>
      <c r="E216" s="10"/>
      <c r="F216"/>
      <c r="G216"/>
      <c r="H216"/>
      <c r="I216"/>
      <c r="J216"/>
      <c r="K216"/>
      <c r="L216"/>
      <c r="M216"/>
      <c r="N216"/>
      <c r="O216"/>
      <c r="P216" s="64"/>
    </row>
    <row r="217" spans="1:16" ht="23.85" customHeight="1" x14ac:dyDescent="0.35">
      <c r="A217" s="44"/>
      <c r="B217" s="55"/>
      <c r="C217" s="44"/>
      <c r="D217" s="8"/>
      <c r="E217" s="10"/>
      <c r="F217" s="7" t="s">
        <v>48</v>
      </c>
      <c r="G217" s="2" t="str">
        <f>"İsim : "&amp;$D216</f>
        <v>İsim : Bursa Fabrika Satış Mağazası – Adem Duman</v>
      </c>
      <c r="H217" s="2"/>
      <c r="I217" s="2"/>
      <c r="J217" s="2"/>
      <c r="K217" s="46"/>
      <c r="L217" s="46"/>
      <c r="M217" s="1"/>
      <c r="N217" s="1"/>
      <c r="O217" s="47"/>
      <c r="P217" s="64"/>
    </row>
    <row r="218" spans="1:16" ht="23.85" customHeight="1" x14ac:dyDescent="0.35">
      <c r="A218" s="44"/>
      <c r="B218" s="71"/>
      <c r="C218" s="72"/>
      <c r="D218" s="8"/>
      <c r="E218" s="10"/>
      <c r="F218" s="7"/>
      <c r="G218" s="5" t="str">
        <f>"Adres : " &amp;'Senet Borçlu Alacaklı Giriş'!$C$6</f>
        <v>Adres : Hızarhane Cad. No:5 TOKAT</v>
      </c>
      <c r="H218" s="5"/>
      <c r="I218" s="5"/>
      <c r="J218" s="5"/>
      <c r="K218" s="5"/>
      <c r="L218" s="44"/>
      <c r="M218" s="44"/>
      <c r="N218" s="44"/>
      <c r="O218" s="64"/>
      <c r="P218" s="64"/>
    </row>
    <row r="219" spans="1:16" ht="23.85" customHeight="1" x14ac:dyDescent="0.35">
      <c r="A219" s="44"/>
      <c r="B219" s="71"/>
      <c r="C219" s="72"/>
      <c r="D219" s="8"/>
      <c r="E219" s="10"/>
      <c r="F219" s="7"/>
      <c r="G219" s="5"/>
      <c r="H219" s="5"/>
      <c r="I219" s="5"/>
      <c r="J219" s="5"/>
      <c r="K219" s="5"/>
      <c r="L219" s="56" t="s">
        <v>49</v>
      </c>
      <c r="M219" s="56"/>
      <c r="N219" s="52"/>
      <c r="O219" s="64"/>
      <c r="P219" s="64"/>
    </row>
    <row r="220" spans="1:16" ht="23.85" customHeight="1" x14ac:dyDescent="0.35">
      <c r="A220" s="44"/>
      <c r="B220" s="71"/>
      <c r="C220" s="72"/>
      <c r="D220" s="8"/>
      <c r="E220" s="10"/>
      <c r="F220" s="7"/>
      <c r="G220" s="4" t="str">
        <f>"Vergi Dairesi : "&amp;'Senet Borçlu Alacaklı Giriş'!$C$7</f>
        <v>Vergi Dairesi : Tokat</v>
      </c>
      <c r="H220" s="4"/>
      <c r="I220" s="4"/>
      <c r="J220" s="4"/>
      <c r="K220" s="44"/>
      <c r="L220" s="44"/>
      <c r="M220" s="44"/>
      <c r="N220" s="44"/>
      <c r="O220" s="64"/>
      <c r="P220" s="64"/>
    </row>
    <row r="221" spans="1:16" ht="23.85" customHeight="1" x14ac:dyDescent="0.35">
      <c r="A221" s="44"/>
      <c r="B221" s="55"/>
      <c r="C221" s="44"/>
      <c r="D221" s="8"/>
      <c r="E221" s="10"/>
      <c r="F221" s="7"/>
      <c r="G221" s="3" t="str">
        <f>"Vergi No / TC Kimlik No : "&amp;'Senet Borçlu Alacaklı Giriş'!$C$8</f>
        <v>Vergi No / TC Kimlik No : 341 3267 6260</v>
      </c>
      <c r="H221" s="3"/>
      <c r="I221" s="3"/>
      <c r="J221" s="3"/>
      <c r="K221" s="73"/>
      <c r="L221" s="73"/>
      <c r="M221" s="73"/>
      <c r="N221" s="73"/>
      <c r="O221" s="74"/>
      <c r="P221" s="64"/>
    </row>
    <row r="222" spans="1:16" ht="23.85" customHeight="1" x14ac:dyDescent="0.35">
      <c r="A222" s="44"/>
      <c r="B222" s="70"/>
      <c r="C222" s="44"/>
      <c r="D222" s="8"/>
      <c r="E222" s="10"/>
      <c r="F222" s="7" t="s">
        <v>17</v>
      </c>
      <c r="G222" s="2" t="str">
        <f>"İsim Unvan : "&amp;'Senet Borçlu Alacaklı Giriş'!$C$9</f>
        <v>İsim Unvan : Adem Duman</v>
      </c>
      <c r="H222" s="2"/>
      <c r="I222" s="2"/>
      <c r="J222" s="2"/>
      <c r="K222" s="46"/>
      <c r="L222" s="75"/>
      <c r="M222" s="46"/>
      <c r="N222" s="46"/>
      <c r="O222" s="47"/>
      <c r="P222" s="64"/>
    </row>
    <row r="223" spans="1:16" ht="23.85" customHeight="1" x14ac:dyDescent="0.35">
      <c r="A223" s="44"/>
      <c r="B223" s="55"/>
      <c r="C223" s="44"/>
      <c r="D223" s="66" t="s">
        <v>50</v>
      </c>
      <c r="E223" s="10"/>
      <c r="F223" s="7"/>
      <c r="G223" s="5" t="str">
        <f>"Adres : " &amp;'Senet Borçlu Alacaklı Giriş'!$C$10</f>
        <v>Adres : Esentepe Mah. Şehit Ulaşar Cad. Belde Sitesi B Blk. K1: D:3 TOKAT</v>
      </c>
      <c r="H223" s="5"/>
      <c r="I223" s="5"/>
      <c r="J223" s="5"/>
      <c r="K223" s="44"/>
      <c r="L223" s="44"/>
      <c r="M223" s="44"/>
      <c r="N223" s="44"/>
      <c r="O223" s="64"/>
      <c r="P223" s="64"/>
    </row>
    <row r="224" spans="1:16" ht="23.85" customHeight="1" x14ac:dyDescent="0.35">
      <c r="A224" s="44"/>
      <c r="B224" s="70"/>
      <c r="C224" s="44"/>
      <c r="D224" s="76">
        <f>'Senet Taksit Giriş'!D13</f>
        <v>44591</v>
      </c>
      <c r="E224" s="10"/>
      <c r="F224" s="7"/>
      <c r="G224" s="5"/>
      <c r="H224" s="5"/>
      <c r="I224" s="5"/>
      <c r="J224" s="5"/>
      <c r="K224" s="44"/>
      <c r="L224" s="56" t="s">
        <v>49</v>
      </c>
      <c r="M224" s="44"/>
      <c r="N224" s="44"/>
      <c r="O224" s="64"/>
      <c r="P224" s="64"/>
    </row>
    <row r="225" spans="1:16" ht="23.85" customHeight="1" x14ac:dyDescent="0.35">
      <c r="A225" s="44"/>
      <c r="B225" s="55"/>
      <c r="C225" s="44"/>
      <c r="D225" s="66" t="s">
        <v>51</v>
      </c>
      <c r="E225" s="10"/>
      <c r="F225" s="7"/>
      <c r="G225" s="4" t="str">
        <f>"Vergi Dairesi : "&amp;'Senet Borçlu Alacaklı Giriş'!$C$11</f>
        <v>Vergi Dairesi : Tokat</v>
      </c>
      <c r="H225" s="4"/>
      <c r="I225" s="4"/>
      <c r="J225" s="4"/>
      <c r="K225" s="44"/>
      <c r="L225" s="44"/>
      <c r="M225" s="44"/>
      <c r="N225" s="44"/>
      <c r="O225" s="64"/>
      <c r="P225" s="64"/>
    </row>
    <row r="226" spans="1:16" ht="23.85" customHeight="1" x14ac:dyDescent="0.35">
      <c r="A226" s="44"/>
      <c r="B226" s="55"/>
      <c r="C226" s="44"/>
      <c r="D226" s="76">
        <f>'Senet Taksit Giriş'!C13</f>
        <v>44252</v>
      </c>
      <c r="E226" s="10"/>
      <c r="F226" s="7"/>
      <c r="G226" s="3" t="str">
        <f>"Vergi No / TC Kimlik No : "&amp;'Senet Borçlu Alacaklı Giriş'!$C$12</f>
        <v>Vergi No / TC Kimlik No : 341 3267 6260</v>
      </c>
      <c r="H226" s="3"/>
      <c r="I226" s="3"/>
      <c r="J226" s="3"/>
      <c r="K226" s="73"/>
      <c r="L226" s="73"/>
      <c r="M226" s="73"/>
      <c r="N226" s="73"/>
      <c r="O226" s="74"/>
      <c r="P226" s="64"/>
    </row>
    <row r="227" spans="1:16" ht="23.85" customHeight="1" x14ac:dyDescent="0.35">
      <c r="A227" s="44"/>
      <c r="B227" s="77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4"/>
    </row>
    <row r="229" spans="1:16" ht="23.85" customHeight="1" x14ac:dyDescent="0.35">
      <c r="A229" s="44"/>
      <c r="B229" s="45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7"/>
    </row>
    <row r="230" spans="1:16" ht="23.85" customHeight="1" x14ac:dyDescent="0.35">
      <c r="A230" s="48"/>
      <c r="B230" s="49"/>
      <c r="C230" s="48"/>
      <c r="D230" s="50" t="s">
        <v>40</v>
      </c>
      <c r="E230" s="10" t="str">
        <f>$D237 &amp;"    - Taksit No: " &amp; $D232&amp;"  "</f>
        <v xml:space="preserve">Bursa Fabrika Satış Mağazası – Adem Duman    - Taksit No: # 12 #  </v>
      </c>
      <c r="F230" s="48"/>
      <c r="G230" s="51" t="s">
        <v>41</v>
      </c>
      <c r="H230" s="48"/>
      <c r="I230" s="51" t="s">
        <v>42</v>
      </c>
      <c r="J230" s="51" t="s">
        <v>43</v>
      </c>
      <c r="K230"/>
      <c r="L230" s="48"/>
      <c r="M230" s="51" t="s">
        <v>44</v>
      </c>
      <c r="N230" s="52"/>
      <c r="O230" s="51" t="s">
        <v>21</v>
      </c>
      <c r="P230" s="53"/>
    </row>
    <row r="231" spans="1:16" ht="23.85" customHeight="1" x14ac:dyDescent="0.35">
      <c r="A231" s="44"/>
      <c r="B231" s="55"/>
      <c r="C231" s="56"/>
      <c r="D231" s="57" t="s">
        <v>45</v>
      </c>
      <c r="E231" s="10"/>
      <c r="F231" s="44"/>
      <c r="G231" s="58">
        <f>D245</f>
        <v>44620</v>
      </c>
      <c r="H231" s="59"/>
      <c r="I231" s="60" t="str">
        <f>D234</f>
        <v># 2.000 TL #</v>
      </c>
      <c r="J231" s="61" t="str">
        <f>D235</f>
        <v>#   Krş #</v>
      </c>
      <c r="K231"/>
      <c r="L231" s="59"/>
      <c r="M231" s="62" t="str">
        <f>D232</f>
        <v># 12 #</v>
      </c>
      <c r="N231" s="52"/>
      <c r="O231" s="63">
        <f>D247</f>
        <v>44252</v>
      </c>
      <c r="P231" s="64"/>
    </row>
    <row r="232" spans="1:16" ht="23.85" customHeight="1" x14ac:dyDescent="0.35">
      <c r="A232" s="44"/>
      <c r="B232" s="55"/>
      <c r="C232" s="56"/>
      <c r="D232" s="65" t="str">
        <f>"# "&amp;TEXT(INT('Senet Taksit Giriş'!B14),"##.##0")&amp;" #"</f>
        <v># 12 #</v>
      </c>
      <c r="E232" s="10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64"/>
    </row>
    <row r="233" spans="1:16" ht="23.85" customHeight="1" x14ac:dyDescent="0.35">
      <c r="A233" s="44"/>
      <c r="B233" s="55"/>
      <c r="C233" s="56"/>
      <c r="D233" s="66" t="s">
        <v>46</v>
      </c>
      <c r="E233" s="10"/>
      <c r="F233" s="9" t="str">
        <f>"   İş bu emre muharrer senedim"&amp;IF('Senet Borçlu Alacaklı Giriş'!$C$4="Gerçek Kişi","in","izin")&amp;" mükabilinde "&amp;TEXT(G231,"dd mmmm yyyy")&amp;" tarihinde Sayın : "&amp;'Senet Borçlu Alacaklı Giriş'!$C$1&amp;" 'ya veyahut emruhavalesine yukarıda yazılı Yalnız # "&amp;'Senet Taksit Giriş'!F14&amp;" # ödeyeceği"&amp;IF('Senet Borçlu Alacaklı Giriş'!$C$4="Gerçek Kişi","m.","z.")&amp;" Bedeli "&amp;'Senet Taksit Giriş'!G14&amp;"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33" s="9"/>
      <c r="H233" s="9"/>
      <c r="I233" s="9"/>
      <c r="J233" s="9"/>
      <c r="K233" s="9"/>
      <c r="L233" s="9"/>
      <c r="M233" s="9"/>
      <c r="N233" s="9"/>
      <c r="O233" s="9"/>
      <c r="P233" s="64"/>
    </row>
    <row r="234" spans="1:16" ht="23.85" customHeight="1" x14ac:dyDescent="0.35">
      <c r="A234" s="44"/>
      <c r="B234" s="55"/>
      <c r="C234" s="56"/>
      <c r="D234" s="67" t="str">
        <f>"# "&amp;TEXT(INT('Senet Taksit Giriş'!E14),"##.##0")&amp;" TL #"</f>
        <v># 2.000 TL #</v>
      </c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64"/>
    </row>
    <row r="235" spans="1:16" ht="23.85" customHeight="1" x14ac:dyDescent="0.35">
      <c r="A235" s="44"/>
      <c r="B235" s="55"/>
      <c r="C235" s="44"/>
      <c r="D235" s="68" t="str">
        <f>"# "&amp;TEXT(('Senet Taksit Giriş'!E237-INT('Senet Taksit Giriş'!E237))*100,"##.##")&amp;"  Krş #"</f>
        <v>#   Krş #</v>
      </c>
      <c r="E235" s="1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64"/>
    </row>
    <row r="236" spans="1:16" ht="23.85" customHeight="1" x14ac:dyDescent="0.35">
      <c r="A236" s="44"/>
      <c r="B236" s="55"/>
      <c r="C236" s="44"/>
      <c r="D236" s="69" t="s">
        <v>47</v>
      </c>
      <c r="E236" s="1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64"/>
    </row>
    <row r="237" spans="1:16" ht="23.85" customHeight="1" x14ac:dyDescent="0.35">
      <c r="A237" s="44"/>
      <c r="B237" s="70"/>
      <c r="C237" s="44"/>
      <c r="D237" s="8" t="str">
        <f>$D$9</f>
        <v>Bursa Fabrika Satış Mağazası – Adem Duman</v>
      </c>
      <c r="E237" s="10"/>
      <c r="F237"/>
      <c r="G237"/>
      <c r="H237"/>
      <c r="I237"/>
      <c r="J237"/>
      <c r="K237"/>
      <c r="L237"/>
      <c r="M237"/>
      <c r="N237"/>
      <c r="O237"/>
      <c r="P237" s="64"/>
    </row>
    <row r="238" spans="1:16" ht="23.85" customHeight="1" x14ac:dyDescent="0.35">
      <c r="A238" s="44"/>
      <c r="B238" s="55"/>
      <c r="C238" s="44"/>
      <c r="D238" s="8"/>
      <c r="E238" s="10"/>
      <c r="F238" s="7" t="s">
        <v>48</v>
      </c>
      <c r="G238" s="2" t="str">
        <f>"İsim : "&amp;$D237</f>
        <v>İsim : Bursa Fabrika Satış Mağazası – Adem Duman</v>
      </c>
      <c r="H238" s="2"/>
      <c r="I238" s="2"/>
      <c r="J238" s="2"/>
      <c r="K238" s="46"/>
      <c r="L238" s="46"/>
      <c r="M238" s="1"/>
      <c r="N238" s="1"/>
      <c r="O238" s="47"/>
      <c r="P238" s="64"/>
    </row>
    <row r="239" spans="1:16" ht="23.85" customHeight="1" x14ac:dyDescent="0.35">
      <c r="A239" s="44"/>
      <c r="B239" s="71"/>
      <c r="C239" s="72"/>
      <c r="D239" s="8"/>
      <c r="E239" s="10"/>
      <c r="F239" s="7"/>
      <c r="G239" s="5" t="str">
        <f>"Adres : " &amp;'Senet Borçlu Alacaklı Giriş'!$C$6</f>
        <v>Adres : Hızarhane Cad. No:5 TOKAT</v>
      </c>
      <c r="H239" s="5"/>
      <c r="I239" s="5"/>
      <c r="J239" s="5"/>
      <c r="K239" s="5"/>
      <c r="L239" s="44"/>
      <c r="M239" s="44"/>
      <c r="N239" s="44"/>
      <c r="O239" s="64"/>
      <c r="P239" s="64"/>
    </row>
    <row r="240" spans="1:16" ht="23.85" customHeight="1" x14ac:dyDescent="0.35">
      <c r="A240" s="44"/>
      <c r="B240" s="71"/>
      <c r="C240" s="72"/>
      <c r="D240" s="8"/>
      <c r="E240" s="10"/>
      <c r="F240" s="7"/>
      <c r="G240" s="5"/>
      <c r="H240" s="5"/>
      <c r="I240" s="5"/>
      <c r="J240" s="5"/>
      <c r="K240" s="5"/>
      <c r="L240" s="56" t="s">
        <v>49</v>
      </c>
      <c r="M240" s="56"/>
      <c r="N240" s="52"/>
      <c r="O240" s="64"/>
      <c r="P240" s="64"/>
    </row>
    <row r="241" spans="1:16" ht="23.85" customHeight="1" x14ac:dyDescent="0.35">
      <c r="A241" s="44"/>
      <c r="B241" s="71"/>
      <c r="C241" s="72"/>
      <c r="D241" s="8"/>
      <c r="E241" s="10"/>
      <c r="F241" s="7"/>
      <c r="G241" s="4" t="str">
        <f>"Vergi Dairesi : "&amp;'Senet Borçlu Alacaklı Giriş'!$C$7</f>
        <v>Vergi Dairesi : Tokat</v>
      </c>
      <c r="H241" s="4"/>
      <c r="I241" s="4"/>
      <c r="J241" s="4"/>
      <c r="K241" s="44"/>
      <c r="L241" s="44"/>
      <c r="M241" s="44"/>
      <c r="N241" s="44"/>
      <c r="O241" s="64"/>
      <c r="P241" s="64"/>
    </row>
    <row r="242" spans="1:16" ht="23.85" customHeight="1" x14ac:dyDescent="0.35">
      <c r="A242" s="44"/>
      <c r="B242" s="55"/>
      <c r="C242" s="44"/>
      <c r="D242" s="8"/>
      <c r="E242" s="10"/>
      <c r="F242" s="7"/>
      <c r="G242" s="3" t="str">
        <f>"Vergi No / TC Kimlik No : "&amp;'Senet Borçlu Alacaklı Giriş'!$C$8</f>
        <v>Vergi No / TC Kimlik No : 341 3267 6260</v>
      </c>
      <c r="H242" s="3"/>
      <c r="I242" s="3"/>
      <c r="J242" s="3"/>
      <c r="K242" s="73"/>
      <c r="L242" s="73"/>
      <c r="M242" s="73"/>
      <c r="N242" s="73"/>
      <c r="O242" s="74"/>
      <c r="P242" s="64"/>
    </row>
    <row r="243" spans="1:16" ht="23.85" customHeight="1" x14ac:dyDescent="0.35">
      <c r="A243" s="44"/>
      <c r="B243" s="70"/>
      <c r="C243" s="44"/>
      <c r="D243" s="8"/>
      <c r="E243" s="10"/>
      <c r="F243" s="7" t="s">
        <v>17</v>
      </c>
      <c r="G243" s="2" t="str">
        <f>"İsim : "&amp;'Senet Borçlu Alacaklı Giriş'!$C$9</f>
        <v>İsim : Adem Duman</v>
      </c>
      <c r="H243" s="2"/>
      <c r="I243" s="2"/>
      <c r="J243" s="2"/>
      <c r="K243" s="46"/>
      <c r="L243" s="75"/>
      <c r="M243" s="46"/>
      <c r="N243" s="46"/>
      <c r="O243" s="47"/>
      <c r="P243" s="64"/>
    </row>
    <row r="244" spans="1:16" ht="23.85" customHeight="1" x14ac:dyDescent="0.35">
      <c r="A244" s="44"/>
      <c r="B244" s="55"/>
      <c r="C244" s="44"/>
      <c r="D244" s="66" t="s">
        <v>50</v>
      </c>
      <c r="E244" s="10"/>
      <c r="F244" s="7"/>
      <c r="G244" s="5" t="str">
        <f>"Adres : " &amp;'Senet Borçlu Alacaklı Giriş'!$C$10</f>
        <v>Adres : Esentepe Mah. Şehit Ulaşar Cad. Belde Sitesi B Blk. K1: D:3 TOKAT</v>
      </c>
      <c r="H244" s="5"/>
      <c r="I244" s="5"/>
      <c r="J244" s="5"/>
      <c r="K244" s="44"/>
      <c r="L244" s="44"/>
      <c r="M244" s="44"/>
      <c r="N244" s="44"/>
      <c r="O244" s="64"/>
      <c r="P244" s="64"/>
    </row>
    <row r="245" spans="1:16" ht="23.85" customHeight="1" x14ac:dyDescent="0.35">
      <c r="A245" s="44"/>
      <c r="B245" s="70"/>
      <c r="C245" s="44"/>
      <c r="D245" s="76">
        <f>'Senet Taksit Giriş'!D14</f>
        <v>44620</v>
      </c>
      <c r="E245" s="10"/>
      <c r="F245" s="7"/>
      <c r="G245" s="5"/>
      <c r="H245" s="5"/>
      <c r="I245" s="5"/>
      <c r="J245" s="5"/>
      <c r="K245" s="44"/>
      <c r="L245" s="56" t="s">
        <v>49</v>
      </c>
      <c r="M245" s="44"/>
      <c r="N245" s="44"/>
      <c r="O245" s="64"/>
      <c r="P245" s="64"/>
    </row>
    <row r="246" spans="1:16" ht="23.85" customHeight="1" x14ac:dyDescent="0.35">
      <c r="A246" s="44"/>
      <c r="B246" s="55"/>
      <c r="C246" s="44"/>
      <c r="D246" s="66" t="s">
        <v>51</v>
      </c>
      <c r="E246" s="10"/>
      <c r="F246" s="7"/>
      <c r="G246" s="4" t="str">
        <f>"Vergi Dairesi : "&amp;'Senet Borçlu Alacaklı Giriş'!$C$11</f>
        <v>Vergi Dairesi : Tokat</v>
      </c>
      <c r="H246" s="4"/>
      <c r="I246" s="4"/>
      <c r="J246" s="4"/>
      <c r="K246" s="44"/>
      <c r="L246" s="44"/>
      <c r="M246" s="44"/>
      <c r="N246" s="44"/>
      <c r="O246" s="64"/>
      <c r="P246" s="64"/>
    </row>
    <row r="247" spans="1:16" ht="23.85" customHeight="1" x14ac:dyDescent="0.35">
      <c r="A247" s="44"/>
      <c r="B247" s="55"/>
      <c r="C247" s="44"/>
      <c r="D247" s="76">
        <f>'Senet Taksit Giriş'!C14</f>
        <v>44252</v>
      </c>
      <c r="E247" s="10"/>
      <c r="F247" s="7"/>
      <c r="G247" s="3" t="str">
        <f>"Vergi No / TC Kimlik No : "&amp;'Senet Borçlu Alacaklı Giriş'!$C$12</f>
        <v>Vergi No / TC Kimlik No : 341 3267 6260</v>
      </c>
      <c r="H247" s="3"/>
      <c r="I247" s="3"/>
      <c r="J247" s="3"/>
      <c r="K247" s="73"/>
      <c r="L247" s="73"/>
      <c r="M247" s="73"/>
      <c r="N247" s="73"/>
      <c r="O247" s="74"/>
      <c r="P247" s="64"/>
    </row>
    <row r="248" spans="1:16" ht="23.85" customHeight="1" x14ac:dyDescent="0.35">
      <c r="A248" s="44"/>
      <c r="B248" s="77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4"/>
    </row>
    <row r="1048548" ht="12.75" customHeight="1" x14ac:dyDescent="0.35"/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8">
    <mergeCell ref="E230:E247"/>
    <mergeCell ref="F233:O236"/>
    <mergeCell ref="D237:D243"/>
    <mergeCell ref="F238:F242"/>
    <mergeCell ref="G238:J238"/>
    <mergeCell ref="M238:N238"/>
    <mergeCell ref="G239:K240"/>
    <mergeCell ref="G241:J241"/>
    <mergeCell ref="G242:J242"/>
    <mergeCell ref="F243:F247"/>
    <mergeCell ref="G243:J243"/>
    <mergeCell ref="G244:J245"/>
    <mergeCell ref="G246:J246"/>
    <mergeCell ref="G247:J247"/>
    <mergeCell ref="E209:E226"/>
    <mergeCell ref="F212:O215"/>
    <mergeCell ref="D216:D222"/>
    <mergeCell ref="F217:F221"/>
    <mergeCell ref="G217:J217"/>
    <mergeCell ref="M217:N217"/>
    <mergeCell ref="G218:K219"/>
    <mergeCell ref="G220:J220"/>
    <mergeCell ref="G221:J221"/>
    <mergeCell ref="F222:F226"/>
    <mergeCell ref="G222:J222"/>
    <mergeCell ref="G223:J224"/>
    <mergeCell ref="G225:J225"/>
    <mergeCell ref="G226:J226"/>
    <mergeCell ref="E188:E205"/>
    <mergeCell ref="F191:O194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G204:J204"/>
    <mergeCell ref="G205:J205"/>
    <mergeCell ref="E168:E185"/>
    <mergeCell ref="F171:O174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G181:J181"/>
    <mergeCell ref="G182:J183"/>
    <mergeCell ref="G184:J184"/>
    <mergeCell ref="G185:J185"/>
    <mergeCell ref="E147:E164"/>
    <mergeCell ref="F150:O153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163:J163"/>
    <mergeCell ref="G164:J164"/>
    <mergeCell ref="E126:E143"/>
    <mergeCell ref="F129:O132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G139:J139"/>
    <mergeCell ref="G140:J141"/>
    <mergeCell ref="G142:J142"/>
    <mergeCell ref="G143:J143"/>
    <mergeCell ref="E106:E123"/>
    <mergeCell ref="F109:O112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122:J122"/>
    <mergeCell ref="G123:J123"/>
    <mergeCell ref="E85:E102"/>
    <mergeCell ref="F88:O91"/>
    <mergeCell ref="D92:D98"/>
    <mergeCell ref="F93:F97"/>
    <mergeCell ref="G93:J93"/>
    <mergeCell ref="M93:N93"/>
    <mergeCell ref="G94:K95"/>
    <mergeCell ref="G96:J96"/>
    <mergeCell ref="G97:J97"/>
    <mergeCell ref="F98:F102"/>
    <mergeCell ref="G98:J98"/>
    <mergeCell ref="G99:J100"/>
    <mergeCell ref="G101:J101"/>
    <mergeCell ref="G102:J102"/>
    <mergeCell ref="E64:E81"/>
    <mergeCell ref="F67:O70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80:J80"/>
    <mergeCell ref="G81:J81"/>
    <mergeCell ref="E44:E61"/>
    <mergeCell ref="F47:O50"/>
    <mergeCell ref="D51:D57"/>
    <mergeCell ref="F52:F56"/>
    <mergeCell ref="G52:J52"/>
    <mergeCell ref="M52:N52"/>
    <mergeCell ref="G53:K54"/>
    <mergeCell ref="G55:J55"/>
    <mergeCell ref="G56:J56"/>
    <mergeCell ref="F57:F61"/>
    <mergeCell ref="G57:J57"/>
    <mergeCell ref="G58:J59"/>
    <mergeCell ref="G60:J60"/>
    <mergeCell ref="G61:J61"/>
    <mergeCell ref="E23:E40"/>
    <mergeCell ref="F26:O29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39:J39"/>
    <mergeCell ref="G40:J40"/>
    <mergeCell ref="E2:E19"/>
    <mergeCell ref="F5:O8"/>
    <mergeCell ref="D9:D15"/>
    <mergeCell ref="F10:F14"/>
    <mergeCell ref="G10:J10"/>
    <mergeCell ref="K10:N10"/>
    <mergeCell ref="G11:K12"/>
    <mergeCell ref="G13:J13"/>
    <mergeCell ref="G14:J14"/>
    <mergeCell ref="F15:F19"/>
    <mergeCell ref="G15:J15"/>
    <mergeCell ref="G16:J17"/>
    <mergeCell ref="G18:J18"/>
    <mergeCell ref="G19:J19"/>
  </mergeCells>
  <printOptions horizontalCentered="1"/>
  <pageMargins left="0.23611111111111099" right="0.23611111111111099" top="0.196527777777778" bottom="0.74791666666666701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Sheet4</vt:lpstr>
      <vt:lpstr>Senet Borçlu Alacaklı Giriş</vt:lpstr>
      <vt:lpstr>Senet Taksit Giriş</vt:lpstr>
      <vt:lpstr>Senet Önizleme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dc:description/>
  <cp:lastModifiedBy>m</cp:lastModifiedBy>
  <cp:revision>17</cp:revision>
  <cp:lastPrinted>2021-03-05T15:28:37Z</cp:lastPrinted>
  <dcterms:created xsi:type="dcterms:W3CDTF">2018-01-01T13:28:37Z</dcterms:created>
  <dcterms:modified xsi:type="dcterms:W3CDTF">2026-01-22T17:55:20Z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