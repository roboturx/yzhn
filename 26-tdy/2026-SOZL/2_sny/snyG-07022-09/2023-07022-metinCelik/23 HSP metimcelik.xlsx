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3-SOZL\2_sny\087-20230930-snyG-021 metinCELIK\722-2023-09-metinCelik\"/>
    </mc:Choice>
  </mc:AlternateContent>
  <xr:revisionPtr revIDLastSave="0" documentId="13_ncr:1_{E3E322B1-8B9A-42B8-A7AC-80D4439DBFAA}" xr6:coauthVersionLast="47" xr6:coauthVersionMax="47" xr10:uidLastSave="{00000000-0000-0000-0000-000000000000}"/>
  <bookViews>
    <workbookView xWindow="885" yWindow="1830" windowWidth="27240" windowHeight="12270" xr2:uid="{00000000-000D-0000-FFFF-FFFF00000000}"/>
  </bookViews>
  <sheets>
    <sheet name="02-23" sheetId="1" r:id="rId1"/>
    <sheet name="Senet_Borçlu_Alacaklı_Giriş" sheetId="2" r:id="rId2"/>
    <sheet name="Senet_Taksit_Giriş" sheetId="3" r:id="rId3"/>
    <sheet name="Senet_Önizleme" sheetId="4" r:id="rId4"/>
    <sheet name="01-202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4" l="1"/>
  <c r="F29" i="4"/>
  <c r="H27" i="4"/>
  <c r="H26" i="4"/>
  <c r="H24" i="4"/>
  <c r="F20" i="4"/>
  <c r="H18" i="4"/>
  <c r="H17" i="4"/>
  <c r="C3" i="4" s="1"/>
  <c r="L5" i="4"/>
  <c r="J5" i="4"/>
  <c r="H5" i="4"/>
  <c r="F5" i="4"/>
  <c r="F8" i="4" s="1"/>
  <c r="E19" i="5"/>
  <c r="E20" i="5" s="1"/>
  <c r="E21" i="5" s="1"/>
  <c r="E22" i="5" s="1"/>
  <c r="E23" i="5" s="1"/>
  <c r="E24" i="5" s="1"/>
  <c r="E25" i="5" s="1"/>
  <c r="E26" i="5" s="1"/>
  <c r="E27" i="5" s="1"/>
  <c r="E28" i="5" s="1"/>
  <c r="D14" i="5"/>
  <c r="D13" i="5"/>
  <c r="F33" i="4"/>
  <c r="F24" i="4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F4" i="3"/>
  <c r="F3" i="3"/>
  <c r="E19" i="1"/>
  <c r="E20" i="1" s="1"/>
  <c r="E21" i="1" s="1"/>
  <c r="E22" i="1" s="1"/>
  <c r="E23" i="1" s="1"/>
  <c r="E24" i="1" s="1"/>
  <c r="E25" i="1" s="1"/>
  <c r="E26" i="1" s="1"/>
  <c r="E27" i="1" s="1"/>
  <c r="E28" i="1" s="1"/>
  <c r="D14" i="1"/>
</calcChain>
</file>

<file path=xl/sharedStrings.xml><?xml version="1.0" encoding="utf-8"?>
<sst xmlns="http://schemas.openxmlformats.org/spreadsheetml/2006/main" count="94" uniqueCount="64">
  <si>
    <t>Sanayi_G_95m2_silim</t>
  </si>
  <si>
    <t>Metin Çelik – 545 243 50 40</t>
  </si>
  <si>
    <t>Duran Meşe – 531 338 45 26</t>
  </si>
  <si>
    <t>30 Eylül 2023 – 29 Eylül 2024</t>
  </si>
  <si>
    <t>Yıllık Ücret</t>
  </si>
  <si>
    <t>Ödeme şekli</t>
  </si>
  <si>
    <t>nakit</t>
  </si>
  <si>
    <t>Teminat (2022 tahsil edilen)</t>
  </si>
  <si>
    <t>KİRA HESAP ÖZETİ</t>
  </si>
  <si>
    <t>anlaşma</t>
  </si>
  <si>
    <t>kira başlangıcı</t>
  </si>
  <si>
    <t>1. yıl oturulacak gün sayısı</t>
  </si>
  <si>
    <t>1. yıl günlük kira</t>
  </si>
  <si>
    <t>tutar</t>
  </si>
  <si>
    <t>bakiye</t>
  </si>
  <si>
    <t>2023-24 kirası</t>
  </si>
  <si>
    <t>Bankadan 10000</t>
  </si>
  <si>
    <t>Alacaklı Adı Soyadı / Unvanı</t>
  </si>
  <si>
    <t>İl</t>
  </si>
  <si>
    <t>TOKAT</t>
  </si>
  <si>
    <t>BORÇLU</t>
  </si>
  <si>
    <t>Kişilik</t>
  </si>
  <si>
    <t>Gerçek Kişi</t>
  </si>
  <si>
    <t>Adı Soyadı / Unvanı</t>
  </si>
  <si>
    <t>Metin ÇELİK  – 0545 2435040</t>
  </si>
  <si>
    <t>Adresi</t>
  </si>
  <si>
    <t>Doğancı Bağları Mah. 1. Cadde No:8 TOKAT</t>
  </si>
  <si>
    <t>Vergi Dairesi</t>
  </si>
  <si>
    <t>Vergi No/TC Kimlik No</t>
  </si>
  <si>
    <t>37471565288</t>
  </si>
  <si>
    <t>KEFİL</t>
  </si>
  <si>
    <t>Duran Meşe – 0531 3384526</t>
  </si>
  <si>
    <t xml:space="preserve"> 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</si>
  <si>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</si>
  <si>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</si>
  <si>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</si>
  <si>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</si>
  <si>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</si>
  <si>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</si>
  <si>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</si>
  <si>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</si>
  <si>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</si>
  <si>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VADE</t>
  </si>
  <si>
    <t>TÜRK LIRASI</t>
  </si>
  <si>
    <t>No</t>
  </si>
  <si>
    <t>DÜZENLEME TARIHI</t>
  </si>
  <si>
    <t>Borçlu İsim-Unvan</t>
  </si>
  <si>
    <t>:</t>
  </si>
  <si>
    <t>Tc Kimlik No</t>
  </si>
  <si>
    <t>Adres</t>
  </si>
  <si>
    <t>İmza</t>
  </si>
  <si>
    <t>KEFİL İsim Unvan</t>
  </si>
  <si>
    <t>TC Kimlik No</t>
  </si>
  <si>
    <t>30 Eylül 2022 – 29 Eylül 2023</t>
  </si>
  <si>
    <t>Teminat</t>
  </si>
  <si>
    <t>2022-23 kirasından kalan 8000+1200 TL</t>
  </si>
  <si>
    <t>4000 TL kiradan 800 TL teminattan ödendi</t>
  </si>
  <si>
    <t>2021-22 kira bedelindn kalan</t>
  </si>
  <si>
    <t>elektrik teminattan kalan</t>
  </si>
  <si>
    <t>1000 TL kiradan</t>
  </si>
  <si>
    <t>200 TL teminattan</t>
  </si>
  <si>
    <r>
      <t xml:space="preserve">1000 TL </t>
    </r>
    <r>
      <rPr>
        <sz val="11"/>
        <color rgb="FF000000"/>
        <rFont val="F"/>
        <charset val="162"/>
      </rPr>
      <t>kiradan</t>
    </r>
  </si>
  <si>
    <t>senet verecek</t>
  </si>
  <si>
    <t>senetler gelmedi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</si>
</sst>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3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u/>
      <sz val="12"/>
      <color rgb="FF000000"/>
      <name val="Calibri"/>
      <family val="2"/>
      <charset val="162"/>
    </font>
    <font>
      <i/>
      <u val="double"/>
      <sz val="12"/>
      <color rgb="FF000000"/>
      <name val="Calibri"/>
      <family val="2"/>
      <charset val="162"/>
    </font>
    <font>
      <i/>
      <sz val="12"/>
      <color rgb="FF000000"/>
      <name val="Calibri"/>
      <family val="2"/>
      <charset val="162"/>
    </font>
    <font>
      <b/>
      <sz val="18"/>
      <color rgb="FF000000"/>
      <name val="C059"/>
      <charset val="162"/>
    </font>
    <font>
      <sz val="18"/>
      <color rgb="FF000000"/>
      <name val="C059"/>
      <charset val="162"/>
    </font>
    <font>
      <i/>
      <sz val="15"/>
      <color rgb="FF000000"/>
      <name val="Calibri"/>
      <family val="2"/>
      <charset val="162"/>
    </font>
    <font>
      <b/>
      <i/>
      <sz val="14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i/>
      <sz val="14"/>
      <color rgb="FF000000"/>
      <name val="Calibri"/>
      <family val="2"/>
      <charset val="162"/>
    </font>
    <font>
      <i/>
      <u/>
      <sz val="14"/>
      <color rgb="FF000000"/>
      <name val="Calibri"/>
      <family val="2"/>
      <charset val="162"/>
    </font>
    <font>
      <sz val="12"/>
      <color rgb="FF999999"/>
      <name val="Calibri"/>
      <family val="2"/>
      <charset val="162"/>
    </font>
    <font>
      <b/>
      <sz val="14"/>
      <color rgb="FF000000"/>
      <name val="Calibri"/>
      <family val="2"/>
      <charset val="162"/>
    </font>
    <font>
      <b/>
      <i/>
      <sz val="12"/>
      <color rgb="FF000000"/>
      <name val="Calibri"/>
      <family val="2"/>
      <charset val="162"/>
    </font>
    <font>
      <i/>
      <u/>
      <sz val="12"/>
      <color rgb="FF000000"/>
      <name val="Calibri"/>
      <family val="2"/>
      <charset val="162"/>
    </font>
    <font>
      <sz val="11"/>
      <color rgb="FF000000"/>
      <name val="F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87">
    <xf numFmtId="0" fontId="0" fillId="0" borderId="0" xfId="0"/>
    <xf numFmtId="0" fontId="10" fillId="0" borderId="0" xfId="0" applyFont="1"/>
    <xf numFmtId="4" fontId="10" fillId="0" borderId="0" xfId="0" applyNumberFormat="1" applyFont="1"/>
    <xf numFmtId="0" fontId="15" fillId="0" borderId="0" xfId="0" applyFont="1"/>
    <xf numFmtId="0" fontId="16" fillId="0" borderId="0" xfId="0" applyFont="1"/>
    <xf numFmtId="164" fontId="10" fillId="0" borderId="0" xfId="0" applyNumberFormat="1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5" fillId="0" borderId="2" xfId="0" applyFont="1" applyBorder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10" fillId="0" borderId="2" xfId="0" applyNumberFormat="1" applyFont="1" applyBorder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justify"/>
    </xf>
    <xf numFmtId="49" fontId="10" fillId="0" borderId="0" xfId="0" applyNumberFormat="1" applyFont="1"/>
    <xf numFmtId="0" fontId="15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5" fillId="0" borderId="0" xfId="0" applyFont="1" applyAlignment="1" applyProtection="1">
      <alignment horizontal="right" vertical="center"/>
      <protection hidden="1"/>
    </xf>
    <xf numFmtId="164" fontId="10" fillId="0" borderId="0" xfId="0" applyNumberFormat="1" applyFont="1" applyAlignment="1" applyProtection="1">
      <alignment horizontal="center" vertical="center"/>
      <protection locked="0"/>
    </xf>
    <xf numFmtId="4" fontId="10" fillId="0" borderId="0" xfId="8" applyNumberFormat="1" applyFont="1" applyFill="1" applyAlignment="1" applyProtection="1">
      <alignment horizontal="right" vertical="center"/>
      <protection locked="0"/>
    </xf>
    <xf numFmtId="4" fontId="10" fillId="0" borderId="0" xfId="0" applyNumberFormat="1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0" fillId="0" borderId="0" xfId="0" applyFont="1" applyProtection="1">
      <protection hidden="1"/>
    </xf>
    <xf numFmtId="0" fontId="10" fillId="0" borderId="3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5" xfId="0" applyFont="1" applyBorder="1" applyProtection="1"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 textRotation="90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 textRotation="90" wrapText="1"/>
      <protection hidden="1"/>
    </xf>
    <xf numFmtId="0" fontId="17" fillId="0" borderId="6" xfId="0" applyFont="1" applyBorder="1" applyAlignment="1" applyProtection="1">
      <alignment horizontal="center" vertical="top"/>
      <protection hidden="1"/>
    </xf>
    <xf numFmtId="0" fontId="18" fillId="0" borderId="0" xfId="0" applyFont="1" applyAlignment="1" applyProtection="1">
      <alignment horizontal="center" vertical="top"/>
      <protection hidden="1"/>
    </xf>
    <xf numFmtId="0" fontId="17" fillId="0" borderId="0" xfId="0" applyFont="1" applyAlignment="1" applyProtection="1">
      <alignment horizontal="center" vertical="top"/>
      <protection hidden="1"/>
    </xf>
    <xf numFmtId="0" fontId="18" fillId="0" borderId="0" xfId="0" applyFont="1" applyAlignment="1">
      <alignment horizontal="center" vertical="top"/>
    </xf>
    <xf numFmtId="0" fontId="17" fillId="0" borderId="7" xfId="0" applyFont="1" applyBorder="1" applyAlignment="1" applyProtection="1">
      <alignment horizontal="center" vertical="top"/>
      <protection hidden="1"/>
    </xf>
    <xf numFmtId="0" fontId="10" fillId="0" borderId="7" xfId="0" applyFont="1" applyBorder="1" applyProtection="1">
      <protection hidden="1"/>
    </xf>
    <xf numFmtId="0" fontId="19" fillId="0" borderId="0" xfId="0" applyFont="1" applyProtection="1">
      <protection hidden="1"/>
    </xf>
    <xf numFmtId="1" fontId="19" fillId="0" borderId="0" xfId="0" applyNumberFormat="1" applyFont="1" applyAlignment="1" applyProtection="1">
      <alignment horizontal="center"/>
      <protection hidden="1"/>
    </xf>
    <xf numFmtId="0" fontId="19" fillId="0" borderId="0" xfId="0" applyFont="1"/>
    <xf numFmtId="0" fontId="10" fillId="0" borderId="8" xfId="0" applyFont="1" applyBorder="1" applyProtection="1">
      <protection hidden="1"/>
    </xf>
    <xf numFmtId="0" fontId="10" fillId="0" borderId="9" xfId="0" applyFont="1" applyBorder="1" applyProtection="1">
      <protection hidden="1"/>
    </xf>
    <xf numFmtId="0" fontId="10" fillId="0" borderId="10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10" fillId="0" borderId="3" xfId="0" applyFont="1" applyBorder="1" applyAlignment="1" applyProtection="1">
      <alignment horizontal="center" vertical="center" textRotation="90" wrapText="1"/>
      <protection hidden="1"/>
    </xf>
    <xf numFmtId="0" fontId="22" fillId="0" borderId="4" xfId="0" applyFont="1" applyBorder="1" applyAlignment="1" applyProtection="1">
      <alignment horizontal="left" vertical="center" readingOrder="1"/>
      <protection hidden="1"/>
    </xf>
    <xf numFmtId="0" fontId="15" fillId="0" borderId="4" xfId="0" applyFont="1" applyBorder="1" applyAlignment="1" applyProtection="1">
      <alignment horizontal="left" vertical="center" readingOrder="1"/>
      <protection hidden="1"/>
    </xf>
    <xf numFmtId="0" fontId="10" fillId="0" borderId="6" xfId="0" applyFont="1" applyBorder="1" applyAlignment="1" applyProtection="1">
      <alignment horizontal="center" vertical="center" textRotation="90" wrapText="1"/>
      <protection hidden="1"/>
    </xf>
    <xf numFmtId="0" fontId="24" fillId="0" borderId="0" xfId="0" applyFont="1" applyAlignment="1" applyProtection="1">
      <alignment horizontal="left" readingOrder="1"/>
      <protection hidden="1"/>
    </xf>
    <xf numFmtId="0" fontId="15" fillId="0" borderId="0" xfId="0" applyFont="1" applyAlignment="1" applyProtection="1">
      <alignment horizontal="left" readingOrder="1"/>
      <protection hidden="1"/>
    </xf>
    <xf numFmtId="0" fontId="23" fillId="0" borderId="0" xfId="0" applyFont="1" applyAlignment="1" applyProtection="1">
      <alignment horizontal="left" vertical="center" readingOrder="1"/>
      <protection hidden="1"/>
    </xf>
    <xf numFmtId="0" fontId="23" fillId="0" borderId="7" xfId="0" applyFont="1" applyBorder="1" applyAlignment="1" applyProtection="1">
      <alignment horizontal="left" vertical="center" readingOrder="1"/>
      <protection hidden="1"/>
    </xf>
    <xf numFmtId="0" fontId="10" fillId="0" borderId="6" xfId="0" applyFont="1" applyBorder="1" applyAlignment="1" applyProtection="1">
      <alignment horizontal="left" vertical="top"/>
      <protection hidden="1"/>
    </xf>
    <xf numFmtId="0" fontId="25" fillId="0" borderId="0" xfId="0" applyFont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left" vertical="top" wrapText="1"/>
      <protection hidden="1"/>
    </xf>
    <xf numFmtId="0" fontId="26" fillId="0" borderId="0" xfId="0" applyFont="1" applyAlignment="1" applyProtection="1">
      <alignment horizontal="right" vertical="top" wrapText="1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8" xfId="0" applyFont="1" applyBorder="1" applyAlignment="1" applyProtection="1">
      <alignment horizontal="center" vertical="center" textRotation="90" wrapText="1"/>
      <protection hidden="1"/>
    </xf>
    <xf numFmtId="0" fontId="24" fillId="0" borderId="9" xfId="0" applyFont="1" applyBorder="1" applyAlignment="1" applyProtection="1">
      <alignment horizontal="left"/>
      <protection hidden="1"/>
    </xf>
    <xf numFmtId="0" fontId="10" fillId="0" borderId="9" xfId="0" applyFont="1" applyBorder="1" applyAlignment="1" applyProtection="1">
      <alignment horizontal="left"/>
      <protection hidden="1"/>
    </xf>
    <xf numFmtId="0" fontId="18" fillId="0" borderId="0" xfId="0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left"/>
      <protection hidden="1"/>
    </xf>
    <xf numFmtId="0" fontId="28" fillId="0" borderId="4" xfId="0" applyFont="1" applyBorder="1" applyAlignment="1" applyProtection="1">
      <alignment horizontal="left"/>
      <protection hidden="1"/>
    </xf>
    <xf numFmtId="0" fontId="15" fillId="0" borderId="4" xfId="0" applyFont="1" applyBorder="1" applyAlignment="1" applyProtection="1">
      <alignment horizontal="left"/>
      <protection hidden="1"/>
    </xf>
    <xf numFmtId="0" fontId="10" fillId="0" borderId="4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left" readingOrder="1"/>
      <protection hidden="1"/>
    </xf>
    <xf numFmtId="0" fontId="15" fillId="0" borderId="0" xfId="0" applyFont="1" applyAlignment="1" applyProtection="1">
      <alignment horizontal="left"/>
      <protection hidden="1"/>
    </xf>
    <xf numFmtId="0" fontId="29" fillId="0" borderId="0" xfId="0" applyFont="1" applyAlignment="1" applyProtection="1">
      <alignment horizontal="left" vertical="top" wrapText="1"/>
      <protection hidden="1"/>
    </xf>
    <xf numFmtId="4" fontId="0" fillId="0" borderId="0" xfId="0" applyNumberFormat="1"/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/>
    <xf numFmtId="0" fontId="15" fillId="0" borderId="0" xfId="0" applyFont="1" applyFill="1" applyAlignment="1" applyProtection="1">
      <alignment horizontal="center" vertical="center" textRotation="90"/>
      <protection hidden="1"/>
    </xf>
    <xf numFmtId="0" fontId="10" fillId="0" borderId="0" xfId="0" applyFont="1" applyFill="1" applyAlignment="1" applyProtection="1">
      <alignment horizontal="center" vertical="center" textRotation="90" wrapText="1"/>
      <protection hidden="1"/>
    </xf>
    <xf numFmtId="164" fontId="19" fillId="0" borderId="6" xfId="0" applyNumberFormat="1" applyFont="1" applyFill="1" applyBorder="1" applyAlignment="1" applyProtection="1">
      <alignment horizontal="center" vertical="center"/>
      <protection hidden="1"/>
    </xf>
    <xf numFmtId="165" fontId="19" fillId="0" borderId="0" xfId="7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164" fontId="20" fillId="0" borderId="7" xfId="0" applyNumberFormat="1" applyFont="1" applyFill="1" applyBorder="1" applyAlignment="1" applyProtection="1">
      <alignment horizontal="center" vertical="center"/>
      <protection hidden="1"/>
    </xf>
    <xf numFmtId="0" fontId="21" fillId="0" borderId="11" xfId="0" applyFont="1" applyFill="1" applyBorder="1" applyAlignment="1" applyProtection="1">
      <alignment horizontal="justify" vertical="center" wrapText="1"/>
      <protection hidden="1"/>
    </xf>
    <xf numFmtId="0" fontId="23" fillId="0" borderId="5" xfId="0" applyFont="1" applyFill="1" applyBorder="1" applyAlignment="1" applyProtection="1">
      <alignment horizontal="left" vertical="center" readingOrder="1"/>
      <protection hidden="1"/>
    </xf>
    <xf numFmtId="0" fontId="27" fillId="0" borderId="0" xfId="0" applyFont="1" applyFill="1" applyAlignment="1" applyProtection="1">
      <alignment horizontal="left" vertical="top" wrapText="1"/>
      <protection hidden="1"/>
    </xf>
    <xf numFmtId="0" fontId="15" fillId="0" borderId="0" xfId="0" applyFont="1" applyFill="1" applyAlignment="1" applyProtection="1">
      <alignment horizontal="left" vertical="top" wrapText="1"/>
      <protection hidden="1"/>
    </xf>
  </cellXfs>
  <cellStyles count="21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90" zoomScaleNormal="190" workbookViewId="0">
      <selection activeCell="D23" sqref="D23"/>
    </sheetView>
  </sheetViews>
  <sheetFormatPr defaultRowHeight="15"/>
  <cols>
    <col min="1" max="1" width="12.140625" customWidth="1"/>
    <col min="2" max="2" width="47.7109375" customWidth="1"/>
    <col min="3" max="3" width="11.140625" customWidth="1"/>
    <col min="4" max="4" width="13.7109375" customWidth="1"/>
    <col min="5" max="6" width="12.140625" customWidth="1"/>
    <col min="7" max="1025" width="9.140625" customWidth="1"/>
  </cols>
  <sheetData>
    <row r="1" spans="2:6" ht="15.75">
      <c r="B1" s="1" t="s">
        <v>0</v>
      </c>
      <c r="C1" s="1"/>
      <c r="D1" s="1"/>
      <c r="E1" s="2"/>
      <c r="F1" s="1"/>
    </row>
    <row r="2" spans="2:6" ht="15.75">
      <c r="B2" s="3" t="s">
        <v>1</v>
      </c>
      <c r="C2" s="3"/>
      <c r="D2" s="1"/>
      <c r="E2" s="2"/>
      <c r="F2" s="1"/>
    </row>
    <row r="3" spans="2:6" ht="15.75">
      <c r="B3" s="4" t="s">
        <v>2</v>
      </c>
      <c r="C3" s="4"/>
      <c r="D3" s="1"/>
      <c r="E3" s="2"/>
      <c r="F3" s="1"/>
    </row>
    <row r="4" spans="2:6" ht="15.75">
      <c r="B4" s="1" t="s">
        <v>3</v>
      </c>
      <c r="C4" s="1"/>
      <c r="D4" s="1"/>
      <c r="E4" s="2"/>
      <c r="F4" s="1"/>
    </row>
    <row r="5" spans="2:6" ht="15.75">
      <c r="B5" s="1" t="s">
        <v>4</v>
      </c>
      <c r="C5" s="1"/>
      <c r="D5" s="1">
        <v>96000</v>
      </c>
      <c r="E5" s="2"/>
      <c r="F5" s="1"/>
    </row>
    <row r="6" spans="2:6" ht="15.75">
      <c r="B6" s="1" t="s">
        <v>5</v>
      </c>
      <c r="C6" s="1"/>
      <c r="D6" s="1" t="s">
        <v>6</v>
      </c>
      <c r="E6" s="2"/>
      <c r="F6" s="1"/>
    </row>
    <row r="7" spans="2:6" ht="15.75">
      <c r="B7" s="1" t="s">
        <v>7</v>
      </c>
      <c r="C7" s="1"/>
      <c r="D7" s="1">
        <v>1200</v>
      </c>
      <c r="E7" s="2"/>
      <c r="F7" s="1"/>
    </row>
    <row r="8" spans="2:6" ht="15.75">
      <c r="B8" s="1"/>
      <c r="C8" s="1"/>
      <c r="D8" s="1"/>
      <c r="E8" s="2"/>
      <c r="F8" s="1"/>
    </row>
    <row r="9" spans="2:6" ht="15.75">
      <c r="B9" s="1"/>
      <c r="C9" s="1"/>
      <c r="D9" s="1"/>
      <c r="E9" s="2"/>
      <c r="F9" s="1"/>
    </row>
    <row r="10" spans="2:6" ht="15.75">
      <c r="B10" s="1" t="s">
        <v>8</v>
      </c>
      <c r="C10" s="1"/>
      <c r="D10" s="1"/>
      <c r="E10" s="2"/>
      <c r="F10" s="1"/>
    </row>
    <row r="11" spans="2:6" ht="15.75">
      <c r="B11" s="1" t="s">
        <v>9</v>
      </c>
      <c r="C11" s="1"/>
      <c r="D11" s="5">
        <v>45184</v>
      </c>
      <c r="E11" s="2"/>
      <c r="F11" s="1"/>
    </row>
    <row r="12" spans="2:6" ht="15.75">
      <c r="B12" s="1" t="s">
        <v>10</v>
      </c>
      <c r="C12" s="1"/>
      <c r="D12" s="5">
        <v>45199</v>
      </c>
      <c r="E12" s="2"/>
      <c r="F12" s="1"/>
    </row>
    <row r="13" spans="2:6" ht="15.75">
      <c r="B13" s="1" t="s">
        <v>11</v>
      </c>
      <c r="C13" s="1"/>
      <c r="D13" s="1">
        <v>365</v>
      </c>
      <c r="E13" s="2"/>
      <c r="F13" s="1"/>
    </row>
    <row r="14" spans="2:6" ht="15.75">
      <c r="B14" s="1" t="s">
        <v>12</v>
      </c>
      <c r="C14" s="1"/>
      <c r="D14" s="2">
        <f>D19/D13</f>
        <v>263.01369863013701</v>
      </c>
      <c r="E14" s="2"/>
      <c r="F14" s="1"/>
    </row>
    <row r="15" spans="2:6" ht="15.75">
      <c r="B15" s="1"/>
      <c r="C15" s="1"/>
      <c r="D15" s="2"/>
      <c r="E15" s="2"/>
      <c r="F15" s="1"/>
    </row>
    <row r="16" spans="2:6" ht="15.75">
      <c r="B16" s="1"/>
      <c r="C16" s="1"/>
      <c r="D16" s="5"/>
      <c r="E16" s="2"/>
      <c r="F16" s="1"/>
    </row>
    <row r="17" spans="1:6" ht="15.75">
      <c r="B17" s="1"/>
      <c r="C17" s="1"/>
      <c r="D17" s="6" t="s">
        <v>13</v>
      </c>
      <c r="E17" s="7" t="s">
        <v>14</v>
      </c>
      <c r="F17" s="1"/>
    </row>
    <row r="18" spans="1:6" ht="15.75">
      <c r="A18" s="8"/>
      <c r="D18" s="6"/>
      <c r="E18" s="7"/>
      <c r="F18" s="1"/>
    </row>
    <row r="19" spans="1:6" ht="15.75">
      <c r="A19" s="8">
        <v>45198</v>
      </c>
      <c r="B19" s="1" t="s">
        <v>15</v>
      </c>
      <c r="C19" s="1"/>
      <c r="D19" s="1">
        <v>96000</v>
      </c>
      <c r="E19" s="2">
        <f>D19</f>
        <v>96000</v>
      </c>
      <c r="F19" s="1"/>
    </row>
    <row r="20" spans="1:6" ht="15.75">
      <c r="A20" s="8">
        <v>45196</v>
      </c>
      <c r="B20" s="1" t="s">
        <v>62</v>
      </c>
      <c r="C20" s="1">
        <v>83000</v>
      </c>
      <c r="D20" s="1"/>
      <c r="E20" s="2">
        <f t="shared" ref="E20:E28" si="0">E19+D20</f>
        <v>96000</v>
      </c>
      <c r="F20" s="1"/>
    </row>
    <row r="21" spans="1:6" ht="15.75">
      <c r="A21" s="8">
        <v>45198</v>
      </c>
      <c r="B21" s="1" t="s">
        <v>62</v>
      </c>
      <c r="C21" s="1">
        <v>3000</v>
      </c>
      <c r="D21" s="1"/>
      <c r="E21" s="2">
        <f t="shared" si="0"/>
        <v>96000</v>
      </c>
      <c r="F21" s="1"/>
    </row>
    <row r="22" spans="1:6" ht="15.75">
      <c r="A22" s="8">
        <v>45229</v>
      </c>
      <c r="B22" s="1" t="s">
        <v>16</v>
      </c>
      <c r="C22" s="1"/>
      <c r="D22" s="1">
        <v>-10000</v>
      </c>
      <c r="E22" s="2">
        <f t="shared" si="0"/>
        <v>86000</v>
      </c>
      <c r="F22" s="1"/>
    </row>
    <row r="23" spans="1:6" ht="15.75">
      <c r="A23" s="8"/>
      <c r="B23" s="1" t="s">
        <v>63</v>
      </c>
      <c r="C23" s="1"/>
      <c r="D23" s="2"/>
      <c r="E23" s="2">
        <f t="shared" si="0"/>
        <v>86000</v>
      </c>
      <c r="F23" s="1"/>
    </row>
    <row r="24" spans="1:6" ht="15.75">
      <c r="A24" s="8"/>
      <c r="B24" s="1"/>
      <c r="C24" s="1"/>
      <c r="D24" s="2"/>
      <c r="E24" s="2">
        <f t="shared" si="0"/>
        <v>86000</v>
      </c>
      <c r="F24" s="1"/>
    </row>
    <row r="25" spans="1:6" ht="15.75">
      <c r="A25" s="8"/>
      <c r="D25" s="2"/>
      <c r="E25" s="2">
        <f t="shared" si="0"/>
        <v>86000</v>
      </c>
      <c r="F25" s="1"/>
    </row>
    <row r="26" spans="1:6" ht="15.75">
      <c r="A26" s="8"/>
      <c r="B26" s="1"/>
      <c r="C26" s="1"/>
      <c r="D26" s="2"/>
      <c r="E26" s="2">
        <f t="shared" si="0"/>
        <v>86000</v>
      </c>
      <c r="F26" s="1"/>
    </row>
    <row r="27" spans="1:6" ht="15.75">
      <c r="A27" s="8"/>
      <c r="B27" s="1"/>
      <c r="C27" s="1"/>
      <c r="D27" s="2"/>
      <c r="E27" s="2">
        <f t="shared" si="0"/>
        <v>86000</v>
      </c>
      <c r="F27" s="1"/>
    </row>
    <row r="28" spans="1:6" ht="15.75">
      <c r="A28" s="8"/>
      <c r="B28" s="1"/>
      <c r="C28" s="1"/>
      <c r="D28" s="2"/>
      <c r="E28" s="2">
        <f t="shared" si="0"/>
        <v>86000</v>
      </c>
      <c r="F28" s="1"/>
    </row>
    <row r="29" spans="1:6" ht="15.75">
      <c r="B29" s="1"/>
      <c r="C29" s="1"/>
      <c r="D29" s="2"/>
      <c r="E29" s="2"/>
      <c r="F29" s="1"/>
    </row>
    <row r="30" spans="1:6" ht="15.75">
      <c r="B30" s="1"/>
      <c r="C30" s="1"/>
      <c r="D30" s="1"/>
      <c r="E30" s="2"/>
      <c r="F30" s="1"/>
    </row>
  </sheetData>
  <pageMargins left="0" right="0" top="0.39370078740157477" bottom="0.39370078740157477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"/>
  <sheetViews>
    <sheetView workbookViewId="0"/>
  </sheetViews>
  <sheetFormatPr defaultRowHeight="15.75"/>
  <cols>
    <col min="1" max="1" width="4.42578125" style="11" customWidth="1"/>
    <col min="2" max="2" width="43.85546875" style="12" customWidth="1"/>
    <col min="3" max="3" width="89.7109375" style="13" customWidth="1"/>
    <col min="4" max="1023" width="11" style="11" customWidth="1"/>
    <col min="1024" max="1024" width="9.140625" style="11" customWidth="1"/>
  </cols>
  <sheetData>
    <row r="1" spans="1:3" ht="15.75" customHeight="1">
      <c r="A1" s="74"/>
      <c r="B1" s="9" t="s">
        <v>17</v>
      </c>
      <c r="C1" s="10"/>
    </row>
    <row r="2" spans="1:3" ht="15.75" customHeight="1">
      <c r="A2" s="74"/>
      <c r="B2" s="9" t="s">
        <v>18</v>
      </c>
      <c r="C2" s="10" t="s">
        <v>19</v>
      </c>
    </row>
    <row r="4" spans="1:3" ht="15.75" customHeight="1">
      <c r="A4" s="75" t="s">
        <v>20</v>
      </c>
      <c r="B4" s="9" t="s">
        <v>21</v>
      </c>
      <c r="C4" s="14" t="s">
        <v>22</v>
      </c>
    </row>
    <row r="5" spans="1:3" ht="15.75" customHeight="1">
      <c r="A5" s="75"/>
      <c r="B5" s="9" t="s">
        <v>23</v>
      </c>
      <c r="C5" s="14" t="s">
        <v>24</v>
      </c>
    </row>
    <row r="6" spans="1:3" ht="15.75" customHeight="1">
      <c r="A6" s="75"/>
      <c r="B6" s="9" t="s">
        <v>25</v>
      </c>
      <c r="C6" s="14" t="s">
        <v>26</v>
      </c>
    </row>
    <row r="7" spans="1:3" ht="15.75" customHeight="1">
      <c r="A7" s="75"/>
      <c r="B7" s="9" t="s">
        <v>27</v>
      </c>
      <c r="C7" s="14" t="s">
        <v>19</v>
      </c>
    </row>
    <row r="8" spans="1:3" ht="15.75" customHeight="1">
      <c r="A8" s="75"/>
      <c r="B8" s="9" t="s">
        <v>28</v>
      </c>
      <c r="C8" s="14" t="s">
        <v>29</v>
      </c>
    </row>
    <row r="9" spans="1:3" ht="15.75" customHeight="1">
      <c r="A9" s="75" t="s">
        <v>30</v>
      </c>
      <c r="B9" s="9" t="s">
        <v>23</v>
      </c>
      <c r="C9" s="14" t="s">
        <v>31</v>
      </c>
    </row>
    <row r="10" spans="1:3" ht="15.75" customHeight="1">
      <c r="A10" s="75"/>
      <c r="B10" s="9" t="s">
        <v>25</v>
      </c>
      <c r="C10" s="15" t="s">
        <v>32</v>
      </c>
    </row>
    <row r="11" spans="1:3" ht="15.75" customHeight="1">
      <c r="A11" s="75"/>
      <c r="B11" s="9" t="s">
        <v>27</v>
      </c>
      <c r="C11" s="14" t="s">
        <v>32</v>
      </c>
    </row>
    <row r="12" spans="1:3" ht="15.75" customHeight="1">
      <c r="A12" s="75"/>
      <c r="B12" s="9" t="s">
        <v>28</v>
      </c>
      <c r="C12" s="16" t="s">
        <v>32</v>
      </c>
    </row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2"/>
  <sheetViews>
    <sheetView workbookViewId="0"/>
  </sheetViews>
  <sheetFormatPr defaultRowHeight="15.75"/>
  <cols>
    <col min="1" max="1" width="4.42578125" style="1" customWidth="1"/>
    <col min="2" max="2" width="11" style="21" customWidth="1"/>
    <col min="3" max="3" width="26.85546875" style="21" customWidth="1"/>
    <col min="4" max="4" width="16" style="21" customWidth="1"/>
    <col min="5" max="5" width="16.7109375" style="1" customWidth="1"/>
    <col min="6" max="6" width="21.28515625" style="20" customWidth="1"/>
    <col min="7" max="7" width="20.7109375" style="21" customWidth="1"/>
    <col min="8" max="8" width="26" style="21" customWidth="1"/>
    <col min="9" max="1023" width="13.85546875" style="1" customWidth="1"/>
    <col min="1024" max="1024" width="9.140625" style="1" customWidth="1"/>
  </cols>
  <sheetData>
    <row r="1" spans="1:8" ht="15.75" customHeight="1">
      <c r="A1" s="76"/>
      <c r="B1" s="17"/>
      <c r="C1" s="18"/>
      <c r="D1" s="19"/>
      <c r="E1" s="11"/>
    </row>
    <row r="2" spans="1:8" ht="15.75" customHeight="1">
      <c r="A2" s="76"/>
      <c r="B2" s="17" t="s">
        <v>33</v>
      </c>
      <c r="C2" s="17" t="s">
        <v>34</v>
      </c>
      <c r="D2" s="17" t="s">
        <v>35</v>
      </c>
      <c r="E2" s="12" t="s">
        <v>36</v>
      </c>
      <c r="F2" s="22" t="s">
        <v>37</v>
      </c>
      <c r="G2" s="17" t="s">
        <v>38</v>
      </c>
      <c r="H2" s="17" t="s">
        <v>39</v>
      </c>
    </row>
    <row r="3" spans="1:8" ht="15.75" customHeight="1">
      <c r="A3" s="77">
        <v>3</v>
      </c>
      <c r="B3" s="18">
        <v>1</v>
      </c>
      <c r="C3" s="23">
        <v>44798</v>
      </c>
      <c r="D3" s="23">
        <v>44834</v>
      </c>
      <c r="E3" s="24">
        <v>8000</v>
      </c>
      <c r="F3" s="22" t="str">
        <f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Krş")</f>
        <v xml:space="preserve">Sekizbin TL </v>
      </c>
      <c r="G3" s="18" t="s">
        <v>40</v>
      </c>
      <c r="H3" s="18" t="s">
        <v>41</v>
      </c>
    </row>
    <row r="4" spans="1:8" ht="15.75" customHeight="1">
      <c r="A4" s="77"/>
      <c r="B4" s="21">
        <v>2</v>
      </c>
      <c r="C4" s="23">
        <v>44798</v>
      </c>
      <c r="D4" s="8">
        <v>44864</v>
      </c>
      <c r="E4" s="25"/>
      <c r="F4" s="26" t="str">
        <f t="shared" ref="F4:F10" si="0">PROPER(IF(IF(LEN(SUBSTITUTE(ROUND(E4,2), ",", ""))=LEN(ROUND(E4,2)),ROUND(E4,2),TRIM(LEFT(ROUND(E4,2),FIND(",",ROUND(E4,2))-1)))*1&gt;=10^6,CHOOSE(LEFT(RIGHT(IF(LEN(SUBSTITUTE(ROUND(E4,2), ",", ""))=LEN(ROUND(E4,2)),ROUND(E4,2),TRIM(LEFT(ROUND(E4,2),FIND(",",ROUND(E4,2))-1)))*1,7),1)+1,"","birmilyon","ikimilyon","üçmilyon","dörtmilyon","beşmilyon","altımilyon","yedimilyon","sekizmilyon","dokuzmilyon"),"")&amp;IF(IF(LEN(SUBSTITUTE(ROUND(E4,2), ",", ""))=LEN(ROUND(E4,2)),ROUND(E4,2),TRIM(LEFT(ROUND(E4,2),FIND(",",ROUND(E4,2))-1)))*1&gt;=10^5,CHOOSE(LEFT(RIGHT(IF(LEN(SUBSTITUTE(ROUND(E4,2), ",", ""))=LEN(ROUND(E4,2)),ROUND(E4,2),TRIM(LEFT(ROUND(E4,2),FIND(",",ROUND(E4,2))-1)))*1,6),1)+1,"","yüz","ikiyüz","üçyüz","dörtyüz","beşyüz","altıyüz","yediyüz","sekizyüz","dokuzyüz"),"")&amp;IF(IF(LEN(SUBSTITUTE(ROUND(E4,2), ",", ""))=LEN(ROUND(E4,2)),ROUND(E4,2),TRIM(LEFT(ROUND(E4,2),FIND(",",ROUND(E4,2))-1)))*1&gt;=10^4,CHOOSE(LEFT(RIGHT(IF(LEN(SUBSTITUTE(ROUND(E4,2), ",", ""))=LEN(ROUND(E4,2)),ROUND(E4,2),TRIM(LEFT(ROUND(E4,2),FIND(",",ROUND(E4,2))-1)))*1,5),1)+1,"","on","yirmi","otuz","kırk","elli","altmış","yetmiş","seksen","doksan"),"")&amp;IF(IF(LEN(SUBSTITUTE(ROUND(E4,2), ",", ""))=LEN(ROUND(E4,2)),ROUND(E4,2),TRIM(LEFT(ROUND(E4,2),FIND(",",ROUND(E4,2))-1)))*1&gt;=10^3,CHOOSE(LEFT(RIGHT(IF(LEN(SUBSTITUTE(ROUND(E4,2), ",", ""))=LEN(ROUND(E4,2)),ROUND(E4,2),TRIM(LEFT(ROUND(E4,2),FIND(",",ROUND(E4,2))-1)))*1,4),1)+1,"","","iki","üç","dört","beş","altı","yedi","sekiz","dokuz"),"")&amp;IF(AND(IF(LEN(SUBSTITUTE(ROUND(E4,2), ",", ""))=LEN(ROUND(E4,2)),ROUND(E4,2),TRIM(LEFT(ROUND(E4,2),FIND(",",ROUND(E4,2))-1)))*1&gt;=10^3,VALUE(LEFT(RIGHT(IF(LEN(SUBSTITUTE(ROUND(E4,2), ",", ""))=LEN(ROUND(E4,2)),ROUND(E4,2),TRIM(LEFT(ROUND(E4,2),FIND(",",ROUND(E4,2))-1)))*1,6),3))&gt;0),IF(AND(IF(LEN(SUBSTITUTE(ROUND(E4,2), ",", ""))=LEN(ROUND(E4,2)),ROUND(E4,2),TRIM(LEFT(ROUND(E4,2),FIND(",",ROUND(E4,2))-1)))*1&gt;1999,LEFT(RIGHT(IF(LEN(SUBSTITUTE(ROUND(E4,2), ",", ""))=LEN(ROUND(E4,2)),ROUND(E4,2),TRIM(LEFT(ROUND(E4,2),FIND(",",ROUND(E4,2))-1)))*1,4),1)="1",LEFT(RIGHT(IF(LEN(SUBSTITUTE(ROUND(E4,2), ",", ""))=LEN(ROUND(E4,2)),ROUND(E4,2),TRIM(LEFT(ROUND(E4,2),FIND(",",ROUND(E4,2))-1)))*1,6),2)&lt;&gt;"00"),"birbin","bin"),"")&amp;IF(IF(LEN(SUBSTITUTE(ROUND(E4,2), ",", ""))=LEN(ROUND(E4,2)),ROUND(E4,2),TRIM(LEFT(ROUND(E4,2),FIND(",",ROUND(E4,2))-1)))*1&gt;=100,CHOOSE(LEFT(RIGHT(IF(LEN(SUBSTITUTE(ROUND(E4,2), ",", ""))=LEN(ROUND(E4,2)),ROUND(E4,2),TRIM(LEFT(ROUND(E4,2),FIND(",",ROUND(E4,2))-1)))*1,3),1)+1,"","yüz","ikiyüz","üçyüz","dörtyüz","beşyüz","altıyüz","yediyüz","sekizyüz","dokuzyüz"),"")&amp;IF(IF(LEN(SUBSTITUTE(ROUND(E4,2), ",", ""))=LEN(ROUND(E4,2)),ROUND(E4,2),TRIM(LEFT(ROUND(E4,2),FIND(",",ROUND(E4,2))-1)))*1&gt;=10,CHOOSE(LEFT(RIGHT(IF(LEN(SUBSTITUTE(ROUND(E4,2), ",", ""))=LEN(ROUND(E4,2)),ROUND(E4,2),TRIM(LEFT(ROUND(E4,2),FIND(",",ROUND(E4,2))-1)))*1,2),1)+1,"","on","yirmi","otuz","kırk","elli","altmış","yetmiş","seksen","doksan"),"")&amp;CHOOSE(MOD(IF(LEN(SUBSTITUTE(ROUND(E4,2), ",", ""))=LEN(ROUND(E4,2)),ROUND(E4,2),TRIM(LEFT(ROUND(E4,2),FIND(",",ROUND(E4,2))-1)))*1,10)+1,"","bir","iki","üç","dört","beş","altı","yedi","sekiz","dokuz")) &amp; " TL " &amp; IF(OR(LEN(SUBSTITUTE(E4, ",", ""))=LEN(E4),LEN(SUBSTITUTE(ROUND(E4,2), ",", ""))=LEN(ROUND(E4,2))),"", PROPER(IF(IF(LEN(TRIM(RIGHT(ROUND(E4,2),LEN(ROUND(E4,2))-FIND(",",ROUND(E4,2)))))&lt;2,TRIM(RIGHT(ROUND(E4,2),LEN(ROUND(E4,2))-FIND(",",ROUND(E4,2))))*10,TRIM(RIGHT(ROUND(E4,2),LEN(ROUND(E4,2))-FIND(",",ROUND(E4,2))))*1)&gt;=10^5,CHOOSE(LEFT(RIGHT(IF(LEN(TRIM(RIGHT(ROUND(E4,2),LEN(ROUND(E4,2))-FIND(",",ROUND(E4,2)))))&lt;2,TRIM(RIGHT(ROUND(E4,2),LEN(ROUND(E4,2))-FIND(",",ROUND(E4,2))))*10,TRIM(RIGHT(ROUND(E4,2),LEN(ROUND(E4,2))-FIND(",",ROUND(E4,2))))*1),6),1)+1,"","yüz","ikiyüz","üçyüz","dörtyüz","beşyüz","altıyüz","yediyüz","sekizyüz","dokuzyüz"),"")&amp;IF(IF(LEN(TRIM(RIGHT(ROUND(E4,2),LEN(ROUND(E4,2))-FIND(",",ROUND(E4,2)))))&lt;2,TRIM(RIGHT(ROUND(E4,2),LEN(ROUND(E4,2))-FIND(",",ROUND(E4,2))))*10,TRIM(RIGHT(ROUND(E4,2),LEN(ROUND(E4,2))-FIND(",",ROUND(E4,2))))*1)&gt;=10^4,CHOOSE(LEFT(RIGHT(IF(LEN(TRIM(RIGHT(ROUND(E4,2),LEN(ROUND(E4,2))-FIND(",",ROUND(E4,2)))))&lt;2,TRIM(RIGHT(ROUND(E4,2),LEN(ROUND(E4,2))-FIND(",",ROUND(E4,2))))*10,TRIM(RIGHT(ROUND(E4,2),LEN(ROUND(E4,2))-FIND(",",ROUND(E4,2))))*1),5),1)+1,"","on","yirmi","otuz","kırk","elli","altmış","yetmiş","seksen","doksan"),"")&amp;IF(IF(LEN(TRIM(RIGHT(ROUND(E4,2),LEN(ROUND(E4,2))-FIND(",",ROUND(E4,2)))))&lt;2,TRIM(RIGHT(ROUND(E4,2),LEN(ROUND(E4,2))-FIND(",",ROUND(E4,2))))*10,TRIM(RIGHT(ROUND(E4,2),LEN(ROUND(E4,2))-FIND(",",ROUND(E4,2))))*1)&gt;=10^3,CHOOSE(LEFT(RIGHT(IF(LEN(TRIM(RIGHT(ROUND(E4,2),LEN(ROUND(E4,2))-FIND(",",ROUND(E4,2)))))&lt;2,TRIM(RIGHT(ROUND(E4,2),LEN(ROUND(E4,2))-FIND(",",ROUND(E4,2))))*10,TRIM(RIGHT(ROUND(E4,2),LEN(ROUND(E4,2))-FIND(",",ROUND(E4,2))))*1),4),1)+1,"","","iki","üç","dört","beş","altı","yedi","sekiz","dokuz"),"")&amp;IF(IF(LEN(TRIM(RIGHT(ROUND(E4,2),LEN(ROUND(E4,2))-FIND(",",ROUND(E4,2)))))&lt;2,TRIM(RIGHT(ROUND(E4,2),LEN(ROUND(E4,2))-FIND(",",ROUND(E4,2))))*10,TRIM(RIGHT(ROUND(E4,2),LEN(ROUND(E4,2))-FIND(",",ROUND(E4,2))))*1)&gt;=10,CHOOSE(LEFT(RIGHT(IF(LEN(TRIM(RIGHT(ROUND(E4,2),LEN(ROUND(E4,2))-FIND(",",ROUND(E4,2)))))&lt;2,TRIM(RIGHT(ROUND(E4,2),LEN(ROUND(E4,2))-FIND(",",ROUND(E4,2))))*10,TRIM(RIGHT(ROUND(E4,2),LEN(ROUND(E4,2))-FIND(",",ROUND(E4,2))))*1),2),1)+1,"","on","yirmi","otuz","kırk","elli","altmış","yetmiş","seksen","doksan"),"")&amp;CHOOSE(MOD(IF(LEN(TRIM(RIGHT(ROUND(E4,2),LEN(ROUND(E4,2))-FIND(",",ROUND(E4,2)))))&lt;2,TRIM(RIGHT(ROUND(E4,2),LEN(ROUND(E4,2))-FIND(",",ROUND(E4,2))))*10,TRIM(RIGHT(ROUND(E4,2),LEN(ROUND(E4,2))-FIND(",",ROUND(E4,2))))*1),10)+1,"","bir","iki","üç","dört","beş","altı","yedi","sekiz","dokuz")) &amp; " Kr")</f>
        <v xml:space="preserve"> TL </v>
      </c>
      <c r="G4" s="21" t="str">
        <f t="shared" ref="G4:G10" si="1">G3</f>
        <v>nakden</v>
      </c>
      <c r="H4" s="18"/>
    </row>
    <row r="5" spans="1:8" ht="15.75" customHeight="1">
      <c r="A5" s="77"/>
      <c r="B5" s="21">
        <v>3</v>
      </c>
      <c r="C5" s="23">
        <v>44798</v>
      </c>
      <c r="D5" s="8">
        <v>44895</v>
      </c>
      <c r="E5" s="25"/>
      <c r="F5" s="26" t="str">
        <f t="shared" si="0"/>
        <v xml:space="preserve"> TL </v>
      </c>
      <c r="G5" s="21" t="str">
        <f t="shared" si="1"/>
        <v>nakden</v>
      </c>
      <c r="H5" s="18"/>
    </row>
    <row r="6" spans="1:8" ht="15.75" customHeight="1">
      <c r="A6" s="77"/>
      <c r="B6" s="21">
        <v>4</v>
      </c>
      <c r="C6" s="23">
        <v>44798</v>
      </c>
      <c r="D6" s="8">
        <v>44925</v>
      </c>
      <c r="E6" s="25"/>
      <c r="F6" s="26" t="str">
        <f t="shared" si="0"/>
        <v xml:space="preserve"> TL </v>
      </c>
      <c r="G6" s="21" t="str">
        <f t="shared" si="1"/>
        <v>nakden</v>
      </c>
      <c r="H6" s="18"/>
    </row>
    <row r="7" spans="1:8" ht="15.75" customHeight="1">
      <c r="A7" s="77"/>
      <c r="B7" s="21">
        <v>5</v>
      </c>
      <c r="C7" s="23">
        <v>44798</v>
      </c>
      <c r="D7" s="8">
        <v>44956</v>
      </c>
      <c r="E7" s="25"/>
      <c r="F7" s="26" t="str">
        <f t="shared" si="0"/>
        <v xml:space="preserve"> TL </v>
      </c>
      <c r="G7" s="21" t="str">
        <f t="shared" si="1"/>
        <v>nakden</v>
      </c>
      <c r="H7" s="18"/>
    </row>
    <row r="8" spans="1:8" ht="15.75" customHeight="1">
      <c r="A8" s="77"/>
      <c r="B8" s="21">
        <v>6</v>
      </c>
      <c r="C8" s="23">
        <v>44798</v>
      </c>
      <c r="D8" s="8">
        <v>44985</v>
      </c>
      <c r="E8" s="25"/>
      <c r="F8" s="26" t="str">
        <f t="shared" si="0"/>
        <v xml:space="preserve"> TL </v>
      </c>
      <c r="G8" s="21" t="str">
        <f t="shared" si="1"/>
        <v>nakden</v>
      </c>
      <c r="H8" s="18"/>
    </row>
    <row r="9" spans="1:8" ht="15.75" customHeight="1">
      <c r="A9" s="77"/>
      <c r="B9" s="21">
        <v>7</v>
      </c>
      <c r="C9" s="23">
        <v>44798</v>
      </c>
      <c r="D9" s="8">
        <v>45015</v>
      </c>
      <c r="E9" s="25"/>
      <c r="F9" s="26" t="str">
        <f t="shared" si="0"/>
        <v xml:space="preserve"> TL </v>
      </c>
      <c r="G9" s="21" t="str">
        <f t="shared" si="1"/>
        <v>nakden</v>
      </c>
      <c r="H9" s="18"/>
    </row>
    <row r="10" spans="1:8" ht="15.75" customHeight="1">
      <c r="A10" s="11"/>
      <c r="B10" s="21">
        <v>8</v>
      </c>
      <c r="C10" s="23">
        <v>44798</v>
      </c>
      <c r="D10" s="8">
        <v>45046</v>
      </c>
      <c r="E10" s="25"/>
      <c r="F10" s="26" t="str">
        <f t="shared" si="0"/>
        <v xml:space="preserve"> TL </v>
      </c>
      <c r="G10" s="21" t="str">
        <f t="shared" si="1"/>
        <v>nakden</v>
      </c>
      <c r="H10" s="18"/>
    </row>
    <row r="11" spans="1:8" ht="15.75" customHeight="1">
      <c r="A11" s="76"/>
      <c r="C11" s="23"/>
      <c r="D11" s="23"/>
      <c r="E11" s="25"/>
      <c r="F11" s="26"/>
      <c r="H11" s="18"/>
    </row>
    <row r="12" spans="1:8" ht="15.75" customHeight="1">
      <c r="A12" s="76"/>
      <c r="C12" s="23"/>
      <c r="D12" s="23"/>
      <c r="E12" s="25"/>
      <c r="F12" s="26"/>
      <c r="H12" s="18"/>
    </row>
    <row r="13" spans="1:8" ht="15.75" customHeight="1">
      <c r="A13" s="76"/>
      <c r="C13" s="23"/>
      <c r="D13" s="23"/>
      <c r="E13" s="25"/>
      <c r="F13" s="26"/>
      <c r="H13" s="18"/>
    </row>
    <row r="14" spans="1:8" ht="15.75" customHeight="1">
      <c r="A14" s="76"/>
      <c r="C14" s="23"/>
      <c r="D14" s="23"/>
      <c r="E14" s="25"/>
      <c r="F14" s="26"/>
      <c r="H14" s="18"/>
    </row>
    <row r="15" spans="1:8" ht="15.75" customHeight="1">
      <c r="A15" s="76"/>
      <c r="B15" s="17"/>
      <c r="C15" s="23"/>
      <c r="D15" s="19"/>
      <c r="E15" s="11"/>
    </row>
    <row r="16" spans="1:8" ht="15.75" customHeight="1">
      <c r="A16" s="76"/>
      <c r="B16" s="17"/>
      <c r="C16" s="23"/>
      <c r="D16" s="19"/>
      <c r="E16" s="11"/>
    </row>
    <row r="17" spans="1:5" ht="15.75" customHeight="1">
      <c r="A17" s="76"/>
      <c r="B17" s="17"/>
      <c r="C17" s="23"/>
      <c r="D17" s="19"/>
      <c r="E17" s="11"/>
    </row>
    <row r="18" spans="1:5" ht="15.75" customHeight="1">
      <c r="A18" s="76"/>
      <c r="B18" s="17"/>
      <c r="C18" s="18"/>
      <c r="D18" s="19"/>
      <c r="E18" s="11"/>
    </row>
    <row r="19" spans="1:5" ht="15.75" customHeight="1">
      <c r="A19" s="76"/>
      <c r="B19" s="17"/>
      <c r="D19" s="19"/>
      <c r="E19" s="11"/>
    </row>
    <row r="20" spans="1:5" ht="15.75" customHeight="1">
      <c r="A20" s="11"/>
      <c r="B20" s="17"/>
      <c r="C20" s="19"/>
      <c r="D20" s="19"/>
      <c r="E20" s="11"/>
    </row>
    <row r="21" spans="1:5" ht="15.75" customHeight="1">
      <c r="A21" s="11"/>
      <c r="B21" s="17"/>
      <c r="C21" s="19"/>
      <c r="D21" s="19"/>
      <c r="E21" s="11"/>
    </row>
    <row r="22" spans="1:5" ht="15.75" customHeight="1">
      <c r="A22" s="11"/>
      <c r="B22" s="17"/>
      <c r="C22" s="19"/>
      <c r="D22" s="19"/>
      <c r="E22" s="11"/>
    </row>
  </sheetData>
  <mergeCells count="4">
    <mergeCell ref="A1:A2"/>
    <mergeCell ref="A3:A9"/>
    <mergeCell ref="A11:A15"/>
    <mergeCell ref="A16:A19"/>
  </mergeCells>
  <dataValidations count="1">
    <dataValidation type="list" allowBlank="1" showInputMessage="1" showErrorMessage="1" sqref="G3" xr:uid="{00000000-0002-0000-0200-000000000000}">
      <formula1>"Malen,Nakden"</formula1>
    </dataValidation>
  </dataValidations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&amp;C&amp;12&amp;A</oddHeader>
    <oddFooter>&amp;C&amp;12Page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MG1048576"/>
  <sheetViews>
    <sheetView workbookViewId="0"/>
  </sheetViews>
  <sheetFormatPr defaultRowHeight="17.649999999999999" customHeight="1"/>
  <cols>
    <col min="1" max="1" width="22.28515625" style="27" customWidth="1"/>
    <col min="2" max="2" width="4.85546875" style="27" customWidth="1"/>
    <col min="3" max="3" width="11.28515625" style="27" customWidth="1"/>
    <col min="4" max="4" width="2.140625" style="27" customWidth="1"/>
    <col min="5" max="5" width="2.28515625" style="27" customWidth="1"/>
    <col min="6" max="6" width="37.140625" style="27" customWidth="1"/>
    <col min="7" max="7" width="2.28515625" style="27" customWidth="1"/>
    <col min="8" max="8" width="37" style="27" customWidth="1"/>
    <col min="9" max="9" width="3.140625" style="27" customWidth="1"/>
    <col min="10" max="10" width="25.5703125" style="27" customWidth="1"/>
    <col min="11" max="11" width="6.140625" style="27" customWidth="1"/>
    <col min="12" max="12" width="34.140625" style="27" customWidth="1"/>
    <col min="13" max="13" width="2" style="27" customWidth="1"/>
    <col min="14" max="1021" width="11" style="27" customWidth="1"/>
    <col min="1022" max="1022" width="12.140625" customWidth="1"/>
    <col min="1023" max="1024" width="9.140625" customWidth="1"/>
  </cols>
  <sheetData>
    <row r="2" spans="1:1021" ht="17.649999999999999" customHeight="1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021" ht="17.649999999999999" customHeight="1">
      <c r="A3" s="19"/>
      <c r="B3" s="31"/>
      <c r="C3" s="78" t="str">
        <f>$H17 &amp;"    - Taksit No: " &amp; $J5&amp;"  "</f>
        <v xml:space="preserve">Metin ÇELİK  – 0545 2435040    - Taksit No: - 1  -  </v>
      </c>
      <c r="D3" s="32"/>
      <c r="E3" s="32"/>
      <c r="F3" s="28"/>
      <c r="G3" s="29"/>
      <c r="H3" s="29"/>
      <c r="I3" s="29"/>
      <c r="J3" s="29"/>
      <c r="K3" s="29"/>
      <c r="L3" s="30"/>
      <c r="M3" s="33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</row>
    <row r="4" spans="1:1021" ht="17.649999999999999" customHeight="1">
      <c r="B4" s="34"/>
      <c r="C4" s="78"/>
      <c r="D4" s="35"/>
      <c r="E4" s="35"/>
      <c r="F4" s="36" t="s">
        <v>42</v>
      </c>
      <c r="G4" s="37"/>
      <c r="H4" s="38" t="s">
        <v>43</v>
      </c>
      <c r="I4" s="38"/>
      <c r="J4" s="38" t="s">
        <v>44</v>
      </c>
      <c r="K4" s="39"/>
      <c r="L4" s="40" t="s">
        <v>45</v>
      </c>
      <c r="M4" s="41"/>
    </row>
    <row r="5" spans="1:1021" ht="17.649999999999999" customHeight="1">
      <c r="B5" s="34"/>
      <c r="C5" s="78"/>
      <c r="D5" s="35"/>
      <c r="E5" s="35"/>
      <c r="F5" s="79">
        <f>Senet_Taksit_Giriş!D3</f>
        <v>44834</v>
      </c>
      <c r="G5" s="42"/>
      <c r="H5" s="80" t="str">
        <f>"# "&amp;TEXT((Senet_Taksit_Giriş!E3),"#.##0,00")&amp;" TL #"</f>
        <v># 8.000,00 TL #</v>
      </c>
      <c r="I5" s="43"/>
      <c r="J5" s="81" t="str">
        <f>"- "&amp;TEXT(INT(Senet_Taksit_Giriş!B3),"##.##0")&amp;"  -"</f>
        <v>- 1  -</v>
      </c>
      <c r="K5" s="44"/>
      <c r="L5" s="82">
        <f>Senet_Taksit_Giriş!C3</f>
        <v>44798</v>
      </c>
      <c r="M5" s="41"/>
    </row>
    <row r="6" spans="1:1021" ht="17.649999999999999" customHeight="1">
      <c r="B6" s="34"/>
      <c r="C6" s="78"/>
      <c r="D6" s="35"/>
      <c r="E6" s="35"/>
      <c r="F6" s="79"/>
      <c r="G6" s="42"/>
      <c r="H6" s="80"/>
      <c r="I6" s="43"/>
      <c r="J6" s="81"/>
      <c r="K6" s="44"/>
      <c r="L6" s="82"/>
      <c r="M6" s="41"/>
    </row>
    <row r="7" spans="1:1021" ht="17.649999999999999" customHeight="1">
      <c r="B7" s="34"/>
      <c r="C7" s="78"/>
      <c r="D7" s="35"/>
      <c r="E7" s="35"/>
      <c r="F7" s="45"/>
      <c r="G7" s="46"/>
      <c r="H7" s="46"/>
      <c r="I7" s="46"/>
      <c r="J7" s="46"/>
      <c r="K7" s="46"/>
      <c r="L7" s="47"/>
      <c r="M7" s="41"/>
    </row>
    <row r="8" spans="1:1021" ht="17.649999999999999" customHeight="1">
      <c r="B8" s="34"/>
      <c r="C8" s="78"/>
      <c r="D8" s="35"/>
      <c r="E8" s="35"/>
      <c r="F8" s="83" t="str">
        <f>"                       İş bu emre muharrer senedim"&amp;IF(Senet_Borçlu_Alacaklı_Giriş!$C$4="Gerçek Kişi","in","izin")&amp;" mükabilinde "&amp;IF(TEXT(F5,"dd mmmm yyyy")=" ","                                                            ",TEXT(F5,"dd mmmm yyyy"))&amp;" tarihinde; Sayın : "&amp;IF(Senet_Borçlu_Alacaklı_Giriş!$C$1="","                                                                                                                        ",Senet_Borçlu_Alacaklı_Giriş!$C$1)&amp;"  veyahut emruhavalesine yukarıda yazılı Yalnız # "&amp;Senet_Taksit_Giriş!F3&amp;" #  kayıtsız ve şartsız ödemeyi vaadederi"&amp;IF(Senet_Borçlu_Alacaklı_Giriş!$C$4="Gerçek Kişi","m.","z.")&amp;" Bedeli "&amp;Senet_Taksit_Giriş!G3&amp;" ahzolunmuştur. İş bu bono vadesinde ödenmediği taktirde; iş bu bononun düzenleme tarihinin temerrüt başlangıç tarihi olarak kabul edileceğini, müteakip bonolarında muacceliyet kesbedeceğini,"&amp;" ihtilaf vukuunda "&amp;Senet_Borçlu_Alacaklı_Giriş!$C$2&amp;" mahkemelerinin selahiyetini şimdiden kabul eyleri"&amp;IF(Senet_Borçlu_Alacaklı_Giriş!$C$4="Gerçek Kişi","m.","z.")</f>
        <v xml:space="preserve">                       İş bu emre muharrer senedimin mükabilinde 00 mmmm 2022 tarihinde; Sayın :                                                                                                                           veyahut emruhavalesine yukarıda yazılı Yalnız # Sekizbin TL  #  kayıtsız ve şartsız ödemeyi vaadederim.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" s="83"/>
      <c r="H8" s="83"/>
      <c r="I8" s="83"/>
      <c r="J8" s="83"/>
      <c r="K8" s="83"/>
      <c r="L8" s="83"/>
      <c r="M8" s="41"/>
    </row>
    <row r="9" spans="1:1021" ht="17.649999999999999" customHeight="1">
      <c r="B9" s="34"/>
      <c r="C9" s="78"/>
      <c r="D9" s="35"/>
      <c r="E9" s="35"/>
      <c r="F9" s="83"/>
      <c r="G9" s="83"/>
      <c r="H9" s="83"/>
      <c r="I9" s="83"/>
      <c r="J9" s="83"/>
      <c r="K9" s="83"/>
      <c r="L9" s="83"/>
      <c r="M9" s="41"/>
    </row>
    <row r="10" spans="1:1021" ht="17.649999999999999" customHeight="1">
      <c r="B10" s="48"/>
      <c r="C10" s="78"/>
      <c r="D10" s="35"/>
      <c r="E10" s="35"/>
      <c r="F10" s="83"/>
      <c r="G10" s="83"/>
      <c r="H10" s="83"/>
      <c r="I10" s="83"/>
      <c r="J10" s="83"/>
      <c r="K10" s="83"/>
      <c r="L10" s="83"/>
      <c r="M10" s="41"/>
    </row>
    <row r="11" spans="1:1021" ht="17.649999999999999" customHeight="1">
      <c r="B11" s="48"/>
      <c r="C11" s="78"/>
      <c r="D11" s="35"/>
      <c r="E11" s="35"/>
      <c r="F11" s="83"/>
      <c r="G11" s="83"/>
      <c r="H11" s="83"/>
      <c r="I11" s="83"/>
      <c r="J11" s="83"/>
      <c r="K11" s="83"/>
      <c r="L11" s="83"/>
      <c r="M11" s="41"/>
    </row>
    <row r="12" spans="1:1021" ht="17.649999999999999" customHeight="1">
      <c r="B12" s="48"/>
      <c r="C12" s="78"/>
      <c r="D12" s="35"/>
      <c r="E12" s="35"/>
      <c r="F12" s="83"/>
      <c r="G12" s="83"/>
      <c r="H12" s="83"/>
      <c r="I12" s="83"/>
      <c r="J12" s="83"/>
      <c r="K12" s="83"/>
      <c r="L12" s="83"/>
      <c r="M12" s="41"/>
    </row>
    <row r="13" spans="1:1021" ht="17.649999999999999" customHeight="1">
      <c r="B13" s="48"/>
      <c r="C13" s="78"/>
      <c r="D13" s="35"/>
      <c r="E13" s="35"/>
      <c r="F13" s="83"/>
      <c r="G13" s="83"/>
      <c r="H13" s="83"/>
      <c r="I13" s="83"/>
      <c r="J13" s="83"/>
      <c r="K13" s="83"/>
      <c r="L13" s="83"/>
      <c r="M13" s="41"/>
    </row>
    <row r="14" spans="1:1021" ht="17.649999999999999" customHeight="1">
      <c r="B14" s="48"/>
      <c r="C14" s="78"/>
      <c r="D14" s="35"/>
      <c r="E14" s="35"/>
      <c r="F14" s="83"/>
      <c r="G14" s="83"/>
      <c r="H14" s="83"/>
      <c r="I14" s="83"/>
      <c r="J14" s="83"/>
      <c r="K14" s="83"/>
      <c r="L14" s="83"/>
      <c r="M14" s="41"/>
    </row>
    <row r="15" spans="1:1021" ht="17.649999999999999" customHeight="1">
      <c r="B15" s="48"/>
      <c r="C15" s="78"/>
      <c r="D15" s="35"/>
      <c r="E15" s="35"/>
      <c r="F15" s="83"/>
      <c r="G15" s="83"/>
      <c r="H15" s="83"/>
      <c r="I15" s="83"/>
      <c r="J15" s="83"/>
      <c r="K15" s="83"/>
      <c r="L15" s="83"/>
      <c r="M15" s="41"/>
    </row>
    <row r="16" spans="1:1021" ht="17.649999999999999" customHeight="1">
      <c r="B16" s="48"/>
      <c r="C16" s="78"/>
      <c r="D16" s="35"/>
      <c r="E16" s="35"/>
      <c r="F16" s="83"/>
      <c r="G16" s="83"/>
      <c r="H16" s="83"/>
      <c r="I16" s="83"/>
      <c r="J16" s="83"/>
      <c r="K16" s="83"/>
      <c r="L16" s="83"/>
      <c r="M16" s="41"/>
    </row>
    <row r="17" spans="2:13" ht="17.649999999999999" customHeight="1">
      <c r="B17" s="48"/>
      <c r="C17" s="78"/>
      <c r="D17" s="35"/>
      <c r="E17" s="49"/>
      <c r="F17" s="50" t="s">
        <v>46</v>
      </c>
      <c r="G17" s="51" t="s">
        <v>47</v>
      </c>
      <c r="H17" s="84" t="str">
        <f>Senet_Borçlu_Alacaklı_Giriş!C5</f>
        <v>Metin ÇELİK  – 0545 2435040</v>
      </c>
      <c r="I17" s="84"/>
      <c r="J17" s="84"/>
      <c r="K17" s="84"/>
      <c r="L17" s="84"/>
      <c r="M17" s="41"/>
    </row>
    <row r="18" spans="2:13" ht="17.649999999999999" customHeight="1">
      <c r="B18" s="48"/>
      <c r="C18" s="78"/>
      <c r="D18" s="35"/>
      <c r="E18" s="52"/>
      <c r="F18" s="53" t="s">
        <v>48</v>
      </c>
      <c r="G18" s="54" t="s">
        <v>47</v>
      </c>
      <c r="H18" s="55" t="str">
        <f>Senet_Borçlu_Alacaklı_Giriş!$C$8</f>
        <v>37471565288</v>
      </c>
      <c r="I18" s="55"/>
      <c r="J18" s="55"/>
      <c r="K18" s="55"/>
      <c r="L18" s="56"/>
      <c r="M18" s="41"/>
    </row>
    <row r="19" spans="2:13" ht="17.649999999999999" customHeight="1">
      <c r="B19" s="57"/>
      <c r="C19" s="78"/>
      <c r="D19" s="35"/>
      <c r="E19" s="52"/>
      <c r="F19" s="58" t="s">
        <v>49</v>
      </c>
      <c r="G19" s="59"/>
      <c r="H19" s="59"/>
      <c r="I19"/>
      <c r="J19" s="60" t="s">
        <v>50</v>
      </c>
      <c r="L19" s="41"/>
      <c r="M19" s="41"/>
    </row>
    <row r="20" spans="2:13" ht="17.649999999999999" customHeight="1">
      <c r="B20" s="57"/>
      <c r="C20" s="78"/>
      <c r="D20" s="35"/>
      <c r="E20" s="52"/>
      <c r="F20" s="85" t="str">
        <f>Senet_Borçlu_Alacaklı_Giriş!$C$6</f>
        <v>Doğancı Bağları Mah. 1. Cadde No:8 TOKAT</v>
      </c>
      <c r="G20" s="85"/>
      <c r="H20" s="85"/>
      <c r="I20" s="85"/>
      <c r="J20" s="59"/>
      <c r="L20" s="41"/>
      <c r="M20" s="41"/>
    </row>
    <row r="21" spans="2:13" ht="17.649999999999999" customHeight="1">
      <c r="B21" s="57"/>
      <c r="C21" s="78"/>
      <c r="D21" s="35"/>
      <c r="E21" s="52"/>
      <c r="F21" s="85"/>
      <c r="G21" s="85"/>
      <c r="H21" s="85"/>
      <c r="I21" s="85"/>
      <c r="J21" s="59"/>
      <c r="L21" s="41"/>
      <c r="M21" s="41"/>
    </row>
    <row r="22" spans="2:13" ht="17.649999999999999" customHeight="1">
      <c r="B22" s="57"/>
      <c r="C22" s="78"/>
      <c r="D22" s="35"/>
      <c r="E22" s="52"/>
      <c r="F22" s="85"/>
      <c r="G22" s="85"/>
      <c r="H22" s="85"/>
      <c r="I22" s="85"/>
      <c r="J22" s="59"/>
      <c r="L22" s="41"/>
      <c r="M22" s="41"/>
    </row>
    <row r="23" spans="2:13" ht="17.649999999999999" customHeight="1">
      <c r="B23" s="57"/>
      <c r="C23" s="78"/>
      <c r="D23" s="35"/>
      <c r="E23" s="52"/>
      <c r="F23" s="85"/>
      <c r="G23" s="85"/>
      <c r="H23" s="85"/>
      <c r="I23" s="85"/>
      <c r="J23" s="59"/>
      <c r="K23" s="61"/>
      <c r="L23" s="41"/>
      <c r="M23" s="41"/>
    </row>
    <row r="24" spans="2:13" ht="17.649999999999999" customHeight="1">
      <c r="B24" s="57"/>
      <c r="C24" s="78"/>
      <c r="D24" s="35"/>
      <c r="E24" s="62"/>
      <c r="F24" s="63" t="str">
        <f>"Vergi Dairesi  "</f>
        <v xml:space="preserve">Vergi Dairesi  </v>
      </c>
      <c r="G24" s="64" t="s">
        <v>47</v>
      </c>
      <c r="H24" s="64" t="str">
        <f>Senet_Borçlu_Alacaklı_Giriş!$C$7</f>
        <v>TOKAT</v>
      </c>
      <c r="I24" s="64"/>
      <c r="J24" s="46"/>
      <c r="K24" s="46"/>
      <c r="L24" s="47"/>
      <c r="M24" s="41"/>
    </row>
    <row r="25" spans="2:13" ht="17.649999999999999" customHeight="1">
      <c r="B25" s="57"/>
      <c r="C25" s="78"/>
      <c r="D25" s="35"/>
      <c r="E25" s="35"/>
      <c r="F25" s="65"/>
      <c r="G25" s="66"/>
      <c r="H25" s="66"/>
      <c r="I25" s="66"/>
      <c r="M25" s="41"/>
    </row>
    <row r="26" spans="2:13" ht="17.649999999999999" customHeight="1">
      <c r="B26" s="48"/>
      <c r="C26" s="78"/>
      <c r="D26" s="35"/>
      <c r="E26" s="49"/>
      <c r="F26" s="67" t="s">
        <v>51</v>
      </c>
      <c r="G26" s="68" t="s">
        <v>47</v>
      </c>
      <c r="H26" s="68" t="str">
        <f>Senet_Borçlu_Alacaklı_Giriş!$C$9</f>
        <v>Duran Meşe – 0531 3384526</v>
      </c>
      <c r="I26" s="68"/>
      <c r="J26" s="69"/>
      <c r="K26" s="29"/>
      <c r="L26" s="30"/>
      <c r="M26" s="41"/>
    </row>
    <row r="27" spans="2:13" ht="17.649999999999999" customHeight="1">
      <c r="B27" s="48"/>
      <c r="C27" s="78"/>
      <c r="D27" s="35"/>
      <c r="E27" s="52"/>
      <c r="F27" s="70" t="s">
        <v>52</v>
      </c>
      <c r="G27" s="71" t="s">
        <v>47</v>
      </c>
      <c r="H27" s="66" t="str">
        <f>Senet_Borçlu_Alacaklı_Giriş!$C$12</f>
        <v xml:space="preserve"> </v>
      </c>
      <c r="I27" s="71"/>
      <c r="J27" s="61"/>
      <c r="L27" s="41"/>
      <c r="M27" s="41"/>
    </row>
    <row r="28" spans="2:13" ht="17.649999999999999" customHeight="1">
      <c r="B28" s="48"/>
      <c r="C28" s="78"/>
      <c r="D28" s="35"/>
      <c r="E28" s="52"/>
      <c r="F28" s="72" t="s">
        <v>49</v>
      </c>
      <c r="G28" s="59"/>
      <c r="H28" s="59"/>
      <c r="I28"/>
      <c r="J28" s="60" t="s">
        <v>50</v>
      </c>
      <c r="L28" s="41"/>
      <c r="M28" s="41"/>
    </row>
    <row r="29" spans="2:13" ht="17.649999999999999" customHeight="1">
      <c r="B29" s="48"/>
      <c r="C29" s="78"/>
      <c r="D29" s="35"/>
      <c r="E29" s="52"/>
      <c r="F29" s="86" t="str">
        <f>Senet_Borçlu_Alacaklı_Giriş!$C$10</f>
        <v xml:space="preserve"> </v>
      </c>
      <c r="G29" s="86"/>
      <c r="H29" s="86"/>
      <c r="I29" s="86"/>
      <c r="L29" s="41"/>
      <c r="M29" s="41"/>
    </row>
    <row r="30" spans="2:13" ht="17.649999999999999" customHeight="1">
      <c r="B30" s="48"/>
      <c r="C30" s="78"/>
      <c r="D30" s="35"/>
      <c r="E30" s="52"/>
      <c r="F30" s="86"/>
      <c r="G30" s="86"/>
      <c r="H30" s="86"/>
      <c r="I30" s="86"/>
      <c r="L30" s="41"/>
      <c r="M30" s="41"/>
    </row>
    <row r="31" spans="2:13" ht="17.649999999999999" customHeight="1">
      <c r="B31" s="48"/>
      <c r="C31" s="78"/>
      <c r="D31" s="35"/>
      <c r="E31" s="52"/>
      <c r="F31" s="86"/>
      <c r="G31" s="86"/>
      <c r="H31" s="86"/>
      <c r="I31" s="86"/>
      <c r="L31" s="41"/>
      <c r="M31" s="41"/>
    </row>
    <row r="32" spans="2:13" ht="17.649999999999999" customHeight="1">
      <c r="B32" s="48"/>
      <c r="C32" s="78"/>
      <c r="D32" s="35"/>
      <c r="E32" s="52"/>
      <c r="F32" s="86"/>
      <c r="G32" s="86"/>
      <c r="H32" s="86"/>
      <c r="I32" s="86"/>
      <c r="L32" s="41"/>
      <c r="M32" s="41"/>
    </row>
    <row r="33" spans="2:13" ht="17.649999999999999" customHeight="1">
      <c r="B33" s="48"/>
      <c r="C33" s="78"/>
      <c r="D33" s="35"/>
      <c r="E33" s="62"/>
      <c r="F33" s="64" t="str">
        <f>"Vergi Dairesi  "</f>
        <v xml:space="preserve">Vergi Dairesi  </v>
      </c>
      <c r="G33" s="64"/>
      <c r="H33" s="64" t="str">
        <f>Senet_Borçlu_Alacaklı_Giriş!$C$11</f>
        <v xml:space="preserve"> </v>
      </c>
      <c r="I33" s="64"/>
      <c r="J33" s="46"/>
      <c r="K33" s="46"/>
      <c r="L33" s="47"/>
      <c r="M33" s="41"/>
    </row>
    <row r="34" spans="2:13" ht="17.649999999999999" customHeight="1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7"/>
    </row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9">
    <mergeCell ref="C3:C33"/>
    <mergeCell ref="F5:F6"/>
    <mergeCell ref="H5:H6"/>
    <mergeCell ref="J5:J6"/>
    <mergeCell ref="L5:L6"/>
    <mergeCell ref="F8:L16"/>
    <mergeCell ref="H17:L17"/>
    <mergeCell ref="F20:I23"/>
    <mergeCell ref="F29:I32"/>
  </mergeCells>
  <printOptions horizontalCentered="1"/>
  <pageMargins left="0.23622047244094491" right="0.23622047244094491" top="0.59015748031496063" bottom="1.1417322834645669" header="0.19645669291338586" footer="0.74803149606299213"/>
  <pageSetup paperSize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38"/>
  <sheetViews>
    <sheetView workbookViewId="0"/>
  </sheetViews>
  <sheetFormatPr defaultRowHeight="15.75"/>
  <cols>
    <col min="1" max="1" width="13.85546875" customWidth="1"/>
    <col min="2" max="2" width="5.7109375" style="1" customWidth="1"/>
    <col min="3" max="3" width="38.5703125" style="1" customWidth="1"/>
    <col min="4" max="4" width="13.5703125" style="1" customWidth="1"/>
    <col min="5" max="5" width="13.85546875" style="2" customWidth="1"/>
    <col min="6" max="1023" width="13.85546875" style="1" customWidth="1"/>
    <col min="1024" max="1024" width="9.140625" customWidth="1"/>
  </cols>
  <sheetData>
    <row r="1" spans="3:4">
      <c r="C1" s="1" t="s">
        <v>0</v>
      </c>
    </row>
    <row r="2" spans="3:4" ht="15.75" customHeight="1">
      <c r="C2" s="3" t="s">
        <v>1</v>
      </c>
    </row>
    <row r="3" spans="3:4">
      <c r="C3" s="4" t="s">
        <v>2</v>
      </c>
    </row>
    <row r="4" spans="3:4" ht="15.75" customHeight="1">
      <c r="C4" s="1" t="s">
        <v>53</v>
      </c>
    </row>
    <row r="5" spans="3:4" ht="15.75" customHeight="1">
      <c r="C5" s="1" t="s">
        <v>4</v>
      </c>
      <c r="D5" s="1">
        <v>48000</v>
      </c>
    </row>
    <row r="6" spans="3:4" ht="15.75" customHeight="1">
      <c r="C6" s="1" t="s">
        <v>5</v>
      </c>
      <c r="D6" s="1" t="s">
        <v>6</v>
      </c>
    </row>
    <row r="7" spans="3:4" ht="15.75" customHeight="1">
      <c r="C7" s="1" t="s">
        <v>54</v>
      </c>
      <c r="D7" s="1">
        <v>1200</v>
      </c>
    </row>
    <row r="10" spans="3:4" ht="15.75" customHeight="1">
      <c r="C10" s="1" t="s">
        <v>8</v>
      </c>
    </row>
    <row r="11" spans="3:4">
      <c r="C11" s="1" t="s">
        <v>9</v>
      </c>
      <c r="D11" s="5">
        <v>44798</v>
      </c>
    </row>
    <row r="12" spans="3:4">
      <c r="C12" s="1" t="s">
        <v>10</v>
      </c>
      <c r="D12" s="5">
        <v>45199</v>
      </c>
    </row>
    <row r="13" spans="3:4">
      <c r="C13" s="1" t="s">
        <v>11</v>
      </c>
      <c r="D13" s="1">
        <f>D12-D11</f>
        <v>401</v>
      </c>
    </row>
    <row r="14" spans="3:4">
      <c r="C14" s="1" t="s">
        <v>12</v>
      </c>
      <c r="D14" s="2">
        <f>D19/D13</f>
        <v>0</v>
      </c>
    </row>
    <row r="15" spans="3:4">
      <c r="D15" s="2"/>
    </row>
    <row r="16" spans="3:4">
      <c r="D16" s="5"/>
    </row>
    <row r="17" spans="1:5" ht="15.75" customHeight="1">
      <c r="D17" s="6" t="s">
        <v>13</v>
      </c>
      <c r="E17" s="7" t="s">
        <v>14</v>
      </c>
    </row>
    <row r="18" spans="1:5" ht="15.75" customHeight="1">
      <c r="A18" s="8">
        <v>44798</v>
      </c>
      <c r="C18" s="1" t="s">
        <v>55</v>
      </c>
      <c r="D18" s="6"/>
      <c r="E18" s="7"/>
    </row>
    <row r="19" spans="1:5" ht="15.75" customHeight="1">
      <c r="A19" s="8">
        <v>44925</v>
      </c>
      <c r="C19" s="1" t="s">
        <v>56</v>
      </c>
      <c r="E19" s="2">
        <f>D19</f>
        <v>0</v>
      </c>
    </row>
    <row r="20" spans="1:5" ht="15.75" customHeight="1">
      <c r="A20" s="8">
        <v>44925</v>
      </c>
      <c r="C20" s="1" t="s">
        <v>57</v>
      </c>
      <c r="D20" s="1">
        <v>4000</v>
      </c>
      <c r="E20" s="2">
        <f t="shared" ref="E20:E28" si="0">E19+D20</f>
        <v>4000</v>
      </c>
    </row>
    <row r="21" spans="1:5" ht="15.75" customHeight="1">
      <c r="A21" s="8">
        <v>44925</v>
      </c>
      <c r="C21" s="1" t="s">
        <v>58</v>
      </c>
      <c r="D21" s="1">
        <v>400</v>
      </c>
      <c r="E21" s="2">
        <f t="shared" si="0"/>
        <v>4400</v>
      </c>
    </row>
    <row r="22" spans="1:5" ht="15.75" customHeight="1">
      <c r="A22" s="8"/>
      <c r="E22" s="2">
        <f t="shared" si="0"/>
        <v>4400</v>
      </c>
    </row>
    <row r="23" spans="1:5" ht="15.75" customHeight="1">
      <c r="A23" s="8">
        <v>44956</v>
      </c>
      <c r="C23" t="s">
        <v>59</v>
      </c>
      <c r="D23" s="2"/>
      <c r="E23" s="2">
        <f t="shared" si="0"/>
        <v>4400</v>
      </c>
    </row>
    <row r="24" spans="1:5" ht="15.75" customHeight="1">
      <c r="A24" s="8">
        <v>44956</v>
      </c>
      <c r="C24" s="1" t="s">
        <v>60</v>
      </c>
      <c r="D24" s="2"/>
      <c r="E24" s="2">
        <f t="shared" si="0"/>
        <v>4400</v>
      </c>
    </row>
    <row r="25" spans="1:5" ht="15.75" customHeight="1">
      <c r="A25" s="8">
        <v>44985</v>
      </c>
      <c r="C25" t="s">
        <v>59</v>
      </c>
      <c r="D25" s="2"/>
      <c r="E25" s="2">
        <f t="shared" si="0"/>
        <v>4400</v>
      </c>
    </row>
    <row r="26" spans="1:5" ht="15.75" customHeight="1">
      <c r="A26" s="8">
        <v>44985</v>
      </c>
      <c r="C26" s="1" t="s">
        <v>60</v>
      </c>
      <c r="D26" s="2"/>
      <c r="E26" s="2">
        <f t="shared" si="0"/>
        <v>4400</v>
      </c>
    </row>
    <row r="27" spans="1:5" ht="15.75" customHeight="1">
      <c r="A27" s="8">
        <v>45015</v>
      </c>
      <c r="C27" s="1" t="s">
        <v>59</v>
      </c>
      <c r="D27" s="2"/>
      <c r="E27" s="2">
        <f t="shared" si="0"/>
        <v>4400</v>
      </c>
    </row>
    <row r="28" spans="1:5" ht="15.75" customHeight="1">
      <c r="A28" s="8">
        <v>45046</v>
      </c>
      <c r="C28" s="1" t="s">
        <v>61</v>
      </c>
      <c r="D28" s="2"/>
      <c r="E28" s="2">
        <f t="shared" si="0"/>
        <v>4400</v>
      </c>
    </row>
    <row r="29" spans="1:5" ht="15.75" customHeight="1">
      <c r="D29" s="2"/>
    </row>
    <row r="30" spans="1:5" ht="15.75" customHeight="1"/>
    <row r="31" spans="1:5" ht="15.75" customHeight="1">
      <c r="D31" s="2"/>
    </row>
    <row r="32" spans="1:5" ht="15.75" customHeight="1">
      <c r="D32" s="2"/>
    </row>
    <row r="33" spans="3:4" ht="15.75" customHeight="1">
      <c r="D33" s="2"/>
    </row>
    <row r="34" spans="3:4" ht="15.75" customHeight="1">
      <c r="C34" s="73"/>
      <c r="D34" s="73"/>
    </row>
    <row r="35" spans="3:4">
      <c r="C35" s="73"/>
      <c r="D35" s="73"/>
    </row>
    <row r="36" spans="3:4">
      <c r="C36" s="73"/>
      <c r="D36" s="73"/>
    </row>
    <row r="37" spans="3:4" ht="15.75" customHeight="1">
      <c r="C37" s="73"/>
      <c r="D37" s="73"/>
    </row>
    <row r="38" spans="3:4">
      <c r="C38" s="73"/>
      <c r="D38" s="73"/>
    </row>
  </sheetData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657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02-23</vt:lpstr>
      <vt:lpstr>Senet_Borçlu_Alacaklı_Giriş</vt:lpstr>
      <vt:lpstr>Senet_Taksit_Giriş</vt:lpstr>
      <vt:lpstr>Senet_Önizleme</vt:lpstr>
      <vt:lpstr>01-2022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43</cp:revision>
  <cp:lastPrinted>2022-08-25T14:20:06Z</cp:lastPrinted>
  <dcterms:created xsi:type="dcterms:W3CDTF">2018-01-01T13:28:37Z</dcterms:created>
  <dcterms:modified xsi:type="dcterms:W3CDTF">2024-06-14T10:59:40Z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