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aaGitMe\tdy\2007-2024_ Hesap-Toplamlar\010_ 2016-23 BANKA\2025\"/>
    </mc:Choice>
  </mc:AlternateContent>
  <xr:revisionPtr revIDLastSave="0" documentId="13_ncr:1_{327C9015-33B2-4DAF-A4F2-49268437E903}" xr6:coauthVersionLast="47" xr6:coauthVersionMax="47" xr10:uidLastSave="{00000000-0000-0000-0000-000000000000}"/>
  <bookViews>
    <workbookView xWindow="390" yWindow="585" windowWidth="27120" windowHeight="8835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7" i="1"/>
  <c r="I6" i="1"/>
  <c r="K6" i="1" s="1"/>
  <c r="L6" i="1" s="1"/>
  <c r="I5" i="1"/>
  <c r="K5" i="1" s="1"/>
  <c r="L5" i="1" s="1"/>
</calcChain>
</file>

<file path=xl/sharedStrings.xml><?xml version="1.0" encoding="utf-8"?>
<sst xmlns="http://schemas.openxmlformats.org/spreadsheetml/2006/main" count="22" uniqueCount="15">
  <si>
    <t>İşlem Tarihi</t>
  </si>
  <si>
    <t>Kıymet</t>
  </si>
  <si>
    <t xml:space="preserve">Borsadan </t>
  </si>
  <si>
    <t>İşlem Tipi</t>
  </si>
  <si>
    <t>Adet</t>
  </si>
  <si>
    <t xml:space="preserve"> İşlem Fiyat</t>
  </si>
  <si>
    <t>İşlem Tutarı</t>
  </si>
  <si>
    <t>Komisyon</t>
  </si>
  <si>
    <t>pay</t>
  </si>
  <si>
    <t>altın</t>
  </si>
  <si>
    <t>borsa</t>
  </si>
  <si>
    <t>alış</t>
  </si>
  <si>
    <t xml:space="preserve"> Türü</t>
  </si>
  <si>
    <t>tte</t>
  </si>
  <si>
    <t>nazan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</si>
</sst>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%"/>
    <numFmt numFmtId="171" formatCode="dd/mm/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9" fontId="0" fillId="0" borderId="0" xfId="1" applyNumberFormat="1" applyFont="1"/>
    <xf numFmtId="171" fontId="0" fillId="0" borderId="0" xfId="0" applyNumberFormat="1"/>
  </cellXfs>
  <cellStyles count="2">
    <cellStyle name="Normal" xfId="0" builtinId="0"/>
    <cellStyle name="Yüzd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2"/>
  <sheetViews>
    <sheetView tabSelected="1" topLeftCell="A15" zoomScale="205" zoomScaleNormal="205" workbookViewId="0">
      <selection activeCell="A3" sqref="A3:L12"/>
    </sheetView>
  </sheetViews>
  <sheetFormatPr defaultRowHeight="15" x14ac:dyDescent="0.25"/>
  <cols>
    <col min="2" max="2" width="13" style="3" customWidth="1"/>
    <col min="3" max="3" width="5.42578125" bestFit="1" customWidth="1"/>
    <col min="4" max="4" width="7.140625" bestFit="1" customWidth="1"/>
    <col min="8" max="8" width="12.7109375" customWidth="1"/>
    <col min="9" max="9" width="10.28515625" customWidth="1"/>
    <col min="12" max="12" width="12.28515625" bestFit="1" customWidth="1"/>
  </cols>
  <sheetData>
    <row r="3" spans="1:12" x14ac:dyDescent="0.25">
      <c r="B3" s="3" t="s">
        <v>0</v>
      </c>
      <c r="C3" t="s">
        <v>12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</row>
    <row r="5" spans="1:12" x14ac:dyDescent="0.25">
      <c r="B5" s="3">
        <v>45623</v>
      </c>
      <c r="C5" t="s">
        <v>8</v>
      </c>
      <c r="D5" t="s">
        <v>9</v>
      </c>
      <c r="E5" t="s">
        <v>10</v>
      </c>
      <c r="F5" s="1" t="s">
        <v>11</v>
      </c>
      <c r="G5">
        <v>4000</v>
      </c>
      <c r="H5">
        <v>32.479999999999997</v>
      </c>
      <c r="I5">
        <f>H5*G5</f>
        <v>129919.99999999999</v>
      </c>
      <c r="J5">
        <v>272.83</v>
      </c>
      <c r="K5">
        <f>(I5+J5)/G5</f>
        <v>32.548207499999997</v>
      </c>
      <c r="L5" s="2">
        <f t="shared" ref="L5:L6" si="0">(K5/H5-1)</f>
        <v>2.0999846059113203E-3</v>
      </c>
    </row>
    <row r="6" spans="1:12" x14ac:dyDescent="0.25">
      <c r="B6" s="3">
        <v>45659</v>
      </c>
      <c r="C6" t="s">
        <v>8</v>
      </c>
      <c r="D6" t="s">
        <v>9</v>
      </c>
      <c r="E6" t="s">
        <v>10</v>
      </c>
      <c r="F6" s="1" t="s">
        <v>11</v>
      </c>
      <c r="G6">
        <v>4000</v>
      </c>
      <c r="H6">
        <v>30.79</v>
      </c>
      <c r="I6">
        <f>H6*G6</f>
        <v>123160</v>
      </c>
      <c r="J6">
        <v>258.64</v>
      </c>
      <c r="K6">
        <f t="shared" ref="K6" si="1">(I6+J6)/G6</f>
        <v>30.854659999999999</v>
      </c>
      <c r="L6" s="2">
        <f t="shared" si="0"/>
        <v>2.1000324780773294E-3</v>
      </c>
    </row>
    <row r="7" spans="1:12" x14ac:dyDescent="0.25">
      <c r="A7">
        <v>1626748</v>
      </c>
      <c r="B7" s="3">
        <v>45658</v>
      </c>
      <c r="C7">
        <v>801</v>
      </c>
      <c r="F7" s="1" t="s">
        <v>11</v>
      </c>
      <c r="G7">
        <v>195</v>
      </c>
      <c r="H7">
        <v>844.36797100000001</v>
      </c>
      <c r="I7">
        <f>H7*G7</f>
        <v>164651.75434499999</v>
      </c>
    </row>
    <row r="8" spans="1:12" x14ac:dyDescent="0.25">
      <c r="F8" s="1"/>
    </row>
    <row r="11" spans="1:12" x14ac:dyDescent="0.25">
      <c r="A11">
        <v>382789</v>
      </c>
      <c r="B11" s="3">
        <v>45667</v>
      </c>
      <c r="C11">
        <v>801</v>
      </c>
      <c r="D11" t="s">
        <v>14</v>
      </c>
      <c r="F11" s="1" t="s">
        <v>11</v>
      </c>
      <c r="G11">
        <v>240</v>
      </c>
      <c r="H11">
        <v>872.26366499999995</v>
      </c>
      <c r="I11">
        <f>H11*G11</f>
        <v>209343.27959999998</v>
      </c>
    </row>
    <row r="12" spans="1:12" x14ac:dyDescent="0.25">
      <c r="A12">
        <v>382789</v>
      </c>
      <c r="C12" t="s">
        <v>13</v>
      </c>
      <c r="F12" s="1" t="s">
        <v>11</v>
      </c>
      <c r="G12">
        <v>125000</v>
      </c>
      <c r="H12">
        <v>1.0399430000000001</v>
      </c>
      <c r="I12">
        <f>H12*G12</f>
        <v>129992.87500000001</v>
      </c>
    </row>
  </sheetData>
  <conditionalFormatting sqref="K5:K6">
    <cfRule type="expression" dxfId="0" priority="4">
      <formula>J5&gt;0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2015-06-05T18:19:34Z</dcterms:created>
  <dcterms:modified xsi:type="dcterms:W3CDTF">2025-01-16T07:26:33Z</dcterms:modified>
</cp:coreProperties>
</file>