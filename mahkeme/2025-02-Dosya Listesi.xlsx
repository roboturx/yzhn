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omprg\bvaagitme\yzhn\mahkeme\"/>
    </mc:Choice>
  </mc:AlternateContent>
  <xr:revisionPtr revIDLastSave="0" documentId="13_ncr:1_{D01817F7-9DD2-40BC-AB9D-7F125988F57D}" xr6:coauthVersionLast="47" xr6:coauthVersionMax="47" xr10:uidLastSave="{00000000-0000-0000-0000-000000000000}"/>
  <bookViews>
    <workbookView xWindow="-45" yWindow="120" windowWidth="12225" windowHeight="10320" tabRatio="5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O30" i="1" l="1"/>
  <c r="O29" i="1"/>
  <c r="O28" i="1"/>
  <c r="O27" i="1"/>
</calcChain>
</file>

<file path=xl/sharedStrings.xml><?xml version="1.0" encoding="utf-8"?>
<sst xmlns="http://schemas.openxmlformats.org/spreadsheetml/2006/main" count="156" uniqueCount="88">
  <si>
    <t>Dosya Listesi</t>
  </si>
  <si>
    <t>2025/1266</t>
  </si>
  <si>
    <t>2024/22182</t>
  </si>
  <si>
    <t>2024/22053</t>
  </si>
  <si>
    <t>2024/21115</t>
  </si>
  <si>
    <t>2024/21114</t>
  </si>
  <si>
    <t>2024/12483</t>
  </si>
  <si>
    <t>2024/12482</t>
  </si>
  <si>
    <t>2024/12481</t>
  </si>
  <si>
    <t>2024/9993</t>
  </si>
  <si>
    <t>2024/3369</t>
  </si>
  <si>
    <t>salihant</t>
  </si>
  <si>
    <t>smtrgt</t>
  </si>
  <si>
    <t>mtnçlk</t>
  </si>
  <si>
    <t>ö14</t>
  </si>
  <si>
    <t>mrdlkpl</t>
  </si>
  <si>
    <t>alidemirel</t>
  </si>
  <si>
    <t>2024/217</t>
  </si>
  <si>
    <t>2024/2390</t>
  </si>
  <si>
    <t>red</t>
  </si>
  <si>
    <t>icr-ö13</t>
  </si>
  <si>
    <t>icr-ö14</t>
  </si>
  <si>
    <t>BAM</t>
  </si>
  <si>
    <t>sh-itrzipt</t>
  </si>
  <si>
    <t>2024-362</t>
  </si>
  <si>
    <t>sh-istnf</t>
  </si>
  <si>
    <t>itrz</t>
  </si>
  <si>
    <t>KBL</t>
  </si>
  <si>
    <t>TL</t>
  </si>
  <si>
    <t>Dosya No</t>
  </si>
  <si>
    <t>Açlş</t>
  </si>
  <si>
    <t>Karar</t>
  </si>
  <si>
    <t>icr-thly</t>
  </si>
  <si>
    <t>2025/560</t>
  </si>
  <si>
    <t>sh2-itrzipt</t>
  </si>
  <si>
    <t>2025/263</t>
  </si>
  <si>
    <t>2025/264</t>
  </si>
  <si>
    <t>2025-559</t>
  </si>
  <si>
    <t>2025/25158</t>
  </si>
  <si>
    <t>Arablc.No</t>
  </si>
  <si>
    <t>2025/21318</t>
  </si>
  <si>
    <t>2025/21077</t>
  </si>
  <si>
    <t>2025/20896</t>
  </si>
  <si>
    <t>2025/35</t>
  </si>
  <si>
    <t>2025/34</t>
  </si>
  <si>
    <t>2024/397</t>
  </si>
  <si>
    <t>2024/398</t>
  </si>
  <si>
    <t>2024/202930</t>
  </si>
  <si>
    <t>2024/203836</t>
  </si>
  <si>
    <t>2025/33</t>
  </si>
  <si>
    <t>2025/43</t>
  </si>
  <si>
    <t>Arablc.Trh</t>
  </si>
  <si>
    <t>ada-parsel - kira sözl -  dsmgs vergisi</t>
  </si>
  <si>
    <t>ön inceleme</t>
  </si>
  <si>
    <r>
      <t xml:space="preserve">sh2-itrzipt </t>
    </r>
    <r>
      <rPr>
        <b/>
        <sz val="11"/>
        <rFont val="Calibri"/>
        <family val="2"/>
        <charset val="162"/>
      </rPr>
      <t>sadece 182.437 TL için</t>
    </r>
    <r>
      <rPr>
        <sz val="11"/>
        <rFont val="Calibri"/>
        <family val="2"/>
        <charset val="162"/>
      </rPr>
      <t xml:space="preserve"> </t>
    </r>
  </si>
  <si>
    <t>taahhüt isteniyor ????</t>
  </si>
  <si>
    <t>2 hafta</t>
  </si>
  <si>
    <t>(14) dekont - (13) szl + tahh(??)</t>
  </si>
  <si>
    <t>tebliğe çıkmış</t>
  </si>
  <si>
    <t>ada-parsel - kira sözl -  damga vergisi</t>
  </si>
  <si>
    <t>(14) dekont - (10) szl + taahhüt</t>
  </si>
  <si>
    <t>(13) SZL + TAAHHÜT(???) - (9) tapu -(11) damga V</t>
  </si>
  <si>
    <t>tebliğ + 2 hafta</t>
  </si>
  <si>
    <t>deliller</t>
  </si>
  <si>
    <t>(13) SZL + TAAHHÜT - (9) tapu -(11) damga V</t>
  </si>
  <si>
    <t>tensip</t>
  </si>
  <si>
    <t>2024/12482 icra</t>
  </si>
  <si>
    <t xml:space="preserve"> (10) szl </t>
  </si>
  <si>
    <t>(13) SZL - (9) tapu -(11) damga V</t>
  </si>
  <si>
    <t>tebliğ edlmş</t>
  </si>
  <si>
    <t>davalı cevap</t>
  </si>
  <si>
    <t>(3) 04.06.2024 tarihli ceza tutanağı</t>
  </si>
  <si>
    <t>(4) yemin teklifi hmb</t>
  </si>
  <si>
    <t>2025/559 dava dilekçesinde 2023 kirası talep ediliyor</t>
  </si>
  <si>
    <t>2024/22053 te 2024-25 156000 takip başlatılmış</t>
  </si>
  <si>
    <t>cevap</t>
  </si>
  <si>
    <t>tebliğ edildi</t>
  </si>
  <si>
    <t>BAMa bşvuru son tarih</t>
  </si>
  <si>
    <t>tebliğ</t>
  </si>
  <si>
    <t>AliDemirel</t>
  </si>
  <si>
    <t>2025/29356</t>
  </si>
  <si>
    <t>x</t>
  </si>
  <si>
    <t>davalı cexap dilekçesi vermedi</t>
  </si>
  <si>
    <t>tapu ve sözleşme yollandı</t>
  </si>
  <si>
    <t>(11) damga V</t>
  </si>
  <si>
    <t>sh-itrzipt - tmerrüt nedeniyle tahliye</t>
  </si>
  <si>
    <t>sh-itrzipt-taahhüt nedeniyle tahliye</t>
  </si>
  <si>
    <t>tapu, sözleşme ve taahhüt yollandı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</si>
</sst>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5" x14ac:knownFonts="1">
    <font>
      <sz val="11"/>
      <name val="Calibri"/>
    </font>
    <font>
      <sz val="11"/>
      <name val="Calibri"/>
      <family val="2"/>
      <charset val="162"/>
    </font>
    <font>
      <b/>
      <sz val="11"/>
      <color theme="7" tint="0.79998168889431442"/>
      <name val="Calibri"/>
      <family val="2"/>
      <charset val="162"/>
    </font>
    <font>
      <b/>
      <sz val="12"/>
      <color rgb="FFFFFF00"/>
      <name val="Calibri"/>
      <family val="2"/>
      <charset val="162"/>
    </font>
    <font>
      <b/>
      <sz val="11"/>
      <color rgb="FFFFFF00"/>
      <name val="Calibri"/>
      <family val="2"/>
      <charset val="162"/>
    </font>
    <font>
      <b/>
      <sz val="11"/>
      <name val="Calibri"/>
      <family val="2"/>
      <charset val="162"/>
    </font>
    <font>
      <u/>
      <sz val="11"/>
      <name val="Calibri"/>
      <family val="2"/>
      <charset val="162"/>
    </font>
    <font>
      <u/>
      <sz val="11"/>
      <color theme="7" tint="0.79998168889431442"/>
      <name val="Calibri"/>
      <family val="2"/>
      <charset val="162"/>
    </font>
    <font>
      <b/>
      <sz val="12"/>
      <color theme="1"/>
      <name val="Calibri"/>
      <family val="2"/>
      <charset val="162"/>
    </font>
    <font>
      <sz val="11"/>
      <color theme="7" tint="0.39997558519241921"/>
      <name val="Calibri"/>
      <family val="2"/>
      <charset val="162"/>
    </font>
    <font>
      <b/>
      <sz val="11"/>
      <color theme="5"/>
      <name val="Calibri"/>
      <family val="2"/>
      <charset val="162"/>
    </font>
    <font>
      <sz val="11"/>
      <color theme="7" tint="0.79998168889431442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1"/>
      <color rgb="FFC00000"/>
      <name val="Calibri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164" fontId="0" fillId="0" borderId="0" xfId="0" applyNumberFormat="1"/>
    <xf numFmtId="164" fontId="0" fillId="3" borderId="0" xfId="0" applyNumberFormat="1" applyFill="1"/>
    <xf numFmtId="164" fontId="4" fillId="4" borderId="0" xfId="0" applyNumberFormat="1" applyFont="1" applyFill="1"/>
    <xf numFmtId="0" fontId="0" fillId="0" borderId="1" xfId="0" applyBorder="1"/>
    <xf numFmtId="164" fontId="0" fillId="0" borderId="1" xfId="0" applyNumberForma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164" fontId="8" fillId="6" borderId="0" xfId="0" applyNumberFormat="1" applyFont="1" applyFill="1"/>
    <xf numFmtId="0" fontId="1" fillId="8" borderId="0" xfId="0" applyFont="1" applyFill="1"/>
    <xf numFmtId="164" fontId="0" fillId="5" borderId="0" xfId="0" applyNumberFormat="1" applyFill="1"/>
    <xf numFmtId="0" fontId="0" fillId="5" borderId="0" xfId="0" applyFill="1"/>
    <xf numFmtId="0" fontId="1" fillId="5" borderId="0" xfId="0" applyFont="1" applyFill="1"/>
    <xf numFmtId="0" fontId="6" fillId="5" borderId="0" xfId="0" applyFont="1" applyFill="1"/>
    <xf numFmtId="164" fontId="7" fillId="5" borderId="0" xfId="0" applyNumberFormat="1" applyFont="1" applyFill="1"/>
    <xf numFmtId="164" fontId="6" fillId="5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164" fontId="7" fillId="0" borderId="0" xfId="0" applyNumberFormat="1" applyFont="1"/>
    <xf numFmtId="164" fontId="0" fillId="0" borderId="1" xfId="0" applyNumberFormat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164" fontId="1" fillId="3" borderId="0" xfId="0" applyNumberFormat="1" applyFont="1" applyFill="1"/>
    <xf numFmtId="0" fontId="1" fillId="6" borderId="0" xfId="0" applyFont="1" applyFill="1"/>
    <xf numFmtId="0" fontId="0" fillId="6" borderId="0" xfId="0" applyFill="1"/>
    <xf numFmtId="164" fontId="0" fillId="6" borderId="0" xfId="0" applyNumberFormat="1" applyFill="1" applyAlignment="1">
      <alignment horizontal="center"/>
    </xf>
    <xf numFmtId="164" fontId="0" fillId="6" borderId="0" xfId="0" applyNumberFormat="1" applyFill="1"/>
    <xf numFmtId="164" fontId="4" fillId="6" borderId="0" xfId="0" applyNumberFormat="1" applyFont="1" applyFill="1" applyAlignment="1">
      <alignment horizontal="center"/>
    </xf>
    <xf numFmtId="164" fontId="3" fillId="6" borderId="0" xfId="0" applyNumberFormat="1" applyFont="1" applyFill="1"/>
    <xf numFmtId="164" fontId="4" fillId="6" borderId="0" xfId="0" applyNumberFormat="1" applyFont="1" applyFill="1"/>
    <xf numFmtId="164" fontId="6" fillId="5" borderId="0" xfId="0" applyNumberFormat="1" applyFont="1" applyFill="1" applyAlignment="1">
      <alignment horizontal="center"/>
    </xf>
    <xf numFmtId="0" fontId="0" fillId="8" borderId="0" xfId="0" applyFill="1"/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64" fontId="1" fillId="6" borderId="0" xfId="0" applyNumberFormat="1" applyFont="1" applyFill="1"/>
    <xf numFmtId="164" fontId="2" fillId="9" borderId="0" xfId="0" applyNumberFormat="1" applyFont="1" applyFill="1"/>
    <xf numFmtId="0" fontId="9" fillId="10" borderId="0" xfId="0" applyFont="1" applyFill="1"/>
    <xf numFmtId="0" fontId="10" fillId="0" borderId="1" xfId="0" applyFont="1" applyBorder="1"/>
    <xf numFmtId="164" fontId="10" fillId="11" borderId="1" xfId="0" applyNumberFormat="1" applyFont="1" applyFill="1" applyBorder="1" applyAlignment="1">
      <alignment horizontal="center"/>
    </xf>
    <xf numFmtId="20" fontId="10" fillId="0" borderId="0" xfId="0" applyNumberFormat="1" applyFont="1"/>
    <xf numFmtId="0" fontId="11" fillId="10" borderId="0" xfId="0" applyFont="1" applyFill="1"/>
    <xf numFmtId="164" fontId="0" fillId="0" borderId="2" xfId="0" applyNumberFormat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5" fillId="3" borderId="0" xfId="0" applyFont="1" applyFill="1"/>
    <xf numFmtId="164" fontId="0" fillId="0" borderId="0" xfId="0" applyNumberFormat="1" applyAlignment="1">
      <alignment horizontal="right"/>
    </xf>
    <xf numFmtId="20" fontId="12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0" fillId="0" borderId="0" xfId="0" applyFont="1"/>
    <xf numFmtId="0" fontId="10" fillId="0" borderId="2" xfId="0" applyFont="1" applyBorder="1"/>
    <xf numFmtId="164" fontId="10" fillId="11" borderId="2" xfId="0" applyNumberFormat="1" applyFont="1" applyFill="1" applyBorder="1" applyAlignment="1">
      <alignment horizontal="center"/>
    </xf>
    <xf numFmtId="20" fontId="10" fillId="0" borderId="2" xfId="0" applyNumberFormat="1" applyFont="1" applyBorder="1"/>
    <xf numFmtId="164" fontId="10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/>
    <xf numFmtId="0" fontId="1" fillId="12" borderId="0" xfId="0" applyFont="1" applyFill="1"/>
    <xf numFmtId="0" fontId="0" fillId="12" borderId="0" xfId="0" applyFill="1"/>
    <xf numFmtId="164" fontId="0" fillId="12" borderId="0" xfId="0" applyNumberFormat="1" applyFill="1" applyAlignment="1">
      <alignment horizontal="center"/>
    </xf>
    <xf numFmtId="164" fontId="12" fillId="12" borderId="3" xfId="0" applyNumberFormat="1" applyFont="1" applyFill="1" applyBorder="1" applyAlignment="1">
      <alignment horizontal="center"/>
    </xf>
    <xf numFmtId="0" fontId="12" fillId="12" borderId="4" xfId="0" applyFont="1" applyFill="1" applyBorder="1"/>
    <xf numFmtId="164" fontId="12" fillId="12" borderId="4" xfId="0" applyNumberFormat="1" applyFont="1" applyFill="1" applyBorder="1"/>
    <xf numFmtId="164" fontId="0" fillId="0" borderId="4" xfId="0" applyNumberFormat="1" applyBorder="1"/>
    <xf numFmtId="164" fontId="0" fillId="0" borderId="5" xfId="0" applyNumberFormat="1" applyBorder="1"/>
    <xf numFmtId="164" fontId="12" fillId="7" borderId="0" xfId="0" applyNumberFormat="1" applyFont="1" applyFill="1" applyAlignment="1">
      <alignment horizontal="center"/>
    </xf>
    <xf numFmtId="0" fontId="12" fillId="7" borderId="0" xfId="0" applyFont="1" applyFill="1"/>
    <xf numFmtId="164" fontId="12" fillId="7" borderId="0" xfId="0" applyNumberFormat="1" applyFont="1" applyFill="1"/>
    <xf numFmtId="164" fontId="12" fillId="7" borderId="3" xfId="0" applyNumberFormat="1" applyFont="1" applyFill="1" applyBorder="1" applyAlignment="1">
      <alignment horizontal="right"/>
    </xf>
    <xf numFmtId="0" fontId="12" fillId="7" borderId="4" xfId="0" applyFont="1" applyFill="1" applyBorder="1"/>
    <xf numFmtId="164" fontId="12" fillId="7" borderId="4" xfId="0" applyNumberFormat="1" applyFont="1" applyFill="1" applyBorder="1" applyAlignment="1">
      <alignment horizontal="left"/>
    </xf>
    <xf numFmtId="164" fontId="12" fillId="7" borderId="4" xfId="0" applyNumberFormat="1" applyFont="1" applyFill="1" applyBorder="1"/>
    <xf numFmtId="164" fontId="12" fillId="7" borderId="5" xfId="0" applyNumberFormat="1" applyFont="1" applyFill="1" applyBorder="1"/>
    <xf numFmtId="164" fontId="12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" fontId="0" fillId="3" borderId="0" xfId="0" applyNumberFormat="1" applyFill="1"/>
    <xf numFmtId="0" fontId="0" fillId="13" borderId="0" xfId="0" applyFill="1"/>
    <xf numFmtId="0" fontId="1" fillId="13" borderId="0" xfId="0" applyFont="1" applyFill="1"/>
    <xf numFmtId="0" fontId="0" fillId="14" borderId="0" xfId="0" applyFill="1"/>
    <xf numFmtId="0" fontId="1" fillId="14" borderId="0" xfId="0" applyFont="1" applyFill="1"/>
    <xf numFmtId="0" fontId="13" fillId="14" borderId="0" xfId="0" applyFont="1" applyFill="1"/>
    <xf numFmtId="164" fontId="1" fillId="7" borderId="3" xfId="0" applyNumberFormat="1" applyFont="1" applyFill="1" applyBorder="1" applyAlignment="1">
      <alignment horizontal="right"/>
    </xf>
    <xf numFmtId="0" fontId="1" fillId="7" borderId="4" xfId="0" applyFont="1" applyFill="1" applyBorder="1"/>
    <xf numFmtId="164" fontId="1" fillId="7" borderId="4" xfId="0" applyNumberFormat="1" applyFont="1" applyFill="1" applyBorder="1" applyAlignment="1">
      <alignment horizontal="left"/>
    </xf>
    <xf numFmtId="164" fontId="1" fillId="7" borderId="4" xfId="0" applyNumberFormat="1" applyFont="1" applyFill="1" applyBorder="1"/>
    <xf numFmtId="164" fontId="1" fillId="7" borderId="5" xfId="0" applyNumberFormat="1" applyFont="1" applyFill="1" applyBorder="1"/>
    <xf numFmtId="164" fontId="14" fillId="0" borderId="0" xfId="0" applyNumberFormat="1" applyFont="1"/>
    <xf numFmtId="164" fontId="0" fillId="3" borderId="1" xfId="0" applyNumberFormat="1" applyFill="1" applyBorder="1" applyAlignment="1">
      <alignment horizontal="center"/>
    </xf>
    <xf numFmtId="0" fontId="0" fillId="0" borderId="6" xfId="0" applyBorder="1"/>
    <xf numFmtId="0" fontId="5" fillId="0" borderId="6" xfId="0" applyFont="1" applyBorder="1"/>
    <xf numFmtId="16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0" borderId="6" xfId="0" applyNumberFormat="1" applyFont="1" applyBorder="1"/>
    <xf numFmtId="0" fontId="12" fillId="0" borderId="0" xfId="0" applyFont="1" applyFill="1" applyBorder="1"/>
    <xf numFmtId="164" fontId="1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A19" zoomScale="115" zoomScaleNormal="115" workbookViewId="0">
      <selection activeCell="K32" sqref="K32"/>
    </sheetView>
  </sheetViews>
  <sheetFormatPr defaultRowHeight="15" x14ac:dyDescent="0.25"/>
  <cols>
    <col min="2" max="2" width="13" customWidth="1"/>
    <col min="3" max="3" width="9.5703125" style="26" customWidth="1"/>
    <col min="4" max="4" width="9" bestFit="1" customWidth="1"/>
    <col min="5" max="5" width="4.28515625" bestFit="1" customWidth="1"/>
    <col min="6" max="6" width="4" customWidth="1"/>
    <col min="7" max="7" width="10" style="5" customWidth="1"/>
    <col min="8" max="8" width="12.28515625" bestFit="1" customWidth="1"/>
    <col min="9" max="9" width="13.140625" style="5" customWidth="1"/>
  </cols>
  <sheetData>
    <row r="1" spans="1:9" ht="15.75" thickBot="1" x14ac:dyDescent="0.3">
      <c r="A1" s="10" t="s">
        <v>0</v>
      </c>
      <c r="B1" s="8"/>
      <c r="C1" s="24"/>
      <c r="D1" s="8"/>
      <c r="E1" s="8"/>
      <c r="F1" s="8"/>
      <c r="G1" s="9"/>
      <c r="H1" s="8"/>
      <c r="I1" s="8"/>
    </row>
    <row r="2" spans="1:9" ht="16.5" thickTop="1" thickBot="1" x14ac:dyDescent="0.3">
      <c r="A2" s="8"/>
      <c r="B2" s="28" t="s">
        <v>29</v>
      </c>
      <c r="C2" s="29" t="s">
        <v>30</v>
      </c>
      <c r="D2" s="28"/>
      <c r="E2" s="11" t="s">
        <v>28</v>
      </c>
      <c r="F2" s="11"/>
      <c r="G2" s="30" t="s">
        <v>31</v>
      </c>
      <c r="H2" s="28" t="s">
        <v>39</v>
      </c>
      <c r="I2" s="28" t="s">
        <v>51</v>
      </c>
    </row>
    <row r="3" spans="1:9" ht="15.75" thickTop="1" x14ac:dyDescent="0.25">
      <c r="A3" s="81" t="s">
        <v>79</v>
      </c>
      <c r="H3" s="4" t="s">
        <v>80</v>
      </c>
      <c r="I3" s="82">
        <v>45712</v>
      </c>
    </row>
    <row r="4" spans="1:9" x14ac:dyDescent="0.25">
      <c r="A4" s="81"/>
      <c r="I4"/>
    </row>
    <row r="5" spans="1:9" x14ac:dyDescent="0.25">
      <c r="A5" s="81"/>
      <c r="I5"/>
    </row>
    <row r="6" spans="1:9" x14ac:dyDescent="0.25">
      <c r="A6" s="81"/>
      <c r="I6"/>
    </row>
    <row r="7" spans="1:9" x14ac:dyDescent="0.25">
      <c r="A7" s="81"/>
      <c r="I7"/>
    </row>
    <row r="8" spans="1:9" x14ac:dyDescent="0.25">
      <c r="A8" s="81"/>
      <c r="I8"/>
    </row>
    <row r="9" spans="1:9" x14ac:dyDescent="0.25">
      <c r="A9" s="95"/>
      <c r="B9" s="96" t="s">
        <v>29</v>
      </c>
      <c r="C9" s="97" t="s">
        <v>30</v>
      </c>
      <c r="D9" s="96"/>
      <c r="E9" s="98" t="s">
        <v>28</v>
      </c>
      <c r="F9" s="98"/>
      <c r="G9" s="99" t="s">
        <v>31</v>
      </c>
      <c r="H9" s="96" t="s">
        <v>39</v>
      </c>
      <c r="I9" s="96" t="s">
        <v>51</v>
      </c>
    </row>
    <row r="10" spans="1:9" x14ac:dyDescent="0.25">
      <c r="A10" s="2" t="s">
        <v>12</v>
      </c>
      <c r="B10" s="83" t="s">
        <v>6</v>
      </c>
      <c r="C10" s="25">
        <v>45475</v>
      </c>
      <c r="D10" s="4" t="s">
        <v>20</v>
      </c>
      <c r="E10" s="52">
        <v>97</v>
      </c>
      <c r="F10" s="4" t="s">
        <v>26</v>
      </c>
      <c r="H10" s="4" t="s">
        <v>42</v>
      </c>
      <c r="I10" s="6">
        <v>45705</v>
      </c>
    </row>
    <row r="11" spans="1:9" x14ac:dyDescent="0.25">
      <c r="A11" s="4"/>
      <c r="B11" s="84" t="s">
        <v>2</v>
      </c>
      <c r="C11" s="25">
        <v>45604</v>
      </c>
      <c r="D11" s="4" t="s">
        <v>20</v>
      </c>
      <c r="E11" s="52">
        <v>178</v>
      </c>
      <c r="F11" s="4" t="s">
        <v>26</v>
      </c>
      <c r="H11" s="14" t="s">
        <v>44</v>
      </c>
      <c r="I11" s="31">
        <v>45705</v>
      </c>
    </row>
    <row r="12" spans="1:9" x14ac:dyDescent="0.25">
      <c r="A12" s="1"/>
      <c r="B12" s="85" t="s">
        <v>36</v>
      </c>
      <c r="C12" s="26">
        <v>45704</v>
      </c>
      <c r="D12" s="63" t="s">
        <v>85</v>
      </c>
    </row>
    <row r="13" spans="1:9" x14ac:dyDescent="0.25">
      <c r="A13" s="1"/>
      <c r="B13" s="1" t="s">
        <v>65</v>
      </c>
      <c r="C13" s="26">
        <v>45705</v>
      </c>
      <c r="D13" s="1" t="s">
        <v>59</v>
      </c>
      <c r="H13" s="1"/>
    </row>
    <row r="14" spans="1:9" x14ac:dyDescent="0.25">
      <c r="A14" s="1"/>
      <c r="C14" s="53"/>
      <c r="D14" s="1"/>
      <c r="H14" s="1"/>
    </row>
    <row r="15" spans="1:9" x14ac:dyDescent="0.25">
      <c r="A15" s="1"/>
      <c r="C15" s="53" t="s">
        <v>56</v>
      </c>
      <c r="D15" s="63" t="s">
        <v>61</v>
      </c>
      <c r="H15" s="1"/>
    </row>
    <row r="16" spans="1:9" ht="15.75" thickBot="1" x14ac:dyDescent="0.3">
      <c r="A16" s="1"/>
      <c r="C16" s="53">
        <v>45712</v>
      </c>
      <c r="D16" s="1" t="s">
        <v>58</v>
      </c>
      <c r="H16" s="1"/>
    </row>
    <row r="17" spans="1:15" ht="15.75" thickBot="1" x14ac:dyDescent="0.3">
      <c r="A17" s="1"/>
      <c r="C17" s="88">
        <v>45717</v>
      </c>
      <c r="D17" s="89" t="s">
        <v>78</v>
      </c>
      <c r="E17" s="90" t="s">
        <v>62</v>
      </c>
      <c r="F17" s="89"/>
      <c r="G17" s="91"/>
      <c r="H17" s="89" t="s">
        <v>63</v>
      </c>
      <c r="I17" s="92"/>
    </row>
    <row r="18" spans="1:15" x14ac:dyDescent="0.25">
      <c r="A18" s="1"/>
      <c r="C18" s="56"/>
      <c r="D18" s="1" t="s">
        <v>82</v>
      </c>
      <c r="H18" s="1"/>
    </row>
    <row r="19" spans="1:15" x14ac:dyDescent="0.25">
      <c r="A19" s="1"/>
      <c r="C19" s="53"/>
      <c r="D19" s="1" t="s">
        <v>83</v>
      </c>
      <c r="H19" s="1"/>
    </row>
    <row r="20" spans="1:15" x14ac:dyDescent="0.25">
      <c r="A20" s="1"/>
      <c r="C20" s="53"/>
      <c r="D20" s="1"/>
      <c r="I20" s="93" t="s">
        <v>84</v>
      </c>
    </row>
    <row r="21" spans="1:15" ht="15.75" thickBot="1" x14ac:dyDescent="0.3">
      <c r="A21" s="1"/>
      <c r="B21" s="46" t="s">
        <v>53</v>
      </c>
      <c r="C21" s="47">
        <v>45805</v>
      </c>
      <c r="D21" s="48">
        <v>0.40972222222222227</v>
      </c>
      <c r="E21" t="s">
        <v>55</v>
      </c>
      <c r="I21"/>
    </row>
    <row r="22" spans="1:15" ht="15.75" thickTop="1" x14ac:dyDescent="0.25">
      <c r="A22" s="1"/>
      <c r="C22" s="53">
        <v>45805</v>
      </c>
      <c r="D22" s="1" t="s">
        <v>57</v>
      </c>
    </row>
    <row r="23" spans="1:15" x14ac:dyDescent="0.25">
      <c r="A23" s="1"/>
      <c r="C23" s="53"/>
      <c r="D23" s="1"/>
    </row>
    <row r="24" spans="1:15" x14ac:dyDescent="0.25">
      <c r="A24" s="95"/>
      <c r="B24" s="96" t="s">
        <v>29</v>
      </c>
      <c r="C24" s="97" t="s">
        <v>30</v>
      </c>
      <c r="D24" s="96"/>
      <c r="E24" s="98" t="s">
        <v>28</v>
      </c>
      <c r="F24" s="98"/>
      <c r="G24" s="99" t="s">
        <v>31</v>
      </c>
      <c r="H24" s="96" t="s">
        <v>39</v>
      </c>
      <c r="I24" s="96" t="s">
        <v>51</v>
      </c>
    </row>
    <row r="25" spans="1:15" ht="15.75" thickBot="1" x14ac:dyDescent="0.3">
      <c r="A25" s="4" t="s">
        <v>12</v>
      </c>
      <c r="B25" s="83" t="s">
        <v>4</v>
      </c>
      <c r="C25" s="94">
        <v>45588</v>
      </c>
      <c r="D25" s="52" t="s">
        <v>21</v>
      </c>
      <c r="E25" s="3"/>
      <c r="F25" s="4" t="s">
        <v>26</v>
      </c>
      <c r="H25" s="4" t="s">
        <v>46</v>
      </c>
      <c r="I25" s="6">
        <v>45630</v>
      </c>
    </row>
    <row r="26" spans="1:15" ht="15.75" thickTop="1" x14ac:dyDescent="0.25">
      <c r="A26" s="4"/>
      <c r="B26" s="83" t="s">
        <v>4</v>
      </c>
      <c r="C26" s="25"/>
      <c r="D26" s="4"/>
      <c r="E26" s="3"/>
      <c r="F26" s="4"/>
      <c r="H26" s="14" t="s">
        <v>47</v>
      </c>
      <c r="I26" s="6">
        <v>45630</v>
      </c>
    </row>
    <row r="27" spans="1:15" ht="15.75" thickBot="1" x14ac:dyDescent="0.3">
      <c r="A27" s="4"/>
      <c r="B27" s="85" t="s">
        <v>35</v>
      </c>
      <c r="C27" s="50">
        <v>45704</v>
      </c>
      <c r="D27" s="63" t="s">
        <v>86</v>
      </c>
      <c r="E27" s="1"/>
      <c r="F27" s="1"/>
      <c r="H27" s="1"/>
      <c r="I27"/>
      <c r="M27">
        <v>200</v>
      </c>
      <c r="N27">
        <v>0.3</v>
      </c>
      <c r="O27">
        <f>N27*M27</f>
        <v>60</v>
      </c>
    </row>
    <row r="28" spans="1:15" ht="15.75" thickTop="1" x14ac:dyDescent="0.25">
      <c r="A28" s="1"/>
      <c r="B28" s="1" t="s">
        <v>65</v>
      </c>
      <c r="C28" s="26">
        <v>45709</v>
      </c>
      <c r="D28" s="1" t="s">
        <v>59</v>
      </c>
      <c r="H28" s="1"/>
      <c r="M28">
        <v>600</v>
      </c>
      <c r="N28">
        <v>30</v>
      </c>
      <c r="O28">
        <f>N28*M28</f>
        <v>18000</v>
      </c>
    </row>
    <row r="29" spans="1:15" x14ac:dyDescent="0.25">
      <c r="A29" s="1"/>
      <c r="C29" s="53" t="s">
        <v>56</v>
      </c>
      <c r="D29" s="1" t="s">
        <v>64</v>
      </c>
      <c r="H29" s="1"/>
      <c r="M29">
        <v>700</v>
      </c>
      <c r="N29">
        <v>60</v>
      </c>
      <c r="O29">
        <f>N29*M29</f>
        <v>42000</v>
      </c>
    </row>
    <row r="30" spans="1:15" ht="15.75" thickBot="1" x14ac:dyDescent="0.3">
      <c r="A30" s="1"/>
      <c r="C30" s="53">
        <v>45712</v>
      </c>
      <c r="D30" s="1" t="s">
        <v>58</v>
      </c>
      <c r="H30" s="1"/>
      <c r="O30">
        <f>SUM(O28:O29)</f>
        <v>60000</v>
      </c>
    </row>
    <row r="31" spans="1:15" ht="15.75" thickBot="1" x14ac:dyDescent="0.3">
      <c r="A31" s="1"/>
      <c r="C31" s="75">
        <v>45717</v>
      </c>
      <c r="D31" s="76" t="s">
        <v>78</v>
      </c>
      <c r="E31" s="77" t="s">
        <v>62</v>
      </c>
      <c r="F31" s="76"/>
      <c r="G31" s="78"/>
      <c r="H31" s="76" t="s">
        <v>63</v>
      </c>
      <c r="I31" s="79"/>
    </row>
    <row r="32" spans="1:15" x14ac:dyDescent="0.25">
      <c r="A32" s="1"/>
      <c r="C32" s="1" t="s">
        <v>82</v>
      </c>
      <c r="F32" s="5"/>
      <c r="G32" s="101"/>
      <c r="H32" s="100"/>
      <c r="I32" s="101"/>
    </row>
    <row r="33" spans="1:9" x14ac:dyDescent="0.25">
      <c r="A33" s="1"/>
      <c r="C33" s="1" t="s">
        <v>87</v>
      </c>
      <c r="F33" s="5"/>
      <c r="G33" s="101"/>
      <c r="H33" s="100"/>
      <c r="I33" s="101"/>
    </row>
    <row r="34" spans="1:9" x14ac:dyDescent="0.25">
      <c r="A34" s="1"/>
      <c r="H34" s="1"/>
    </row>
    <row r="35" spans="1:9" ht="15.75" thickBot="1" x14ac:dyDescent="0.3">
      <c r="A35" s="1"/>
      <c r="B35" s="46" t="s">
        <v>53</v>
      </c>
      <c r="C35" s="47">
        <v>45805</v>
      </c>
      <c r="D35" s="54">
        <v>0</v>
      </c>
      <c r="I35" s="93" t="s">
        <v>84</v>
      </c>
    </row>
    <row r="36" spans="1:9" ht="15.75" thickTop="1" x14ac:dyDescent="0.25">
      <c r="A36" s="1"/>
      <c r="C36" s="53">
        <v>45805</v>
      </c>
      <c r="D36" s="1" t="s">
        <v>60</v>
      </c>
    </row>
    <row r="37" spans="1:9" x14ac:dyDescent="0.25">
      <c r="A37" s="1"/>
      <c r="D37" s="1"/>
      <c r="E37" s="1"/>
      <c r="F37" s="1"/>
      <c r="H37" s="1"/>
      <c r="I37"/>
    </row>
    <row r="38" spans="1:9" ht="15.75" thickBot="1" x14ac:dyDescent="0.3">
      <c r="A38" s="12"/>
      <c r="B38" s="8"/>
      <c r="C38" s="24"/>
      <c r="D38" s="12"/>
      <c r="E38" s="12"/>
      <c r="F38" s="12"/>
      <c r="G38" s="9"/>
      <c r="H38" s="12"/>
      <c r="I38" s="8"/>
    </row>
    <row r="39" spans="1:9" ht="15.75" thickTop="1" x14ac:dyDescent="0.25">
      <c r="A39" s="2" t="s">
        <v>11</v>
      </c>
      <c r="B39" s="83" t="s">
        <v>7</v>
      </c>
      <c r="C39" s="25">
        <v>45475</v>
      </c>
      <c r="D39" s="4" t="s">
        <v>20</v>
      </c>
      <c r="E39" s="52">
        <v>214</v>
      </c>
      <c r="F39" s="4" t="s">
        <v>26</v>
      </c>
      <c r="H39" s="4" t="s">
        <v>40</v>
      </c>
      <c r="I39" s="6">
        <v>45702</v>
      </c>
    </row>
    <row r="40" spans="1:9" x14ac:dyDescent="0.25">
      <c r="A40" s="2"/>
      <c r="B40" s="3"/>
      <c r="C40" s="25"/>
      <c r="D40" s="4"/>
      <c r="E40" s="3"/>
      <c r="F40" s="4"/>
      <c r="H40" s="14" t="s">
        <v>49</v>
      </c>
      <c r="I40" s="6">
        <v>45702</v>
      </c>
    </row>
    <row r="41" spans="1:9" x14ac:dyDescent="0.25">
      <c r="A41" s="1"/>
      <c r="B41" s="85" t="s">
        <v>33</v>
      </c>
      <c r="C41" s="26">
        <v>45704</v>
      </c>
      <c r="D41" s="1" t="s">
        <v>54</v>
      </c>
      <c r="H41" s="1"/>
      <c r="I41"/>
    </row>
    <row r="42" spans="1:9" x14ac:dyDescent="0.25">
      <c r="A42" s="1"/>
      <c r="B42" s="1" t="s">
        <v>65</v>
      </c>
      <c r="C42" s="26">
        <v>45705</v>
      </c>
      <c r="D42" s="1" t="s">
        <v>52</v>
      </c>
      <c r="H42" s="1"/>
    </row>
    <row r="43" spans="1:9" x14ac:dyDescent="0.25">
      <c r="A43" s="1"/>
      <c r="D43" s="1" t="s">
        <v>66</v>
      </c>
      <c r="H43" s="1"/>
    </row>
    <row r="44" spans="1:9" x14ac:dyDescent="0.25">
      <c r="A44" s="1"/>
      <c r="C44" s="53" t="s">
        <v>56</v>
      </c>
      <c r="D44" s="63" t="s">
        <v>68</v>
      </c>
      <c r="H44" s="1"/>
    </row>
    <row r="45" spans="1:9" ht="15.75" thickBot="1" x14ac:dyDescent="0.3">
      <c r="A45" s="1"/>
      <c r="C45" s="53">
        <v>45706</v>
      </c>
      <c r="D45" s="1" t="s">
        <v>58</v>
      </c>
      <c r="H45" s="1"/>
    </row>
    <row r="46" spans="1:9" ht="15.75" thickBot="1" x14ac:dyDescent="0.3">
      <c r="A46" s="1"/>
      <c r="C46" s="80">
        <v>45711</v>
      </c>
      <c r="D46" s="76" t="s">
        <v>69</v>
      </c>
      <c r="E46" s="76"/>
      <c r="F46" s="76"/>
      <c r="G46" s="78"/>
      <c r="H46" s="76"/>
      <c r="I46" s="79"/>
    </row>
    <row r="47" spans="1:9" x14ac:dyDescent="0.25">
      <c r="A47" s="1"/>
      <c r="C47" s="56" t="s">
        <v>70</v>
      </c>
      <c r="D47" s="1" t="s">
        <v>71</v>
      </c>
      <c r="H47" s="1"/>
    </row>
    <row r="48" spans="1:9" x14ac:dyDescent="0.25">
      <c r="A48" s="1"/>
      <c r="C48" s="56"/>
      <c r="D48" s="1" t="s">
        <v>72</v>
      </c>
      <c r="H48" s="1"/>
    </row>
    <row r="49" spans="1:11" ht="15.75" thickBot="1" x14ac:dyDescent="0.3">
      <c r="A49" s="1"/>
      <c r="B49" s="46" t="s">
        <v>53</v>
      </c>
      <c r="C49" s="47">
        <v>45792</v>
      </c>
      <c r="D49" s="48">
        <v>0.39930555555555558</v>
      </c>
      <c r="I49"/>
    </row>
    <row r="50" spans="1:11" ht="15.75" thickTop="1" x14ac:dyDescent="0.25">
      <c r="A50" s="1"/>
      <c r="C50" s="53">
        <v>45792</v>
      </c>
      <c r="D50" s="1" t="s">
        <v>67</v>
      </c>
      <c r="H50" s="1"/>
      <c r="I50"/>
    </row>
    <row r="52" spans="1:11" ht="15.75" thickBot="1" x14ac:dyDescent="0.3">
      <c r="A52" s="4" t="s">
        <v>13</v>
      </c>
      <c r="B52" s="83" t="s">
        <v>3</v>
      </c>
      <c r="C52" s="51">
        <v>45603</v>
      </c>
      <c r="D52" s="4" t="s">
        <v>20</v>
      </c>
      <c r="E52" s="52">
        <v>156</v>
      </c>
      <c r="F52" s="4" t="s">
        <v>26</v>
      </c>
      <c r="G52" s="6"/>
      <c r="H52" s="1" t="s">
        <v>41</v>
      </c>
      <c r="I52" s="5">
        <v>45705</v>
      </c>
      <c r="K52" t="s">
        <v>81</v>
      </c>
    </row>
    <row r="53" spans="1:11" ht="15.75" thickTop="1" x14ac:dyDescent="0.25">
      <c r="A53" s="4"/>
      <c r="B53" s="3"/>
      <c r="C53" s="25"/>
      <c r="D53" s="4"/>
      <c r="E53" s="3"/>
      <c r="F53" s="4"/>
      <c r="G53" s="6"/>
      <c r="H53" s="14" t="s">
        <v>43</v>
      </c>
      <c r="I53" s="5">
        <v>45705</v>
      </c>
    </row>
    <row r="54" spans="1:11" ht="15.75" thickBot="1" x14ac:dyDescent="0.3">
      <c r="A54" s="1"/>
      <c r="B54" s="85" t="s">
        <v>37</v>
      </c>
      <c r="C54" s="50">
        <v>45704</v>
      </c>
      <c r="D54" s="1" t="s">
        <v>34</v>
      </c>
      <c r="F54" s="1"/>
      <c r="H54" s="1"/>
    </row>
    <row r="55" spans="1:11" ht="15.75" thickTop="1" x14ac:dyDescent="0.25">
      <c r="A55" s="1"/>
      <c r="B55" s="1" t="s">
        <v>65</v>
      </c>
      <c r="C55" s="26">
        <v>45705</v>
      </c>
      <c r="D55" s="1" t="s">
        <v>52</v>
      </c>
      <c r="H55" s="1"/>
    </row>
    <row r="56" spans="1:11" x14ac:dyDescent="0.25">
      <c r="A56" s="1"/>
    </row>
    <row r="57" spans="1:11" x14ac:dyDescent="0.25">
      <c r="A57" s="1"/>
      <c r="C57" s="53" t="s">
        <v>56</v>
      </c>
      <c r="D57" s="63" t="s">
        <v>68</v>
      </c>
      <c r="G57" s="62"/>
      <c r="H57" s="1"/>
    </row>
    <row r="58" spans="1:11" ht="15.75" thickBot="1" x14ac:dyDescent="0.3">
      <c r="A58" s="1"/>
      <c r="C58" s="53">
        <v>45706</v>
      </c>
      <c r="D58" s="1" t="s">
        <v>58</v>
      </c>
      <c r="H58" s="1"/>
    </row>
    <row r="59" spans="1:11" ht="15.75" thickBot="1" x14ac:dyDescent="0.3">
      <c r="A59" s="1"/>
      <c r="C59" s="80">
        <v>45711</v>
      </c>
      <c r="D59" s="76" t="s">
        <v>69</v>
      </c>
      <c r="E59" s="76"/>
      <c r="F59" s="76"/>
      <c r="G59" s="78"/>
      <c r="H59" s="76"/>
      <c r="I59" s="79"/>
    </row>
    <row r="60" spans="1:11" x14ac:dyDescent="0.25">
      <c r="A60" s="1"/>
      <c r="B60" s="1" t="s">
        <v>75</v>
      </c>
      <c r="C60" s="55"/>
      <c r="D60" s="1" t="s">
        <v>74</v>
      </c>
      <c r="H60" s="1"/>
    </row>
    <row r="61" spans="1:11" x14ac:dyDescent="0.25">
      <c r="A61" s="1"/>
      <c r="D61" s="1" t="s">
        <v>73</v>
      </c>
      <c r="H61" s="1"/>
    </row>
    <row r="62" spans="1:11" x14ac:dyDescent="0.25">
      <c r="A62" s="1"/>
      <c r="D62" s="1"/>
      <c r="H62" s="1"/>
    </row>
    <row r="63" spans="1:11" ht="15.75" thickBot="1" x14ac:dyDescent="0.3">
      <c r="B63" s="58" t="s">
        <v>53</v>
      </c>
      <c r="C63" s="59">
        <v>45792</v>
      </c>
      <c r="D63" s="60">
        <v>0.39583333333333331</v>
      </c>
      <c r="I63"/>
    </row>
    <row r="64" spans="1:11" ht="15.75" thickTop="1" x14ac:dyDescent="0.25">
      <c r="B64" s="57"/>
      <c r="C64" s="61">
        <v>45792</v>
      </c>
      <c r="D64" s="1" t="s">
        <v>67</v>
      </c>
      <c r="I64"/>
    </row>
    <row r="65" spans="1:11" x14ac:dyDescent="0.25">
      <c r="B65" s="57"/>
      <c r="C65" s="61"/>
      <c r="D65" s="1"/>
      <c r="I65"/>
    </row>
    <row r="66" spans="1:11" ht="15.75" thickBot="1" x14ac:dyDescent="0.3">
      <c r="A66" s="12"/>
      <c r="B66" s="8"/>
      <c r="C66" s="24"/>
      <c r="D66" s="12"/>
      <c r="E66" s="8"/>
      <c r="F66" s="8"/>
      <c r="G66" s="9"/>
      <c r="H66" s="12"/>
      <c r="I66" s="8"/>
    </row>
    <row r="67" spans="1:11" ht="15.75" thickTop="1" x14ac:dyDescent="0.25">
      <c r="A67" s="4" t="s">
        <v>11</v>
      </c>
      <c r="B67" s="83" t="s">
        <v>1</v>
      </c>
      <c r="C67" s="25">
        <v>45676</v>
      </c>
      <c r="D67" s="52" t="s">
        <v>21</v>
      </c>
      <c r="E67" s="4"/>
      <c r="F67" s="4" t="s">
        <v>26</v>
      </c>
      <c r="H67" s="1" t="s">
        <v>50</v>
      </c>
      <c r="K67" t="s">
        <v>81</v>
      </c>
    </row>
    <row r="68" spans="1:11" x14ac:dyDescent="0.25">
      <c r="A68" s="4" t="s">
        <v>11</v>
      </c>
      <c r="B68" s="83" t="s">
        <v>1</v>
      </c>
      <c r="C68" s="25"/>
      <c r="D68" s="4"/>
      <c r="E68" s="4"/>
      <c r="F68" s="4"/>
      <c r="H68" s="14" t="s">
        <v>38</v>
      </c>
      <c r="I68" s="15">
        <v>45714</v>
      </c>
    </row>
    <row r="69" spans="1:11" x14ac:dyDescent="0.25">
      <c r="A69" s="1"/>
      <c r="D69" s="1"/>
      <c r="E69" s="1"/>
      <c r="F69" s="1"/>
      <c r="H69" s="1"/>
    </row>
    <row r="70" spans="1:11" x14ac:dyDescent="0.25">
      <c r="B70" s="57"/>
      <c r="C70" s="61"/>
      <c r="D70" s="1"/>
      <c r="I70"/>
    </row>
    <row r="71" spans="1:11" ht="15.75" thickBot="1" x14ac:dyDescent="0.3">
      <c r="A71" s="12"/>
      <c r="B71" s="8"/>
      <c r="C71" s="24"/>
      <c r="D71" s="12"/>
      <c r="E71" s="8"/>
      <c r="F71" s="8"/>
      <c r="G71" s="9"/>
      <c r="H71" s="12"/>
      <c r="I71" s="8"/>
    </row>
    <row r="72" spans="1:11" ht="15.75" thickTop="1" x14ac:dyDescent="0.25">
      <c r="A72" s="32" t="s">
        <v>16</v>
      </c>
      <c r="B72" s="83" t="s">
        <v>10</v>
      </c>
      <c r="C72" s="34">
        <v>45342</v>
      </c>
      <c r="D72" s="32" t="s">
        <v>14</v>
      </c>
      <c r="E72" s="33"/>
      <c r="F72" s="43" t="s">
        <v>26</v>
      </c>
      <c r="G72" s="35"/>
      <c r="H72" s="33"/>
      <c r="I72" s="35"/>
    </row>
    <row r="73" spans="1:11" x14ac:dyDescent="0.25">
      <c r="A73" s="32"/>
      <c r="B73" s="86" t="s">
        <v>24</v>
      </c>
      <c r="C73" s="34">
        <v>45537</v>
      </c>
      <c r="D73" s="32" t="s">
        <v>23</v>
      </c>
      <c r="E73" s="33"/>
      <c r="F73" s="44" t="s">
        <v>19</v>
      </c>
      <c r="G73" s="35">
        <v>45691</v>
      </c>
      <c r="H73" s="33"/>
      <c r="I73" s="35"/>
    </row>
    <row r="74" spans="1:11" x14ac:dyDescent="0.25">
      <c r="A74" s="64"/>
      <c r="B74" s="65"/>
      <c r="C74" s="66"/>
      <c r="D74" s="17" t="s">
        <v>22</v>
      </c>
      <c r="F74" s="5"/>
      <c r="H74" s="5"/>
    </row>
    <row r="75" spans="1:11" ht="15.75" thickBot="1" x14ac:dyDescent="0.3">
      <c r="A75" s="1"/>
      <c r="C75" s="72">
        <v>45718</v>
      </c>
      <c r="D75" s="73" t="s">
        <v>76</v>
      </c>
      <c r="E75" s="73"/>
      <c r="F75" s="74"/>
      <c r="G75" s="74"/>
      <c r="H75" s="74"/>
      <c r="I75" s="74"/>
    </row>
    <row r="76" spans="1:11" ht="15.75" thickBot="1" x14ac:dyDescent="0.3">
      <c r="A76" s="1"/>
      <c r="C76" s="67">
        <v>45733</v>
      </c>
      <c r="D76" s="68" t="s">
        <v>77</v>
      </c>
      <c r="E76" s="68"/>
      <c r="F76" s="69"/>
      <c r="G76" s="69"/>
      <c r="H76" s="70"/>
      <c r="I76" s="71"/>
    </row>
    <row r="77" spans="1:11" x14ac:dyDescent="0.25">
      <c r="A77" s="1"/>
      <c r="D77" s="1"/>
      <c r="F77" s="5"/>
      <c r="H77" s="5"/>
    </row>
    <row r="78" spans="1:11" ht="15.75" thickBot="1" x14ac:dyDescent="0.3">
      <c r="A78" s="12"/>
      <c r="B78" s="8"/>
      <c r="C78" s="24"/>
      <c r="D78" s="12"/>
      <c r="E78" s="8"/>
      <c r="F78" s="9"/>
      <c r="G78" s="9"/>
      <c r="H78" s="9"/>
      <c r="I78" s="9"/>
    </row>
    <row r="79" spans="1:11" ht="16.5" thickTop="1" x14ac:dyDescent="0.25">
      <c r="A79" s="32" t="s">
        <v>15</v>
      </c>
      <c r="B79" s="83" t="s">
        <v>9</v>
      </c>
      <c r="C79" s="34">
        <v>45438</v>
      </c>
      <c r="D79" s="32" t="s">
        <v>20</v>
      </c>
      <c r="E79" s="33">
        <v>0</v>
      </c>
      <c r="F79" s="13" t="s">
        <v>27</v>
      </c>
      <c r="G79" s="35"/>
      <c r="H79" s="33"/>
      <c r="I79" s="35"/>
    </row>
    <row r="80" spans="1:11" ht="15.75" x14ac:dyDescent="0.25">
      <c r="A80" s="32"/>
      <c r="B80" s="87" t="s">
        <v>17</v>
      </c>
      <c r="C80" s="36">
        <v>45486</v>
      </c>
      <c r="D80" s="32" t="s">
        <v>25</v>
      </c>
      <c r="E80" s="33"/>
      <c r="F80" s="37" t="s">
        <v>27</v>
      </c>
      <c r="G80" s="38">
        <v>45588</v>
      </c>
      <c r="H80" s="33"/>
      <c r="I80" s="35"/>
    </row>
    <row r="81" spans="1:9" ht="15.75" x14ac:dyDescent="0.25">
      <c r="A81" s="32"/>
      <c r="B81" s="87" t="s">
        <v>18</v>
      </c>
      <c r="C81" s="36">
        <v>45590</v>
      </c>
      <c r="D81" s="32" t="s">
        <v>22</v>
      </c>
      <c r="E81" s="32"/>
      <c r="F81" s="37" t="s">
        <v>27</v>
      </c>
      <c r="G81" s="38">
        <v>45688</v>
      </c>
      <c r="H81" s="33"/>
      <c r="I81" s="35"/>
    </row>
    <row r="82" spans="1:9" x14ac:dyDescent="0.25">
      <c r="A82" s="17"/>
      <c r="B82" s="18"/>
      <c r="C82" s="39"/>
      <c r="D82" s="17" t="s">
        <v>32</v>
      </c>
      <c r="E82" s="18"/>
      <c r="F82" s="19"/>
      <c r="G82" s="20"/>
      <c r="H82" s="16"/>
      <c r="I82" s="15"/>
    </row>
    <row r="83" spans="1:9" x14ac:dyDescent="0.25">
      <c r="A83" s="1"/>
      <c r="B83" s="21"/>
      <c r="C83" s="27"/>
      <c r="D83" s="1"/>
      <c r="E83" s="21"/>
      <c r="F83" s="23"/>
      <c r="G83" s="22"/>
    </row>
    <row r="84" spans="1:9" x14ac:dyDescent="0.25">
      <c r="A84" s="1"/>
      <c r="B84" s="21"/>
      <c r="C84" s="27"/>
      <c r="D84" s="1"/>
      <c r="E84" s="21"/>
      <c r="F84" s="23"/>
      <c r="G84" s="22"/>
    </row>
    <row r="85" spans="1:9" ht="15.75" thickBot="1" x14ac:dyDescent="0.3">
      <c r="A85" s="8"/>
      <c r="B85" s="8"/>
      <c r="C85" s="24"/>
      <c r="D85" s="8"/>
      <c r="E85" s="8"/>
      <c r="F85" s="8"/>
      <c r="G85" s="9"/>
      <c r="H85" s="8"/>
      <c r="I85" s="9"/>
    </row>
    <row r="86" spans="1:9" ht="15.75" thickTop="1" x14ac:dyDescent="0.25">
      <c r="A86" s="32" t="s">
        <v>13</v>
      </c>
      <c r="B86" s="83" t="s">
        <v>5</v>
      </c>
      <c r="C86" s="34">
        <v>45588</v>
      </c>
      <c r="D86" s="32" t="s">
        <v>21</v>
      </c>
      <c r="E86" s="33"/>
      <c r="F86" s="33"/>
      <c r="G86" s="7">
        <v>45672</v>
      </c>
      <c r="H86" s="32" t="s">
        <v>45</v>
      </c>
      <c r="I86" s="35">
        <v>45625</v>
      </c>
    </row>
    <row r="87" spans="1:9" x14ac:dyDescent="0.25">
      <c r="A87" s="32" t="s">
        <v>13</v>
      </c>
      <c r="B87" s="83" t="s">
        <v>5</v>
      </c>
      <c r="C87" s="34">
        <v>45588</v>
      </c>
      <c r="D87" s="32" t="s">
        <v>21</v>
      </c>
      <c r="E87" s="33"/>
      <c r="F87" s="33"/>
      <c r="G87" s="7">
        <v>45672</v>
      </c>
      <c r="H87" s="45" t="s">
        <v>48</v>
      </c>
      <c r="I87" s="35">
        <v>45625</v>
      </c>
    </row>
    <row r="88" spans="1:9" x14ac:dyDescent="0.25">
      <c r="A88" s="14" t="s">
        <v>13</v>
      </c>
      <c r="B88" s="83" t="s">
        <v>8</v>
      </c>
      <c r="C88" s="41">
        <v>45475</v>
      </c>
      <c r="D88" s="14" t="s">
        <v>20</v>
      </c>
      <c r="E88" s="40">
        <v>113</v>
      </c>
      <c r="F88" s="14" t="s">
        <v>26</v>
      </c>
      <c r="G88" s="7">
        <v>45672</v>
      </c>
      <c r="H88" s="14" t="s">
        <v>41</v>
      </c>
      <c r="I88" s="42">
        <v>45705</v>
      </c>
    </row>
    <row r="89" spans="1:9" x14ac:dyDescent="0.25">
      <c r="A89" s="14" t="s">
        <v>13</v>
      </c>
      <c r="B89" s="83" t="s">
        <v>8</v>
      </c>
      <c r="C89" s="41"/>
      <c r="D89" s="14" t="s">
        <v>20</v>
      </c>
      <c r="E89" s="40">
        <v>113</v>
      </c>
      <c r="F89" s="14" t="s">
        <v>26</v>
      </c>
      <c r="G89" s="7">
        <v>45672</v>
      </c>
      <c r="H89" s="49" t="s">
        <v>43</v>
      </c>
      <c r="I89" s="42">
        <v>45705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</cp:lastModifiedBy>
  <dcterms:modified xsi:type="dcterms:W3CDTF">2025-04-10T14:49:41Z</dcterms:modified>
</cp:coreProperties>
</file>