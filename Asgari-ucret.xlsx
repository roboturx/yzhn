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yzhn\"/>
    </mc:Choice>
  </mc:AlternateContent>
  <xr:revisionPtr revIDLastSave="0" documentId="13_ncr:1_{69301463-0096-4E97-923D-6CCFFE00022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heet2" sheetId="1" r:id="rId1"/>
    <sheet name="Sayfa1" sheetId="2" r:id="rId2"/>
    <sheet name="Sayfa3" sheetId="3" r:id="rId3"/>
    <sheet name="Sayfa2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6" i="4" l="1"/>
  <c r="D16" i="4"/>
  <c r="E15" i="4"/>
  <c r="D18" i="4" s="1"/>
  <c r="E14" i="4"/>
  <c r="E13" i="4"/>
  <c r="G12" i="4"/>
  <c r="E12" i="4"/>
  <c r="H12" i="4" s="1"/>
  <c r="G11" i="4"/>
  <c r="G13" i="4" s="1"/>
  <c r="G14" i="4" s="1"/>
  <c r="G15" i="4" s="1"/>
  <c r="G16" i="4" s="1"/>
  <c r="H16" i="4" s="1"/>
  <c r="E11" i="4"/>
  <c r="H11" i="4" s="1"/>
  <c r="E10" i="4"/>
  <c r="H10" i="4" s="1"/>
  <c r="H9" i="4"/>
  <c r="E9" i="4"/>
  <c r="E8" i="4"/>
  <c r="H8" i="4" s="1"/>
  <c r="H7" i="4"/>
  <c r="E7" i="4"/>
  <c r="E6" i="4"/>
  <c r="H6" i="4" s="1"/>
  <c r="E5" i="4"/>
  <c r="H5" i="4" s="1"/>
  <c r="D22" i="2"/>
  <c r="D21" i="2"/>
  <c r="D20" i="2"/>
  <c r="J18" i="2"/>
  <c r="J4" i="2" s="1"/>
  <c r="D18" i="2"/>
  <c r="M16" i="2"/>
  <c r="M14" i="2" s="1"/>
  <c r="M13" i="2" s="1"/>
  <c r="M12" i="2" s="1"/>
  <c r="M11" i="2" s="1"/>
  <c r="M10" i="2" s="1"/>
  <c r="M9" i="2" s="1"/>
  <c r="M8" i="2" s="1"/>
  <c r="J16" i="2"/>
  <c r="I18" i="2" s="1"/>
  <c r="K18" i="2" s="1"/>
  <c r="D16" i="2"/>
  <c r="J14" i="2"/>
  <c r="D14" i="2"/>
  <c r="J13" i="2"/>
  <c r="D13" i="2"/>
  <c r="J12" i="2"/>
  <c r="I13" i="2" s="1"/>
  <c r="K13" i="2" s="1"/>
  <c r="D12" i="2"/>
  <c r="J11" i="2"/>
  <c r="D11" i="2"/>
  <c r="J10" i="2"/>
  <c r="I10" i="2"/>
  <c r="D10" i="2"/>
  <c r="K9" i="2"/>
  <c r="E4" i="2"/>
  <c r="J17" i="1"/>
  <c r="Q16" i="1"/>
  <c r="K16" i="1"/>
  <c r="E16" i="1"/>
  <c r="Q15" i="1"/>
  <c r="K15" i="1"/>
  <c r="L15" i="1" s="1"/>
  <c r="L17" i="1" s="1"/>
  <c r="E15" i="1"/>
  <c r="B15" i="1"/>
  <c r="D15" i="1" s="1"/>
  <c r="E14" i="1"/>
  <c r="B14" i="1"/>
  <c r="D14" i="1" s="1"/>
  <c r="E13" i="1"/>
  <c r="B13" i="1"/>
  <c r="F13" i="1" s="1"/>
  <c r="E12" i="1"/>
  <c r="B12" i="1"/>
  <c r="W12" i="1" s="1"/>
  <c r="E11" i="1"/>
  <c r="B11" i="1"/>
  <c r="Q11" i="1" s="1"/>
  <c r="E10" i="1"/>
  <c r="B10" i="1"/>
  <c r="W10" i="1" s="1"/>
  <c r="E9" i="1"/>
  <c r="B9" i="1"/>
  <c r="O9" i="1" s="1"/>
  <c r="B8" i="1"/>
  <c r="W8" i="1" s="1"/>
  <c r="W6" i="1"/>
  <c r="V6" i="1"/>
  <c r="U6" i="1"/>
  <c r="T6" i="1"/>
  <c r="R6" i="1"/>
  <c r="P6" i="1"/>
  <c r="N6" i="1"/>
  <c r="L6" i="1"/>
  <c r="Q14" i="1" s="1"/>
  <c r="J6" i="1"/>
  <c r="H6" i="1"/>
  <c r="Q17" i="1" s="1"/>
  <c r="G6" i="1"/>
  <c r="E6" i="1"/>
  <c r="C6" i="1"/>
  <c r="I11" i="2" l="1"/>
  <c r="K11" i="2" s="1"/>
  <c r="F14" i="1"/>
  <c r="F11" i="1"/>
  <c r="M9" i="1"/>
  <c r="F10" i="1"/>
  <c r="I12" i="2"/>
  <c r="K12" i="2" s="1"/>
  <c r="D9" i="1"/>
  <c r="Q9" i="1"/>
  <c r="S9" i="1"/>
  <c r="F12" i="1"/>
  <c r="F9" i="1"/>
  <c r="U9" i="1"/>
  <c r="K9" i="1"/>
  <c r="W9" i="1"/>
  <c r="K10" i="2"/>
  <c r="W13" i="1"/>
  <c r="I14" i="2"/>
  <c r="K14" i="2" s="1"/>
  <c r="F15" i="1"/>
  <c r="G15" i="1" s="1"/>
  <c r="I9" i="1"/>
  <c r="Q19" i="1"/>
  <c r="H13" i="4"/>
  <c r="H14" i="4"/>
  <c r="G14" i="1"/>
  <c r="I16" i="2"/>
  <c r="K16" i="2" s="1"/>
  <c r="O11" i="1"/>
  <c r="I10" i="1"/>
  <c r="H15" i="4"/>
  <c r="H18" i="4" s="1"/>
  <c r="G18" i="4" s="1"/>
  <c r="O8" i="1"/>
  <c r="K10" i="1"/>
  <c r="D13" i="1"/>
  <c r="G13" i="1" s="1"/>
  <c r="D11" i="1"/>
  <c r="G11" i="1" s="1"/>
  <c r="D12" i="1"/>
  <c r="K8" i="1"/>
  <c r="K17" i="1"/>
  <c r="Q8" i="1"/>
  <c r="M10" i="1"/>
  <c r="I11" i="1"/>
  <c r="K11" i="1"/>
  <c r="M11" i="1"/>
  <c r="W11" i="1"/>
  <c r="F8" i="1"/>
  <c r="I8" i="1"/>
  <c r="M8" i="1"/>
  <c r="S8" i="1"/>
  <c r="O10" i="1"/>
  <c r="D8" i="1"/>
  <c r="D10" i="1"/>
  <c r="G10" i="1" s="1"/>
  <c r="U8" i="1"/>
  <c r="Q10" i="1"/>
  <c r="S10" i="1"/>
  <c r="G12" i="1" l="1"/>
  <c r="G9" i="1"/>
  <c r="G8" i="1"/>
</calcChain>
</file>

<file path=xl/sharedStrings.xml><?xml version="1.0" encoding="utf-8"?>
<sst xmlns="http://schemas.openxmlformats.org/spreadsheetml/2006/main" count="134" uniqueCount="110">
  <si>
    <t>asgari</t>
  </si>
  <si>
    <t>agst</t>
  </si>
  <si>
    <t>net</t>
  </si>
  <si>
    <t>hzrn</t>
  </si>
  <si>
    <t>Ls</t>
  </si>
  <si>
    <t>nsn</t>
  </si>
  <si>
    <t>eyl</t>
  </si>
  <si>
    <t>ksm</t>
  </si>
  <si>
    <t>ocak</t>
  </si>
  <si>
    <t>mrt</t>
  </si>
  <si>
    <t>ekm</t>
  </si>
  <si>
    <t>ücret</t>
  </si>
  <si>
    <t>LS</t>
  </si>
  <si>
    <t>AP</t>
  </si>
  <si>
    <t>Tzg</t>
  </si>
  <si>
    <t>Dgs</t>
  </si>
  <si>
    <t>snyA</t>
  </si>
  <si>
    <t>snyB</t>
  </si>
  <si>
    <t>snyCD</t>
  </si>
  <si>
    <t>snyE</t>
  </si>
  <si>
    <t>snyF</t>
  </si>
  <si>
    <t>snyG</t>
  </si>
  <si>
    <t>TL</t>
  </si>
  <si>
    <t>%</t>
  </si>
  <si>
    <t>adet</t>
  </si>
  <si>
    <t xml:space="preserve"> 1 / 2</t>
  </si>
  <si>
    <t>sny</t>
  </si>
  <si>
    <t>ls</t>
  </si>
  <si>
    <t>ap</t>
  </si>
  <si>
    <t>tzg</t>
  </si>
  <si>
    <t>DgsTzg</t>
  </si>
  <si>
    <t>RESMİ GAZETE</t>
  </si>
  <si>
    <t>YÜRÜRLÜK TARİHLERİ</t>
  </si>
  <si>
    <t>NET ASGARİ</t>
  </si>
  <si>
    <t>BRÜT ASGARİ</t>
  </si>
  <si>
    <t>İŞVEREN</t>
  </si>
  <si>
    <t>emekli maaşı</t>
  </si>
  <si>
    <t>asg.ücr göre</t>
  </si>
  <si>
    <t>asgari ücret oranında artsa idi</t>
  </si>
  <si>
    <t>TARİH VE SAYI</t>
  </si>
  <si>
    <t>ÜCRET</t>
  </si>
  <si>
    <t>MALİYETİ</t>
  </si>
  <si>
    <t>24.06.2023/ 32231</t>
  </si>
  <si>
    <t>01.07.2023-31.12.2023</t>
  </si>
  <si>
    <t>29.12.2022/ 32058</t>
  </si>
  <si>
    <t>01.01.2023-30.06.2023</t>
  </si>
  <si>
    <t>01.07.2022/ 31883 M.</t>
  </si>
  <si>
    <t>01.07.2022-31.12.2022</t>
  </si>
  <si>
    <t>17.12.2021/ 31692</t>
  </si>
  <si>
    <t>01.01.2022-30.06.2022</t>
  </si>
  <si>
    <t>30.12.2020/ 31350</t>
  </si>
  <si>
    <t>01.01.2021-31.12.2021</t>
  </si>
  <si>
    <t>27.12.2019/ 30991</t>
  </si>
  <si>
    <t>01.01.2020-31.12.2020</t>
  </si>
  <si>
    <t>27.12.2018/ 30638</t>
  </si>
  <si>
    <t>01.01.2019-31.12.2019</t>
  </si>
  <si>
    <t>30.12.2017/ 30286</t>
  </si>
  <si>
    <t>01.01.2018-31.12.2018</t>
  </si>
  <si>
    <t>30.12.2016/ 29934</t>
  </si>
  <si>
    <t>01.01.2017-31.12.2017</t>
  </si>
  <si>
    <t>31.12.2015/ 29579</t>
  </si>
  <si>
    <t>01.01.2016-31.12.2016</t>
  </si>
  <si>
    <t>01.07.2015 - 31.12.2015 </t>
  </si>
  <si>
    <t>01.01.2015 - 30.06.2015               </t>
  </si>
  <si>
    <t>01.07.2014 - 31.12.2014                </t>
  </si>
  <si>
    <t>01.01.2014 - 30.06.2014                </t>
  </si>
  <si>
    <t xml:space="preserve">01.07.2013 - 31.12.2013                 </t>
  </si>
  <si>
    <t>01.01.2013 - 30.06.2013                </t>
  </si>
  <si>
    <t>01.07.2012 - 31.12.2012                </t>
  </si>
  <si>
    <t>01.01.2012 - 30.06.2012            </t>
  </si>
  <si>
    <t>01.07.2011 - 31.12.2011             </t>
  </si>
  <si>
    <t>01.01.2011 - 30.06.2011               </t>
  </si>
  <si>
    <t>01.07.2010 - 31.12.2010             </t>
  </si>
  <si>
    <t>01.01.2010 - 30.06.2010             </t>
  </si>
  <si>
    <t>01.07.2009 - 31.12.2009              </t>
  </si>
  <si>
    <t>01.01.2009 - 30.06.2009           </t>
  </si>
  <si>
    <t>01.07.2008 - 31.12.2008            </t>
  </si>
  <si>
    <t>01.01.2008 - 30.06.2008            </t>
  </si>
  <si>
    <t>01.07.2007 - 31.12.2007               </t>
  </si>
  <si>
    <t xml:space="preserve">01.01.2007 - 30.06.2007                  </t>
  </si>
  <si>
    <t xml:space="preserve">01.01.2006 - 31.12.2006                  </t>
  </si>
  <si>
    <t>01.01.2005 - 31.12.2005 </t>
  </si>
  <si>
    <t>01.07.2004 - 31.12.2004     </t>
  </si>
  <si>
    <t>01.01.2004 - 30.06.2004     </t>
  </si>
  <si>
    <t>01.01.2003 - 31.12.2003      </t>
  </si>
  <si>
    <t>01.07.2002 - 31.12.2002     </t>
  </si>
  <si>
    <t>01.01.2002 - 30.06.2002    </t>
  </si>
  <si>
    <t>01.08.2001 - 31.12.2001     </t>
  </si>
  <si>
    <t>01.07.2001 - 31.07.2001     </t>
  </si>
  <si>
    <t>01.01.2001 - 30.06.2001    </t>
  </si>
  <si>
    <t>01.07.2000 - 31.12.2000   </t>
  </si>
  <si>
    <t>01.01.2000 - 30.06.2000</t>
  </si>
  <si>
    <t>01.01.2016 - 31.12.2016                1.647,00.-TL</t>
  </si>
  <si>
    <t>01.01.2017 - 31.12.2017                1.775,50.-TL</t>
  </si>
  <si>
    <t>01.01.2018 - 31.12.2018                2.029.50.-TL</t>
  </si>
  <si>
    <t>01.01.2019 - 31.12.2019                2.558,40.-TL</t>
  </si>
  <si>
    <t>01.01.2020 - 31.12.2020                2.943,00.-TL</t>
  </si>
  <si>
    <t>01.01.2021 - 31.12.2021                3.577,50.- TL</t>
  </si>
  <si>
    <t>01.01.2022 - 31.12.2022                5.004,00.- TL</t>
  </si>
  <si>
    <t>01.07.2022 - 31.12.2022                6.471,00.- TL</t>
  </si>
  <si>
    <t>asgari ücret TL</t>
  </si>
  <si>
    <t>HACI</t>
  </si>
  <si>
    <t>Konum</t>
  </si>
  <si>
    <t>AÜ-Adet</t>
  </si>
  <si>
    <t>Bedel TL</t>
  </si>
  <si>
    <t>LS-dere</t>
  </si>
  <si>
    <t>snyC</t>
  </si>
  <si>
    <t>snyD</t>
  </si>
  <si>
    <t>HMB Emekli Maaşı</t>
  </si>
  <si>
    <t>01.01.2019-30.06.2019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</si>
</sst>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"/>
    <numFmt numFmtId="165" formatCode="%0"/>
    <numFmt numFmtId="166" formatCode="%0.00"/>
    <numFmt numFmtId="167" formatCode="#,##0.000000"/>
    <numFmt numFmtId="168" formatCode="dd/mm/yy;@"/>
  </numFmts>
  <fonts count="4" x14ac:knownFonts="1">
    <font>
      <sz val="11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AE3F3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DEEBF7"/>
        <bgColor rgb="FFDAE3F3"/>
      </patternFill>
    </fill>
    <fill>
      <patternFill patternType="solid">
        <fgColor rgb="FFE2F0D9"/>
        <bgColor rgb="FFDEEBF7"/>
      </patternFill>
    </fill>
    <fill>
      <patternFill patternType="solid">
        <fgColor rgb="FFF8CBAD"/>
        <bgColor rgb="FFFFE699"/>
      </patternFill>
    </fill>
    <fill>
      <patternFill patternType="solid">
        <fgColor rgb="FFC5E0B4"/>
        <bgColor rgb="FFE2F0D9"/>
      </patternFill>
    </fill>
    <fill>
      <patternFill patternType="solid">
        <fgColor rgb="FFFFE699"/>
        <bgColor rgb="FFFFF2CC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5" fontId="3" fillId="0" borderId="0" applyBorder="0" applyProtection="0"/>
  </cellStyleXfs>
  <cellXfs count="52">
    <xf numFmtId="0" fontId="0" fillId="0" borderId="0" xfId="0"/>
    <xf numFmtId="0" fontId="2" fillId="0" borderId="0" xfId="0" applyFont="1" applyBorder="1" applyAlignment="1">
      <alignment horizontal="center" vertical="center" wrapText="1"/>
    </xf>
    <xf numFmtId="2" fontId="0" fillId="0" borderId="1" xfId="0" applyNumberFormat="1" applyBorder="1"/>
    <xf numFmtId="2" fontId="0" fillId="0" borderId="0" xfId="0" applyNumberFormat="1"/>
    <xf numFmtId="0" fontId="0" fillId="0" borderId="1" xfId="0" applyBorder="1"/>
    <xf numFmtId="0" fontId="0" fillId="0" borderId="0" xfId="0" applyFont="1" applyAlignment="1">
      <alignment horizontal="center"/>
    </xf>
    <xf numFmtId="2" fontId="0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2" borderId="0" xfId="0" applyFont="1" applyFill="1" applyAlignment="1">
      <alignment horizontal="center"/>
    </xf>
    <xf numFmtId="2" fontId="0" fillId="3" borderId="0" xfId="0" applyNumberFormat="1" applyFont="1" applyFill="1" applyAlignment="1">
      <alignment horizontal="center"/>
    </xf>
    <xf numFmtId="0" fontId="0" fillId="4" borderId="0" xfId="0" applyFont="1" applyFill="1"/>
    <xf numFmtId="0" fontId="0" fillId="5" borderId="0" xfId="0" applyFont="1" applyFill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0" fillId="9" borderId="0" xfId="0" applyFont="1" applyFill="1"/>
    <xf numFmtId="0" fontId="0" fillId="0" borderId="0" xfId="0" applyFont="1"/>
    <xf numFmtId="0" fontId="0" fillId="0" borderId="1" xfId="0" applyFont="1" applyBorder="1"/>
    <xf numFmtId="1" fontId="0" fillId="0" borderId="0" xfId="0" applyNumberFormat="1"/>
    <xf numFmtId="1" fontId="0" fillId="2" borderId="1" xfId="0" applyNumberFormat="1" applyFill="1" applyBorder="1"/>
    <xf numFmtId="1" fontId="0" fillId="3" borderId="1" xfId="0" applyNumberFormat="1" applyFill="1" applyBorder="1"/>
    <xf numFmtId="1" fontId="0" fillId="4" borderId="1" xfId="0" applyNumberFormat="1" applyFill="1" applyBorder="1"/>
    <xf numFmtId="1" fontId="0" fillId="5" borderId="1" xfId="0" applyNumberFormat="1" applyFill="1" applyBorder="1"/>
    <xf numFmtId="1" fontId="0" fillId="6" borderId="1" xfId="0" applyNumberFormat="1" applyFill="1" applyBorder="1"/>
    <xf numFmtId="1" fontId="0" fillId="7" borderId="1" xfId="0" applyNumberFormat="1" applyFill="1" applyBorder="1"/>
    <xf numFmtId="1" fontId="0" fillId="8" borderId="1" xfId="0" applyNumberFormat="1" applyFill="1" applyBorder="1"/>
    <xf numFmtId="1" fontId="0" fillId="9" borderId="1" xfId="0" applyNumberFormat="1" applyFill="1" applyBorder="1"/>
    <xf numFmtId="4" fontId="0" fillId="0" borderId="0" xfId="0" applyNumberFormat="1"/>
    <xf numFmtId="164" fontId="0" fillId="0" borderId="1" xfId="0" applyNumberFormat="1" applyFont="1" applyBorder="1"/>
    <xf numFmtId="1" fontId="0" fillId="0" borderId="1" xfId="0" applyNumberFormat="1" applyFont="1" applyBorder="1"/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6" fontId="1" fillId="0" borderId="0" xfId="1" applyNumberFormat="1" applyFont="1" applyBorder="1" applyAlignment="1" applyProtection="1">
      <alignment vertical="center" wrapText="1"/>
    </xf>
    <xf numFmtId="166" fontId="1" fillId="0" borderId="0" xfId="0" applyNumberFormat="1" applyFont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167" fontId="1" fillId="0" borderId="0" xfId="0" applyNumberFormat="1" applyFont="1"/>
    <xf numFmtId="3" fontId="0" fillId="0" borderId="0" xfId="0" applyNumberFormat="1"/>
    <xf numFmtId="168" fontId="1" fillId="0" borderId="0" xfId="0" applyNumberFormat="1" applyFont="1"/>
    <xf numFmtId="3" fontId="1" fillId="0" borderId="0" xfId="0" applyNumberFormat="1" applyFont="1"/>
    <xf numFmtId="165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0" fillId="4" borderId="0" xfId="0" applyNumberFormat="1" applyFill="1"/>
    <xf numFmtId="2" fontId="0" fillId="5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2" fontId="0" fillId="8" borderId="0" xfId="0" applyNumberFormat="1" applyFill="1"/>
    <xf numFmtId="2" fontId="0" fillId="9" borderId="0" xfId="0" applyNumberFormat="1" applyFill="1"/>
  </cellXfs>
  <cellStyles count="2">
    <cellStyle name="Normal" xfId="0" builtinId="0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20"/>
  <sheetViews>
    <sheetView topLeftCell="A10" zoomScale="130" zoomScaleNormal="130" workbookViewId="0">
      <selection activeCell="I7" sqref="I7"/>
    </sheetView>
  </sheetViews>
  <sheetFormatPr defaultColWidth="10.140625" defaultRowHeight="15" x14ac:dyDescent="0.25"/>
  <cols>
    <col min="1" max="1" width="5.140625" customWidth="1"/>
    <col min="2" max="2" width="6.140625" customWidth="1"/>
    <col min="3" max="3" width="6.28515625" customWidth="1"/>
    <col min="4" max="4" width="6.140625" style="2" customWidth="1"/>
    <col min="5" max="5" width="7" style="3" customWidth="1"/>
    <col min="6" max="6" width="6.140625" style="2" customWidth="1"/>
    <col min="7" max="7" width="4.5703125" style="2" customWidth="1"/>
    <col min="8" max="8" width="5.140625" customWidth="1"/>
    <col min="9" max="9" width="4.5703125" style="4" customWidth="1"/>
    <col min="10" max="10" width="8.42578125" customWidth="1"/>
    <col min="11" max="11" width="7.28515625" style="4" customWidth="1"/>
    <col min="12" max="12" width="7.28515625" customWidth="1"/>
    <col min="13" max="13" width="4.5703125" style="4" customWidth="1"/>
    <col min="14" max="14" width="5.140625" customWidth="1"/>
    <col min="15" max="15" width="5.7109375" style="4" customWidth="1"/>
    <col min="16" max="16" width="6.42578125" customWidth="1"/>
    <col min="17" max="17" width="5.7109375" style="4" customWidth="1"/>
    <col min="18" max="18" width="5" customWidth="1"/>
    <col min="19" max="19" width="5.7109375" style="4" customWidth="1"/>
    <col min="20" max="20" width="6.28515625" customWidth="1"/>
    <col min="21" max="21" width="4.5703125" style="4" customWidth="1"/>
    <col min="22" max="22" width="6.28515625" customWidth="1"/>
    <col min="23" max="23" width="5.7109375" style="4" customWidth="1"/>
  </cols>
  <sheetData>
    <row r="2" spans="1:24" x14ac:dyDescent="0.25">
      <c r="B2" t="s">
        <v>0</v>
      </c>
      <c r="C2" s="5" t="s">
        <v>1</v>
      </c>
      <c r="D2" s="6" t="s">
        <v>2</v>
      </c>
      <c r="E2" s="7" t="s">
        <v>3</v>
      </c>
      <c r="F2" s="6" t="s">
        <v>2</v>
      </c>
      <c r="G2" s="6" t="s">
        <v>4</v>
      </c>
      <c r="H2" t="s">
        <v>5</v>
      </c>
      <c r="J2" t="s">
        <v>1</v>
      </c>
      <c r="N2" t="s">
        <v>6</v>
      </c>
      <c r="P2" t="s">
        <v>7</v>
      </c>
      <c r="R2" t="s">
        <v>8</v>
      </c>
      <c r="T2" t="s">
        <v>9</v>
      </c>
      <c r="V2" t="s">
        <v>10</v>
      </c>
    </row>
    <row r="3" spans="1:24" x14ac:dyDescent="0.25">
      <c r="B3" t="s">
        <v>11</v>
      </c>
      <c r="C3" s="8" t="s">
        <v>12</v>
      </c>
      <c r="D3" s="6" t="s">
        <v>0</v>
      </c>
      <c r="E3" s="9" t="s">
        <v>13</v>
      </c>
      <c r="F3" s="6" t="s">
        <v>0</v>
      </c>
      <c r="G3" s="6" t="s">
        <v>13</v>
      </c>
      <c r="H3" s="10" t="s">
        <v>14</v>
      </c>
      <c r="J3" s="11" t="s">
        <v>15</v>
      </c>
      <c r="L3" s="12" t="s">
        <v>16</v>
      </c>
      <c r="N3" s="13" t="s">
        <v>17</v>
      </c>
      <c r="P3" s="14" t="s">
        <v>18</v>
      </c>
      <c r="R3" s="15" t="s">
        <v>19</v>
      </c>
      <c r="T3" s="16" t="s">
        <v>20</v>
      </c>
      <c r="U3" s="17"/>
      <c r="V3" s="16" t="s">
        <v>21</v>
      </c>
    </row>
    <row r="4" spans="1:24" x14ac:dyDescent="0.25">
      <c r="B4" t="s">
        <v>22</v>
      </c>
      <c r="C4" s="5"/>
      <c r="D4" s="6" t="s">
        <v>11</v>
      </c>
      <c r="E4" s="7"/>
      <c r="F4" s="6" t="s">
        <v>11</v>
      </c>
      <c r="G4" s="6" t="s">
        <v>23</v>
      </c>
      <c r="H4" s="7" t="s">
        <v>22</v>
      </c>
    </row>
    <row r="5" spans="1:24" x14ac:dyDescent="0.25">
      <c r="C5" s="5"/>
      <c r="D5" s="6" t="s">
        <v>24</v>
      </c>
      <c r="E5" s="7"/>
      <c r="F5" s="6" t="s">
        <v>24</v>
      </c>
      <c r="G5" s="6"/>
      <c r="H5" s="7"/>
    </row>
    <row r="6" spans="1:24" s="18" customFormat="1" x14ac:dyDescent="0.25">
      <c r="A6" s="18">
        <v>2024</v>
      </c>
      <c r="B6" s="18">
        <v>17</v>
      </c>
      <c r="C6" s="18">
        <f>$B$6*D6</f>
        <v>612</v>
      </c>
      <c r="D6" s="19">
        <v>36</v>
      </c>
      <c r="E6" s="18">
        <f>$B$6*F6</f>
        <v>408</v>
      </c>
      <c r="F6" s="20">
        <v>24</v>
      </c>
      <c r="G6" s="2">
        <f>D6/F6</f>
        <v>1.5</v>
      </c>
      <c r="H6" s="18">
        <f>$B$6*I6</f>
        <v>204</v>
      </c>
      <c r="I6" s="21">
        <v>12</v>
      </c>
      <c r="J6" s="18">
        <f>$B$6*K6</f>
        <v>204</v>
      </c>
      <c r="K6" s="22">
        <v>12</v>
      </c>
      <c r="L6" s="18">
        <f>$B$6*M6</f>
        <v>136</v>
      </c>
      <c r="M6" s="23">
        <v>8</v>
      </c>
      <c r="N6" s="18">
        <f>$B$6*O6</f>
        <v>272</v>
      </c>
      <c r="O6" s="24">
        <v>16</v>
      </c>
      <c r="P6" s="18">
        <f>$B$6*Q6</f>
        <v>408</v>
      </c>
      <c r="Q6" s="25">
        <v>24</v>
      </c>
      <c r="R6" s="18">
        <f>$B$6*S6</f>
        <v>204</v>
      </c>
      <c r="S6" s="26">
        <v>12</v>
      </c>
      <c r="T6" s="18">
        <f>$B$6*U6</f>
        <v>204</v>
      </c>
      <c r="U6" s="26">
        <f>S6</f>
        <v>12</v>
      </c>
      <c r="V6" s="18">
        <f>$B$6*W6</f>
        <v>204</v>
      </c>
      <c r="W6" s="26">
        <f>S6</f>
        <v>12</v>
      </c>
    </row>
    <row r="7" spans="1:24" x14ac:dyDescent="0.25">
      <c r="B7" s="27"/>
      <c r="C7" s="3"/>
      <c r="H7" s="3"/>
      <c r="I7" s="2"/>
      <c r="J7" s="3"/>
      <c r="K7" s="2"/>
      <c r="L7" s="3"/>
      <c r="M7" s="2"/>
      <c r="N7" s="3"/>
      <c r="O7" s="2"/>
      <c r="P7" s="3"/>
      <c r="Q7" s="2"/>
      <c r="R7" s="3"/>
      <c r="S7" s="2"/>
      <c r="T7" s="3"/>
      <c r="U7" s="2"/>
      <c r="V7" s="3"/>
      <c r="W7" s="2"/>
      <c r="X7" s="3"/>
    </row>
    <row r="8" spans="1:24" x14ac:dyDescent="0.25">
      <c r="A8">
        <v>2023</v>
      </c>
      <c r="B8" s="27">
        <f>Sayfa1!E10/1000</f>
        <v>11.40232</v>
      </c>
      <c r="C8">
        <v>240</v>
      </c>
      <c r="D8" s="2">
        <f t="shared" ref="D8:D15" si="0">C8/B8</f>
        <v>21.048348055483448</v>
      </c>
      <c r="E8" s="3">
        <v>154</v>
      </c>
      <c r="F8" s="2">
        <f t="shared" ref="F8:F15" si="1">E8/B8</f>
        <v>13.506023335601878</v>
      </c>
      <c r="G8" s="2">
        <f t="shared" ref="G8:G15" si="2">D8/F8</f>
        <v>1.5584415584415585</v>
      </c>
      <c r="H8">
        <v>33.6</v>
      </c>
      <c r="I8" s="2">
        <f>H8/B8</f>
        <v>2.9467687277676826</v>
      </c>
      <c r="J8">
        <v>78</v>
      </c>
      <c r="K8" s="2">
        <f>J8/B8</f>
        <v>6.8407131180321201</v>
      </c>
      <c r="L8">
        <v>84</v>
      </c>
      <c r="M8" s="2">
        <f>L8/B8</f>
        <v>7.3669218194192059</v>
      </c>
      <c r="N8">
        <v>183</v>
      </c>
      <c r="O8" s="2">
        <f>N8/B8</f>
        <v>16.049365392306129</v>
      </c>
      <c r="P8">
        <v>225</v>
      </c>
      <c r="Q8" s="2">
        <f>P8/B8</f>
        <v>19.732826302015731</v>
      </c>
      <c r="R8">
        <v>96</v>
      </c>
      <c r="S8" s="2">
        <f>R8/B8</f>
        <v>8.4193392221933792</v>
      </c>
      <c r="T8">
        <v>83.16</v>
      </c>
      <c r="U8" s="2">
        <f>T8/B8</f>
        <v>7.2932526012250136</v>
      </c>
      <c r="V8">
        <v>96</v>
      </c>
      <c r="W8" s="2">
        <f t="shared" ref="W8:W13" si="3">V8/B8</f>
        <v>8.4193392221933792</v>
      </c>
    </row>
    <row r="9" spans="1:24" x14ac:dyDescent="0.25">
      <c r="A9">
        <v>2022</v>
      </c>
      <c r="B9" s="27">
        <f>Sayfa1!E12/1000</f>
        <v>5.5003500000000001</v>
      </c>
      <c r="C9">
        <v>95</v>
      </c>
      <c r="D9" s="2">
        <f t="shared" si="0"/>
        <v>17.271628169116511</v>
      </c>
      <c r="E9" s="3">
        <f>60032/1000</f>
        <v>60.031999999999996</v>
      </c>
      <c r="F9" s="2">
        <f t="shared" si="1"/>
        <v>10.914214549983182</v>
      </c>
      <c r="G9" s="2">
        <f t="shared" si="2"/>
        <v>1.5824893390191899</v>
      </c>
      <c r="H9">
        <v>19.8</v>
      </c>
      <c r="I9" s="2">
        <f>H9/B9</f>
        <v>3.599770923668494</v>
      </c>
      <c r="J9">
        <v>60</v>
      </c>
      <c r="K9" s="2">
        <f>J9/B9</f>
        <v>10.908396738389374</v>
      </c>
      <c r="L9">
        <v>42</v>
      </c>
      <c r="M9" s="2">
        <f>L9/B9</f>
        <v>7.6358777168725629</v>
      </c>
      <c r="N9">
        <v>84</v>
      </c>
      <c r="O9" s="2">
        <f>N9/B9</f>
        <v>15.271755433745126</v>
      </c>
      <c r="P9">
        <v>82</v>
      </c>
      <c r="Q9" s="2">
        <f>P9/B9</f>
        <v>14.908142209132146</v>
      </c>
      <c r="R9">
        <v>45</v>
      </c>
      <c r="S9" s="2">
        <f>R9/B9</f>
        <v>8.1812975537920316</v>
      </c>
      <c r="T9">
        <v>48</v>
      </c>
      <c r="U9" s="2">
        <f>T9/B9</f>
        <v>8.7267173907114994</v>
      </c>
      <c r="V9">
        <v>48</v>
      </c>
      <c r="W9" s="2">
        <f t="shared" si="3"/>
        <v>8.7267173907114994</v>
      </c>
    </row>
    <row r="10" spans="1:24" x14ac:dyDescent="0.25">
      <c r="A10">
        <v>2021</v>
      </c>
      <c r="B10" s="27">
        <f>Sayfa1!E14/1000</f>
        <v>2.8259000000000003</v>
      </c>
      <c r="C10">
        <v>52</v>
      </c>
      <c r="D10" s="2">
        <f t="shared" si="0"/>
        <v>18.401217311299053</v>
      </c>
      <c r="E10" s="3">
        <f>34092/1000</f>
        <v>34.091999999999999</v>
      </c>
      <c r="F10" s="2">
        <f t="shared" si="1"/>
        <v>12.064121164938602</v>
      </c>
      <c r="G10" s="2">
        <f t="shared" si="2"/>
        <v>1.5252845242285582</v>
      </c>
      <c r="H10">
        <v>12</v>
      </c>
      <c r="I10" s="2">
        <f>H10/B10</f>
        <v>4.2464347641459357</v>
      </c>
      <c r="J10">
        <v>30</v>
      </c>
      <c r="K10" s="2">
        <f>J10/B10</f>
        <v>10.616086910364839</v>
      </c>
      <c r="L10">
        <v>24</v>
      </c>
      <c r="M10" s="2">
        <f>L10/B10</f>
        <v>8.4928695282918714</v>
      </c>
      <c r="N10">
        <v>28.8</v>
      </c>
      <c r="O10" s="2">
        <f>N10/B10</f>
        <v>10.191443433950246</v>
      </c>
      <c r="P10">
        <v>55.16</v>
      </c>
      <c r="Q10" s="2">
        <f>P10/B10</f>
        <v>19.519445132524147</v>
      </c>
      <c r="R10">
        <v>30</v>
      </c>
      <c r="S10" s="2">
        <f>R10/B10</f>
        <v>10.616086910364839</v>
      </c>
      <c r="U10" s="2"/>
      <c r="W10" s="2">
        <f t="shared" si="3"/>
        <v>0</v>
      </c>
    </row>
    <row r="11" spans="1:24" x14ac:dyDescent="0.25">
      <c r="A11">
        <v>2020</v>
      </c>
      <c r="B11" s="27">
        <f>Sayfa1!E16/1000</f>
        <v>2.3247100000000001</v>
      </c>
      <c r="C11">
        <v>44</v>
      </c>
      <c r="D11" s="2">
        <f t="shared" si="0"/>
        <v>18.927091981365418</v>
      </c>
      <c r="E11" s="3">
        <f>30558/1000</f>
        <v>30.558</v>
      </c>
      <c r="F11" s="2">
        <f t="shared" si="1"/>
        <v>13.144865381058283</v>
      </c>
      <c r="G11" s="2">
        <f t="shared" si="2"/>
        <v>1.4398848092152627</v>
      </c>
      <c r="H11">
        <v>9.6999999999999993</v>
      </c>
      <c r="I11" s="2">
        <f>H11/B11</f>
        <v>4.172563459528285</v>
      </c>
      <c r="J11">
        <v>25</v>
      </c>
      <c r="K11" s="2">
        <f>J11/B11</f>
        <v>10.754029534866714</v>
      </c>
      <c r="M11" s="2">
        <f>L11/B11</f>
        <v>0</v>
      </c>
      <c r="N11">
        <v>36</v>
      </c>
      <c r="O11" s="2">
        <f>N11/B11</f>
        <v>15.485802530208069</v>
      </c>
      <c r="P11">
        <v>35</v>
      </c>
      <c r="Q11" s="2">
        <f>P11/B11</f>
        <v>15.055641348813401</v>
      </c>
      <c r="S11" s="2"/>
      <c r="U11" s="2"/>
      <c r="W11" s="2">
        <f t="shared" si="3"/>
        <v>0</v>
      </c>
    </row>
    <row r="12" spans="1:24" x14ac:dyDescent="0.25">
      <c r="A12">
        <v>2019</v>
      </c>
      <c r="B12" s="27">
        <f>Sayfa1!E18/1000</f>
        <v>2.0209000000000001</v>
      </c>
      <c r="C12">
        <v>39</v>
      </c>
      <c r="D12" s="2">
        <f t="shared" si="0"/>
        <v>19.298332426146764</v>
      </c>
      <c r="E12" s="3">
        <f>26400/1000</f>
        <v>26.4</v>
      </c>
      <c r="F12" s="2">
        <f t="shared" si="1"/>
        <v>13.063486565391656</v>
      </c>
      <c r="G12" s="2">
        <f t="shared" si="2"/>
        <v>1.4772727272727273</v>
      </c>
      <c r="I12" s="2"/>
      <c r="K12" s="2"/>
      <c r="M12" s="2"/>
      <c r="O12" s="2"/>
      <c r="Q12" s="2"/>
      <c r="S12" s="2"/>
      <c r="U12" s="2"/>
      <c r="V12">
        <v>30.65</v>
      </c>
      <c r="W12" s="2">
        <f t="shared" si="3"/>
        <v>15.166509970805086</v>
      </c>
    </row>
    <row r="13" spans="1:24" x14ac:dyDescent="0.25">
      <c r="A13">
        <v>2018</v>
      </c>
      <c r="B13" s="27">
        <f>Sayfa1!E20/1000</f>
        <v>1.6031199999999999</v>
      </c>
      <c r="C13">
        <v>32.5</v>
      </c>
      <c r="D13" s="2">
        <f t="shared" si="0"/>
        <v>20.27296771295973</v>
      </c>
      <c r="E13" s="3">
        <f>19686/1000</f>
        <v>19.686</v>
      </c>
      <c r="F13" s="2">
        <f t="shared" si="1"/>
        <v>12.279804381456161</v>
      </c>
      <c r="G13" s="2">
        <f t="shared" si="2"/>
        <v>1.6509194351315657</v>
      </c>
      <c r="I13" s="2"/>
      <c r="K13" s="2"/>
      <c r="M13" s="2"/>
      <c r="O13" s="2"/>
      <c r="Q13" s="2"/>
      <c r="S13" s="2"/>
      <c r="U13" s="2"/>
      <c r="V13">
        <v>25</v>
      </c>
      <c r="W13" s="2">
        <f t="shared" si="3"/>
        <v>15.594590548430562</v>
      </c>
    </row>
    <row r="14" spans="1:24" x14ac:dyDescent="0.25">
      <c r="A14">
        <v>2017</v>
      </c>
      <c r="B14" s="27">
        <f>Sayfa1!E21/1000</f>
        <v>1.4040599999999999</v>
      </c>
      <c r="C14">
        <v>27.5</v>
      </c>
      <c r="D14" s="2">
        <f t="shared" si="0"/>
        <v>19.586057575887072</v>
      </c>
      <c r="E14" s="3">
        <f>17050/1000</f>
        <v>17.05</v>
      </c>
      <c r="F14" s="2">
        <f t="shared" si="1"/>
        <v>12.143355697049985</v>
      </c>
      <c r="G14" s="2">
        <f t="shared" si="2"/>
        <v>1.6129032258064515</v>
      </c>
      <c r="K14" s="28" t="s">
        <v>25</v>
      </c>
      <c r="P14" t="s">
        <v>26</v>
      </c>
      <c r="Q14" s="4">
        <f>L6+N6+P6+R6+T6+V6</f>
        <v>1428</v>
      </c>
    </row>
    <row r="15" spans="1:24" x14ac:dyDescent="0.25">
      <c r="A15">
        <v>2016</v>
      </c>
      <c r="B15" s="27">
        <f>Sayfa1!E22/1000</f>
        <v>1.3009900000000001</v>
      </c>
      <c r="C15">
        <v>25</v>
      </c>
      <c r="D15" s="2">
        <f t="shared" si="0"/>
        <v>19.216135404576512</v>
      </c>
      <c r="E15" s="3">
        <f>15125/1000</f>
        <v>15.125</v>
      </c>
      <c r="F15" s="2">
        <f t="shared" si="1"/>
        <v>11.62576191976879</v>
      </c>
      <c r="G15" s="2">
        <f t="shared" si="2"/>
        <v>1.6528925619834711</v>
      </c>
      <c r="I15" s="4" t="s">
        <v>27</v>
      </c>
      <c r="J15">
        <v>1768.44</v>
      </c>
      <c r="K15" s="4">
        <f>J15/2</f>
        <v>884.22</v>
      </c>
      <c r="L15">
        <f>K15</f>
        <v>884.22</v>
      </c>
      <c r="P15" t="s">
        <v>27</v>
      </c>
      <c r="Q15" s="29">
        <f>C6</f>
        <v>612</v>
      </c>
    </row>
    <row r="16" spans="1:24" x14ac:dyDescent="0.25">
      <c r="A16">
        <v>2015</v>
      </c>
      <c r="C16">
        <v>22.25</v>
      </c>
      <c r="E16" s="3">
        <f>13750/1000</f>
        <v>13.75</v>
      </c>
      <c r="I16" s="4" t="s">
        <v>28</v>
      </c>
      <c r="J16">
        <v>501</v>
      </c>
      <c r="K16" s="4">
        <f>J16</f>
        <v>501</v>
      </c>
      <c r="L16">
        <v>410</v>
      </c>
      <c r="M16" s="4" t="s">
        <v>29</v>
      </c>
      <c r="P16" t="s">
        <v>28</v>
      </c>
      <c r="Q16" s="29">
        <f>+E6</f>
        <v>408</v>
      </c>
    </row>
    <row r="17" spans="1:17" x14ac:dyDescent="0.25">
      <c r="A17">
        <v>2014</v>
      </c>
      <c r="C17">
        <v>20.5</v>
      </c>
      <c r="E17" s="3">
        <v>12.5</v>
      </c>
      <c r="J17" s="3">
        <f>J15/J16</f>
        <v>3.5298203592814374</v>
      </c>
      <c r="K17" s="2">
        <f>K15/K16</f>
        <v>1.7649101796407187</v>
      </c>
      <c r="L17" s="3">
        <f>L15/L16</f>
        <v>2.1566341463414633</v>
      </c>
      <c r="P17" t="s">
        <v>30</v>
      </c>
      <c r="Q17" s="17">
        <f>+H6+J6</f>
        <v>408</v>
      </c>
    </row>
    <row r="18" spans="1:17" x14ac:dyDescent="0.25">
      <c r="A18">
        <v>2013</v>
      </c>
      <c r="C18">
        <v>18.7</v>
      </c>
      <c r="E18" s="3">
        <v>9</v>
      </c>
    </row>
    <row r="19" spans="1:17" x14ac:dyDescent="0.25">
      <c r="A19">
        <v>2012</v>
      </c>
      <c r="C19">
        <v>17</v>
      </c>
      <c r="E19" s="3">
        <v>10</v>
      </c>
      <c r="Q19" s="4">
        <f>SUM(Q14:Q18)</f>
        <v>2856</v>
      </c>
    </row>
    <row r="20" spans="1:17" x14ac:dyDescent="0.25">
      <c r="A20">
        <v>2011</v>
      </c>
      <c r="C20">
        <v>14.8</v>
      </c>
      <c r="E20" s="3">
        <v>9.5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J95"/>
  <sheetViews>
    <sheetView tabSelected="1" zoomScaleNormal="100" workbookViewId="0">
      <selection activeCell="A18" sqref="A17:XFD18"/>
    </sheetView>
  </sheetViews>
  <sheetFormatPr defaultColWidth="8.42578125" defaultRowHeight="21" x14ac:dyDescent="0.35"/>
  <cols>
    <col min="1" max="1" width="8.42578125" style="30"/>
    <col min="2" max="4" width="35.28515625" style="30" customWidth="1"/>
    <col min="5" max="5" width="21.85546875" style="31" customWidth="1"/>
    <col min="6" max="6" width="21" style="31" customWidth="1"/>
    <col min="7" max="7" width="13.85546875" style="31" customWidth="1"/>
    <col min="8" max="8" width="8.42578125" style="30"/>
    <col min="9" max="10" width="15.42578125" style="30" customWidth="1"/>
    <col min="11" max="11" width="11.42578125" style="30" customWidth="1"/>
    <col min="12" max="12" width="8.42578125" style="30"/>
    <col min="13" max="13" width="12.28515625" style="30" customWidth="1"/>
    <col min="14" max="1024" width="8.42578125" style="30"/>
  </cols>
  <sheetData>
    <row r="4" spans="2:13" ht="30" customHeight="1" x14ac:dyDescent="0.35">
      <c r="B4" s="32"/>
      <c r="C4" s="1"/>
      <c r="D4" s="33"/>
      <c r="E4" s="30">
        <f>E9/E18</f>
        <v>8.4130832797268535</v>
      </c>
      <c r="F4" s="34"/>
      <c r="G4" s="34"/>
      <c r="J4" s="30">
        <f>J9/J18</f>
        <v>6.014383130568338</v>
      </c>
    </row>
    <row r="5" spans="2:13" x14ac:dyDescent="0.35">
      <c r="B5" s="32"/>
      <c r="C5" s="1"/>
      <c r="D5" s="33"/>
      <c r="E5" s="34"/>
      <c r="F5" s="34"/>
      <c r="G5" s="34"/>
    </row>
    <row r="6" spans="2:13" ht="30" customHeight="1" x14ac:dyDescent="0.35">
      <c r="B6" s="32" t="s">
        <v>31</v>
      </c>
      <c r="C6" s="1" t="s">
        <v>32</v>
      </c>
      <c r="D6" s="33"/>
      <c r="E6" s="34" t="s">
        <v>33</v>
      </c>
      <c r="F6" s="34" t="s">
        <v>34</v>
      </c>
      <c r="G6" s="34" t="s">
        <v>35</v>
      </c>
      <c r="J6" s="30" t="s">
        <v>36</v>
      </c>
      <c r="K6" s="30" t="s">
        <v>37</v>
      </c>
      <c r="M6" s="30" t="s">
        <v>38</v>
      </c>
    </row>
    <row r="7" spans="2:13" x14ac:dyDescent="0.35">
      <c r="B7" s="32" t="s">
        <v>39</v>
      </c>
      <c r="C7" s="1"/>
      <c r="D7" s="33"/>
      <c r="E7" s="34" t="s">
        <v>40</v>
      </c>
      <c r="F7" s="34" t="s">
        <v>40</v>
      </c>
      <c r="G7" s="34" t="s">
        <v>41</v>
      </c>
    </row>
    <row r="8" spans="2:13" x14ac:dyDescent="0.35">
      <c r="B8" s="32"/>
      <c r="C8" s="33"/>
      <c r="D8" s="33"/>
      <c r="E8" s="34"/>
      <c r="F8" s="34"/>
      <c r="G8" s="34"/>
      <c r="M8" s="30">
        <f t="shared" ref="M8:M13" si="0">M9+(M9*D9)</f>
        <v>12707.133110481325</v>
      </c>
    </row>
    <row r="9" spans="2:13" x14ac:dyDescent="0.35">
      <c r="B9" s="32">
        <v>2024</v>
      </c>
      <c r="C9" s="33">
        <v>2024</v>
      </c>
      <c r="D9" s="35">
        <v>0.49109999999999998</v>
      </c>
      <c r="E9" s="34">
        <v>17002</v>
      </c>
      <c r="F9" s="34"/>
      <c r="G9" s="34"/>
      <c r="I9" s="30">
        <v>0</v>
      </c>
      <c r="J9" s="30">
        <v>10416.25</v>
      </c>
      <c r="K9" s="36">
        <f t="shared" ref="K9:K18" si="1">I9-D9</f>
        <v>-0.49109999999999998</v>
      </c>
      <c r="M9" s="30">
        <f t="shared" si="0"/>
        <v>8521.9858564022034</v>
      </c>
    </row>
    <row r="10" spans="2:13" x14ac:dyDescent="0.35">
      <c r="B10" s="37" t="s">
        <v>42</v>
      </c>
      <c r="C10" s="37" t="s">
        <v>43</v>
      </c>
      <c r="D10" s="35">
        <f t="shared" ref="D10:D22" si="2">1-(E10/E9)</f>
        <v>0.32935419362427953</v>
      </c>
      <c r="E10" s="38">
        <v>11402.32</v>
      </c>
      <c r="F10" s="38">
        <v>13414.5</v>
      </c>
      <c r="G10" s="38">
        <v>15762.04</v>
      </c>
      <c r="I10" s="35">
        <f t="shared" ref="I10:I14" si="3">(J9/J10)-1</f>
        <v>0.38883333333333336</v>
      </c>
      <c r="J10" s="31">
        <f>Sayfa3!C15</f>
        <v>7500</v>
      </c>
      <c r="K10" s="36">
        <f t="shared" si="1"/>
        <v>5.947913970905383E-2</v>
      </c>
      <c r="M10" s="30">
        <f t="shared" si="0"/>
        <v>6410.6209596167309</v>
      </c>
    </row>
    <row r="11" spans="2:13" x14ac:dyDescent="0.35">
      <c r="B11" s="37" t="s">
        <v>44</v>
      </c>
      <c r="C11" s="37" t="s">
        <v>45</v>
      </c>
      <c r="D11" s="35">
        <f t="shared" si="2"/>
        <v>0.25394130317338937</v>
      </c>
      <c r="E11" s="38">
        <v>8506.7999999999993</v>
      </c>
      <c r="F11" s="38">
        <v>10008</v>
      </c>
      <c r="G11" s="38">
        <v>11759.4</v>
      </c>
      <c r="I11" s="35">
        <f t="shared" si="3"/>
        <v>0.35154616881712686</v>
      </c>
      <c r="J11" s="31">
        <f>Sayfa3!C22</f>
        <v>5549.2</v>
      </c>
      <c r="K11" s="36">
        <f t="shared" si="1"/>
        <v>9.7604865643737493E-2</v>
      </c>
      <c r="M11" s="30">
        <f t="shared" si="0"/>
        <v>5112.3772248295572</v>
      </c>
    </row>
    <row r="12" spans="2:13" x14ac:dyDescent="0.35">
      <c r="B12" s="37" t="s">
        <v>46</v>
      </c>
      <c r="C12" s="37" t="s">
        <v>47</v>
      </c>
      <c r="D12" s="35">
        <f t="shared" si="2"/>
        <v>0.35341726618705027</v>
      </c>
      <c r="E12" s="38">
        <v>5500.35</v>
      </c>
      <c r="F12" s="38">
        <v>6471</v>
      </c>
      <c r="G12" s="38">
        <v>7603.43</v>
      </c>
      <c r="I12" s="35">
        <f t="shared" si="3"/>
        <v>0.29066170484940113</v>
      </c>
      <c r="J12" s="31">
        <f>Sayfa3!C25</f>
        <v>4299.5</v>
      </c>
      <c r="K12" s="36">
        <f t="shared" si="1"/>
        <v>-6.2755561337649146E-2</v>
      </c>
      <c r="M12" s="30">
        <f t="shared" si="0"/>
        <v>3777.3843681132676</v>
      </c>
    </row>
    <row r="13" spans="2:13" x14ac:dyDescent="0.35">
      <c r="B13" s="37" t="s">
        <v>48</v>
      </c>
      <c r="C13" s="37" t="s">
        <v>49</v>
      </c>
      <c r="D13" s="35">
        <f t="shared" si="2"/>
        <v>0.22670375521557729</v>
      </c>
      <c r="E13" s="38">
        <v>4253.3999999999996</v>
      </c>
      <c r="F13" s="38">
        <v>5004</v>
      </c>
      <c r="G13" s="38">
        <v>5879.7</v>
      </c>
      <c r="I13" s="35">
        <f t="shared" si="3"/>
        <v>0.42350109423679894</v>
      </c>
      <c r="J13" s="31">
        <f>Sayfa3!C29</f>
        <v>3020.37</v>
      </c>
      <c r="K13" s="36">
        <f t="shared" si="1"/>
        <v>0.19679733902122165</v>
      </c>
      <c r="M13" s="30">
        <f t="shared" si="0"/>
        <v>3079.2963272941488</v>
      </c>
    </row>
    <row r="14" spans="2:13" x14ac:dyDescent="0.35">
      <c r="B14" s="37" t="s">
        <v>50</v>
      </c>
      <c r="C14" s="37" t="s">
        <v>51</v>
      </c>
      <c r="D14" s="35">
        <f t="shared" si="2"/>
        <v>0.33561386185169506</v>
      </c>
      <c r="E14" s="38">
        <v>2825.9</v>
      </c>
      <c r="F14" s="38">
        <v>3577.5</v>
      </c>
      <c r="G14" s="38">
        <v>4203.5600000000004</v>
      </c>
      <c r="I14" s="35">
        <f t="shared" si="3"/>
        <v>0.25469726866756659</v>
      </c>
      <c r="J14" s="31">
        <f>Sayfa3!C31</f>
        <v>2407.25</v>
      </c>
      <c r="K14" s="36">
        <f t="shared" si="1"/>
        <v>-8.0916593184128471E-2</v>
      </c>
      <c r="M14" s="30">
        <f>M16+(M16*D16)</f>
        <v>2305.5288772048325</v>
      </c>
    </row>
    <row r="15" spans="2:13" x14ac:dyDescent="0.35">
      <c r="B15" s="37"/>
      <c r="C15" s="37"/>
      <c r="D15" s="35"/>
      <c r="E15" s="38"/>
      <c r="F15" s="38"/>
      <c r="G15" s="38"/>
      <c r="I15" s="35"/>
      <c r="J15" s="31"/>
      <c r="K15" s="36"/>
    </row>
    <row r="16" spans="2:13" x14ac:dyDescent="0.35">
      <c r="B16" s="37" t="s">
        <v>52</v>
      </c>
      <c r="C16" s="37" t="s">
        <v>53</v>
      </c>
      <c r="D16" s="35">
        <f>1-(E16/E14)</f>
        <v>0.17735588662019186</v>
      </c>
      <c r="E16" s="38">
        <v>2324.71</v>
      </c>
      <c r="F16" s="38">
        <v>2943</v>
      </c>
      <c r="G16" s="38">
        <v>3458.03</v>
      </c>
      <c r="I16" s="35">
        <f>(J14/J16)-1</f>
        <v>0.24284932468712572</v>
      </c>
      <c r="J16" s="31">
        <f>Sayfa3!C41</f>
        <v>1936.88</v>
      </c>
      <c r="K16" s="36">
        <f t="shared" si="1"/>
        <v>6.5493438066933862E-2</v>
      </c>
      <c r="M16" s="30">
        <f>J18+(J18*D18)</f>
        <v>1958.2259734762617</v>
      </c>
    </row>
    <row r="17" spans="2:11" x14ac:dyDescent="0.35">
      <c r="B17" s="37"/>
      <c r="C17" s="37" t="s">
        <v>109</v>
      </c>
      <c r="D17" s="35"/>
      <c r="E17" s="38"/>
      <c r="F17" s="38"/>
      <c r="G17" s="38"/>
      <c r="I17" s="35"/>
      <c r="J17" s="31"/>
      <c r="K17" s="36"/>
    </row>
    <row r="18" spans="2:11" x14ac:dyDescent="0.35">
      <c r="B18" s="37" t="s">
        <v>54</v>
      </c>
      <c r="C18" s="37" t="s">
        <v>55</v>
      </c>
      <c r="D18" s="35">
        <f>1-(E18/E16)</f>
        <v>0.13068726851951429</v>
      </c>
      <c r="E18" s="38">
        <v>2020.9</v>
      </c>
      <c r="F18" s="38">
        <v>2558.4</v>
      </c>
      <c r="G18" s="38">
        <v>3006.12</v>
      </c>
      <c r="I18" s="35">
        <f>(J16/J18)-1</f>
        <v>0.11836202068260682</v>
      </c>
      <c r="J18" s="31">
        <f>Sayfa3!C48</f>
        <v>1731.89</v>
      </c>
      <c r="K18" s="36">
        <f t="shared" si="1"/>
        <v>-1.2325247836907471E-2</v>
      </c>
    </row>
    <row r="19" spans="2:11" x14ac:dyDescent="0.35">
      <c r="B19" s="37"/>
      <c r="C19" s="37" t="s">
        <v>109</v>
      </c>
      <c r="D19" s="35"/>
      <c r="E19" s="38"/>
      <c r="F19" s="38"/>
      <c r="G19" s="38"/>
      <c r="I19" s="35"/>
      <c r="J19" s="31"/>
      <c r="K19" s="36"/>
    </row>
    <row r="20" spans="2:11" x14ac:dyDescent="0.35">
      <c r="B20" s="37" t="s">
        <v>56</v>
      </c>
      <c r="C20" s="37" t="s">
        <v>57</v>
      </c>
      <c r="D20" s="35">
        <f>1-(E20/E18)</f>
        <v>0.20672967489732308</v>
      </c>
      <c r="E20" s="38">
        <v>1603.12</v>
      </c>
      <c r="F20" s="38">
        <v>2029.5</v>
      </c>
      <c r="G20" s="38">
        <v>2384.66</v>
      </c>
    </row>
    <row r="21" spans="2:11" x14ac:dyDescent="0.35">
      <c r="B21" s="37" t="s">
        <v>58</v>
      </c>
      <c r="C21" s="37" t="s">
        <v>59</v>
      </c>
      <c r="D21" s="35">
        <f t="shared" si="2"/>
        <v>0.12417036778282342</v>
      </c>
      <c r="E21" s="38">
        <v>1404.06</v>
      </c>
      <c r="F21" s="38">
        <v>1777.5</v>
      </c>
      <c r="G21" s="38">
        <v>2088.56</v>
      </c>
    </row>
    <row r="22" spans="2:11" x14ac:dyDescent="0.35">
      <c r="B22" s="37" t="s">
        <v>60</v>
      </c>
      <c r="C22" s="37" t="s">
        <v>61</v>
      </c>
      <c r="D22" s="35">
        <f t="shared" si="2"/>
        <v>7.3408543794424741E-2</v>
      </c>
      <c r="E22" s="38">
        <v>1300.99</v>
      </c>
      <c r="F22" s="38">
        <v>1647</v>
      </c>
      <c r="G22" s="38">
        <v>1935.23</v>
      </c>
    </row>
    <row r="23" spans="2:11" x14ac:dyDescent="0.35">
      <c r="C23" s="30" t="s">
        <v>62</v>
      </c>
      <c r="F23" s="31">
        <v>1273.5</v>
      </c>
    </row>
    <row r="24" spans="2:11" x14ac:dyDescent="0.35">
      <c r="C24" s="30" t="s">
        <v>63</v>
      </c>
      <c r="F24" s="31">
        <v>1201.5</v>
      </c>
    </row>
    <row r="25" spans="2:11" x14ac:dyDescent="0.35">
      <c r="C25" s="30" t="s">
        <v>64</v>
      </c>
      <c r="F25" s="31">
        <v>1134</v>
      </c>
    </row>
    <row r="26" spans="2:11" x14ac:dyDescent="0.35">
      <c r="C26" s="30" t="s">
        <v>65</v>
      </c>
      <c r="E26" s="39"/>
      <c r="F26" s="31">
        <v>1071</v>
      </c>
      <c r="J26" s="39"/>
    </row>
    <row r="27" spans="2:11" x14ac:dyDescent="0.35">
      <c r="C27" s="30" t="s">
        <v>66</v>
      </c>
      <c r="F27" s="31">
        <v>1021.5</v>
      </c>
    </row>
    <row r="28" spans="2:11" x14ac:dyDescent="0.35">
      <c r="C28" s="30" t="s">
        <v>67</v>
      </c>
      <c r="F28" s="31">
        <v>978.6</v>
      </c>
    </row>
    <row r="29" spans="2:11" x14ac:dyDescent="0.35">
      <c r="C29" s="30" t="s">
        <v>68</v>
      </c>
      <c r="F29" s="31">
        <v>940.5</v>
      </c>
    </row>
    <row r="30" spans="2:11" x14ac:dyDescent="0.35">
      <c r="C30" s="30" t="s">
        <v>69</v>
      </c>
      <c r="F30" s="31">
        <v>886.5</v>
      </c>
    </row>
    <row r="31" spans="2:11" x14ac:dyDescent="0.35">
      <c r="C31" s="30" t="s">
        <v>70</v>
      </c>
      <c r="F31" s="31">
        <v>837</v>
      </c>
    </row>
    <row r="32" spans="2:11" x14ac:dyDescent="0.35">
      <c r="C32" s="30" t="s">
        <v>71</v>
      </c>
      <c r="F32" s="31">
        <v>796.5</v>
      </c>
    </row>
    <row r="33" spans="3:6" x14ac:dyDescent="0.35">
      <c r="C33" s="30" t="s">
        <v>72</v>
      </c>
      <c r="F33" s="31">
        <v>760.5</v>
      </c>
    </row>
    <row r="34" spans="3:6" x14ac:dyDescent="0.35">
      <c r="C34" s="30" t="s">
        <v>73</v>
      </c>
      <c r="F34" s="31">
        <v>729</v>
      </c>
    </row>
    <row r="35" spans="3:6" x14ac:dyDescent="0.35">
      <c r="C35" s="30" t="s">
        <v>74</v>
      </c>
      <c r="F35" s="31">
        <v>693</v>
      </c>
    </row>
    <row r="36" spans="3:6" x14ac:dyDescent="0.35">
      <c r="C36" s="30" t="s">
        <v>75</v>
      </c>
      <c r="F36" s="31">
        <v>666</v>
      </c>
    </row>
    <row r="37" spans="3:6" x14ac:dyDescent="0.35">
      <c r="C37" s="30" t="s">
        <v>76</v>
      </c>
      <c r="F37" s="31">
        <v>638.70000000000005</v>
      </c>
    </row>
    <row r="38" spans="3:6" x14ac:dyDescent="0.35">
      <c r="C38" s="30" t="s">
        <v>77</v>
      </c>
      <c r="F38" s="31">
        <v>608.4</v>
      </c>
    </row>
    <row r="39" spans="3:6" x14ac:dyDescent="0.35">
      <c r="C39" s="30" t="s">
        <v>78</v>
      </c>
      <c r="F39" s="31">
        <v>585</v>
      </c>
    </row>
    <row r="40" spans="3:6" x14ac:dyDescent="0.35">
      <c r="C40" s="30" t="s">
        <v>79</v>
      </c>
      <c r="F40" s="31">
        <v>562.5</v>
      </c>
    </row>
    <row r="41" spans="3:6" x14ac:dyDescent="0.35">
      <c r="C41" s="30" t="s">
        <v>80</v>
      </c>
      <c r="F41" s="31">
        <v>531</v>
      </c>
    </row>
    <row r="42" spans="3:6" x14ac:dyDescent="0.35">
      <c r="C42" s="30" t="s">
        <v>81</v>
      </c>
      <c r="F42" s="31">
        <v>488.7</v>
      </c>
    </row>
    <row r="43" spans="3:6" x14ac:dyDescent="0.35">
      <c r="C43" s="30" t="s">
        <v>82</v>
      </c>
      <c r="F43" s="31">
        <v>444150000</v>
      </c>
    </row>
    <row r="44" spans="3:6" x14ac:dyDescent="0.35">
      <c r="C44" s="30" t="s">
        <v>83</v>
      </c>
      <c r="F44" s="31">
        <v>423000000</v>
      </c>
    </row>
    <row r="45" spans="3:6" x14ac:dyDescent="0.35">
      <c r="C45" s="30" t="s">
        <v>84</v>
      </c>
      <c r="F45" s="31">
        <v>306000000</v>
      </c>
    </row>
    <row r="46" spans="3:6" x14ac:dyDescent="0.35">
      <c r="C46" s="30" t="s">
        <v>85</v>
      </c>
      <c r="F46" s="31">
        <v>250875000</v>
      </c>
    </row>
    <row r="47" spans="3:6" x14ac:dyDescent="0.35">
      <c r="C47" s="30" t="s">
        <v>86</v>
      </c>
      <c r="F47" s="31">
        <v>222000750</v>
      </c>
    </row>
    <row r="48" spans="3:6" x14ac:dyDescent="0.35">
      <c r="C48" s="30" t="s">
        <v>87</v>
      </c>
      <c r="F48" s="31">
        <v>167940000</v>
      </c>
    </row>
    <row r="49" spans="3:6" x14ac:dyDescent="0.35">
      <c r="C49" s="30" t="s">
        <v>88</v>
      </c>
      <c r="F49" s="31">
        <v>146947500</v>
      </c>
    </row>
    <row r="50" spans="3:6" x14ac:dyDescent="0.35">
      <c r="C50" s="30" t="s">
        <v>89</v>
      </c>
      <c r="F50" s="31">
        <v>139950000</v>
      </c>
    </row>
    <row r="51" spans="3:6" x14ac:dyDescent="0.35">
      <c r="C51" s="30" t="s">
        <v>90</v>
      </c>
      <c r="F51" s="31">
        <v>118800000</v>
      </c>
    </row>
    <row r="52" spans="3:6" x14ac:dyDescent="0.35">
      <c r="C52" s="30" t="s">
        <v>91</v>
      </c>
      <c r="F52" s="31">
        <v>109800000</v>
      </c>
    </row>
    <row r="81" spans="2:2" x14ac:dyDescent="0.35">
      <c r="B81" s="30" t="s">
        <v>92</v>
      </c>
    </row>
    <row r="83" spans="2:2" x14ac:dyDescent="0.35">
      <c r="B83" s="30" t="s">
        <v>93</v>
      </c>
    </row>
    <row r="85" spans="2:2" x14ac:dyDescent="0.35">
      <c r="B85" s="30" t="s">
        <v>94</v>
      </c>
    </row>
    <row r="87" spans="2:2" x14ac:dyDescent="0.35">
      <c r="B87" s="30" t="s">
        <v>95</v>
      </c>
    </row>
    <row r="89" spans="2:2" x14ac:dyDescent="0.35">
      <c r="B89" s="30" t="s">
        <v>96</v>
      </c>
    </row>
    <row r="91" spans="2:2" x14ac:dyDescent="0.35">
      <c r="B91" s="30" t="s">
        <v>97</v>
      </c>
    </row>
    <row r="93" spans="2:2" x14ac:dyDescent="0.35">
      <c r="B93" s="30" t="s">
        <v>98</v>
      </c>
    </row>
    <row r="95" spans="2:2" x14ac:dyDescent="0.35">
      <c r="B95" s="30" t="s">
        <v>99</v>
      </c>
    </row>
  </sheetData>
  <mergeCells count="2">
    <mergeCell ref="C4:C5"/>
    <mergeCell ref="C6:C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9"/>
  <sheetViews>
    <sheetView topLeftCell="A37" zoomScale="130" zoomScaleNormal="130" workbookViewId="0">
      <selection activeCell="B4" sqref="B4"/>
    </sheetView>
  </sheetViews>
  <sheetFormatPr defaultColWidth="8.5703125" defaultRowHeight="15" x14ac:dyDescent="0.25"/>
  <cols>
    <col min="2" max="2" width="15.42578125" customWidth="1"/>
    <col min="3" max="3" width="15.28515625" style="27" customWidth="1"/>
    <col min="4" max="4" width="12.140625" style="40" customWidth="1"/>
  </cols>
  <sheetData>
    <row r="1" spans="2:4" ht="21" x14ac:dyDescent="0.35">
      <c r="B1" s="41"/>
      <c r="C1" s="31"/>
      <c r="D1" s="42"/>
    </row>
    <row r="2" spans="2:4" ht="21" x14ac:dyDescent="0.35">
      <c r="B2" s="41"/>
      <c r="C2" s="31"/>
      <c r="D2" s="42"/>
    </row>
    <row r="3" spans="2:4" ht="21" x14ac:dyDescent="0.35">
      <c r="B3" s="41" t="s">
        <v>108</v>
      </c>
      <c r="C3" s="31"/>
      <c r="D3" s="42"/>
    </row>
    <row r="4" spans="2:4" ht="21" x14ac:dyDescent="0.35">
      <c r="B4" s="41"/>
      <c r="C4" s="31"/>
      <c r="D4" s="42"/>
    </row>
    <row r="5" spans="2:4" ht="21" x14ac:dyDescent="0.35">
      <c r="B5" s="41"/>
      <c r="C5" s="31"/>
      <c r="D5" s="42"/>
    </row>
    <row r="6" spans="2:4" ht="21" x14ac:dyDescent="0.35">
      <c r="B6" s="41"/>
      <c r="C6" s="31"/>
      <c r="D6" s="42"/>
    </row>
    <row r="7" spans="2:4" ht="21" x14ac:dyDescent="0.35">
      <c r="B7" s="41"/>
      <c r="C7" s="31"/>
      <c r="D7" s="42"/>
    </row>
    <row r="8" spans="2:4" ht="21" x14ac:dyDescent="0.35">
      <c r="B8" s="41"/>
      <c r="C8" s="31"/>
      <c r="D8" s="42"/>
    </row>
    <row r="9" spans="2:4" ht="21" x14ac:dyDescent="0.35">
      <c r="B9" s="41"/>
      <c r="C9" s="31"/>
      <c r="D9" s="42"/>
    </row>
    <row r="10" spans="2:4" ht="21" x14ac:dyDescent="0.35">
      <c r="B10" s="41"/>
      <c r="C10" s="31"/>
      <c r="D10" s="42"/>
    </row>
    <row r="11" spans="2:4" ht="21" x14ac:dyDescent="0.35">
      <c r="B11" s="41">
        <v>45318</v>
      </c>
      <c r="C11" s="31">
        <v>10000</v>
      </c>
      <c r="D11" s="42">
        <v>1</v>
      </c>
    </row>
    <row r="12" spans="2:4" ht="21" x14ac:dyDescent="0.35">
      <c r="B12" s="41"/>
      <c r="C12" s="31"/>
      <c r="D12" s="42"/>
    </row>
    <row r="13" spans="2:4" ht="21" x14ac:dyDescent="0.35">
      <c r="B13" s="41">
        <v>45287</v>
      </c>
      <c r="C13" s="31">
        <v>7432.53</v>
      </c>
      <c r="D13" s="42">
        <v>1</v>
      </c>
    </row>
    <row r="14" spans="2:4" ht="21" x14ac:dyDescent="0.35">
      <c r="B14" s="41">
        <v>45244</v>
      </c>
      <c r="C14" s="31">
        <v>5000</v>
      </c>
      <c r="D14" s="42">
        <v>1</v>
      </c>
    </row>
    <row r="15" spans="2:4" ht="21" x14ac:dyDescent="0.35">
      <c r="B15" s="41">
        <v>45134</v>
      </c>
      <c r="C15" s="31">
        <v>7500</v>
      </c>
      <c r="D15" s="42">
        <v>5</v>
      </c>
    </row>
    <row r="16" spans="2:4" ht="21" x14ac:dyDescent="0.35">
      <c r="B16" s="41"/>
      <c r="C16" s="31"/>
      <c r="D16" s="42"/>
    </row>
    <row r="17" spans="2:4" ht="21" x14ac:dyDescent="0.35">
      <c r="B17" s="41">
        <v>45099</v>
      </c>
      <c r="C17" s="31">
        <v>2000</v>
      </c>
      <c r="D17" s="42">
        <v>1</v>
      </c>
    </row>
    <row r="18" spans="2:4" ht="21" x14ac:dyDescent="0.35">
      <c r="B18" s="41">
        <v>45034</v>
      </c>
      <c r="C18" s="31">
        <v>7500</v>
      </c>
      <c r="D18" s="42">
        <v>3</v>
      </c>
    </row>
    <row r="19" spans="2:4" ht="21" x14ac:dyDescent="0.35">
      <c r="B19" s="41">
        <v>45034</v>
      </c>
      <c r="C19" s="31">
        <v>2000</v>
      </c>
      <c r="D19" s="42">
        <v>1</v>
      </c>
    </row>
    <row r="20" spans="2:4" ht="21" x14ac:dyDescent="0.35">
      <c r="B20" s="41">
        <v>45012</v>
      </c>
      <c r="C20" s="31">
        <v>5589.34</v>
      </c>
      <c r="D20" s="42">
        <v>1</v>
      </c>
    </row>
    <row r="21" spans="2:4" ht="21" x14ac:dyDescent="0.35">
      <c r="B21" s="41">
        <v>44974</v>
      </c>
      <c r="C21" s="31">
        <v>5570.01</v>
      </c>
      <c r="D21" s="42">
        <v>1</v>
      </c>
    </row>
    <row r="22" spans="2:4" ht="21" x14ac:dyDescent="0.35">
      <c r="B22" s="41">
        <v>44953</v>
      </c>
      <c r="C22" s="31">
        <v>5549.2</v>
      </c>
      <c r="D22" s="42">
        <v>1</v>
      </c>
    </row>
    <row r="23" spans="2:4" ht="21" x14ac:dyDescent="0.35">
      <c r="B23" s="41"/>
      <c r="C23" s="31"/>
      <c r="D23" s="42"/>
    </row>
    <row r="24" spans="2:4" ht="21" x14ac:dyDescent="0.35">
      <c r="B24" s="41">
        <v>44861</v>
      </c>
      <c r="C24" s="31">
        <v>4293.6499999999996</v>
      </c>
      <c r="D24" s="42">
        <v>1</v>
      </c>
    </row>
    <row r="25" spans="2:4" ht="21" x14ac:dyDescent="0.35">
      <c r="B25" s="41">
        <v>44769</v>
      </c>
      <c r="C25" s="31">
        <v>4299.5</v>
      </c>
      <c r="D25" s="42">
        <v>5</v>
      </c>
    </row>
    <row r="26" spans="2:4" ht="21" x14ac:dyDescent="0.35">
      <c r="B26" s="41">
        <v>44749</v>
      </c>
      <c r="C26" s="31">
        <v>1100</v>
      </c>
      <c r="D26" s="42">
        <v>1</v>
      </c>
    </row>
    <row r="27" spans="2:4" ht="21" x14ac:dyDescent="0.35">
      <c r="B27" s="41"/>
      <c r="C27" s="31"/>
      <c r="D27" s="42"/>
    </row>
    <row r="28" spans="2:4" ht="21" x14ac:dyDescent="0.35">
      <c r="B28" s="41">
        <v>44680</v>
      </c>
      <c r="C28" s="31">
        <v>1100</v>
      </c>
      <c r="D28" s="42">
        <v>1</v>
      </c>
    </row>
    <row r="29" spans="2:4" ht="21" x14ac:dyDescent="0.35">
      <c r="B29" s="41">
        <v>44588</v>
      </c>
      <c r="C29" s="31">
        <v>3020.37</v>
      </c>
      <c r="D29" s="42">
        <v>6</v>
      </c>
    </row>
    <row r="30" spans="2:4" ht="21" x14ac:dyDescent="0.35">
      <c r="B30" s="41"/>
      <c r="C30" s="31"/>
      <c r="D30" s="42"/>
    </row>
    <row r="31" spans="2:4" ht="21" x14ac:dyDescent="0.35">
      <c r="B31" s="41">
        <v>44557</v>
      </c>
      <c r="C31" s="31">
        <v>2407.25</v>
      </c>
      <c r="D31" s="42">
        <v>1</v>
      </c>
    </row>
    <row r="32" spans="2:4" ht="21" x14ac:dyDescent="0.35">
      <c r="B32" s="41"/>
      <c r="C32" s="31"/>
      <c r="D32" s="42"/>
    </row>
    <row r="33" spans="2:4" ht="21" x14ac:dyDescent="0.35">
      <c r="B33" s="41"/>
      <c r="C33" s="31"/>
      <c r="D33" s="42"/>
    </row>
    <row r="34" spans="2:4" ht="21" x14ac:dyDescent="0.35">
      <c r="B34" s="41"/>
      <c r="C34" s="31"/>
      <c r="D34" s="42"/>
    </row>
    <row r="35" spans="2:4" ht="21" x14ac:dyDescent="0.35">
      <c r="B35" s="41">
        <v>44039</v>
      </c>
      <c r="C35" s="31">
        <v>2048.25</v>
      </c>
      <c r="D35" s="42">
        <v>6</v>
      </c>
    </row>
    <row r="36" spans="2:4" ht="21" x14ac:dyDescent="0.35">
      <c r="B36" s="41">
        <v>44039</v>
      </c>
      <c r="C36" s="31">
        <v>1000</v>
      </c>
      <c r="D36" s="42">
        <v>1</v>
      </c>
    </row>
    <row r="37" spans="2:4" ht="21" x14ac:dyDescent="0.35">
      <c r="B37" s="41"/>
      <c r="C37" s="31"/>
      <c r="D37" s="42"/>
    </row>
    <row r="38" spans="2:4" ht="21" x14ac:dyDescent="0.35">
      <c r="B38" s="41">
        <v>44008</v>
      </c>
      <c r="C38" s="31">
        <v>1907.58</v>
      </c>
      <c r="D38" s="42">
        <v>1</v>
      </c>
    </row>
    <row r="39" spans="2:4" ht="21" x14ac:dyDescent="0.35">
      <c r="B39" s="41">
        <v>43972</v>
      </c>
      <c r="C39" s="31">
        <v>1909.32</v>
      </c>
      <c r="D39" s="42">
        <v>1</v>
      </c>
    </row>
    <row r="40" spans="2:4" ht="21" x14ac:dyDescent="0.35">
      <c r="B40" s="41">
        <v>43932</v>
      </c>
      <c r="C40" s="31">
        <v>1000</v>
      </c>
      <c r="D40" s="42">
        <v>1</v>
      </c>
    </row>
    <row r="41" spans="2:4" ht="21" x14ac:dyDescent="0.35">
      <c r="B41" s="41">
        <v>43857</v>
      </c>
      <c r="C41" s="31">
        <v>1936.88</v>
      </c>
      <c r="D41" s="42">
        <v>4</v>
      </c>
    </row>
    <row r="42" spans="2:4" ht="21" x14ac:dyDescent="0.35">
      <c r="B42" s="41"/>
      <c r="C42" s="31"/>
      <c r="D42" s="42"/>
    </row>
    <row r="43" spans="2:4" ht="21" x14ac:dyDescent="0.35">
      <c r="B43" s="41">
        <v>43704</v>
      </c>
      <c r="C43" s="31">
        <v>1790.78</v>
      </c>
      <c r="D43" s="42">
        <v>1</v>
      </c>
    </row>
    <row r="44" spans="2:4" ht="21" x14ac:dyDescent="0.35">
      <c r="B44" s="41">
        <v>43686</v>
      </c>
      <c r="C44" s="31">
        <v>1000</v>
      </c>
      <c r="D44" s="42">
        <v>1</v>
      </c>
    </row>
    <row r="45" spans="2:4" ht="21" x14ac:dyDescent="0.35">
      <c r="B45" s="41">
        <v>43672</v>
      </c>
      <c r="C45" s="31">
        <v>1818.66</v>
      </c>
      <c r="D45" s="42">
        <v>5</v>
      </c>
    </row>
    <row r="46" spans="2:4" ht="21" x14ac:dyDescent="0.35">
      <c r="B46" s="41"/>
      <c r="C46" s="31"/>
      <c r="D46" s="42"/>
    </row>
    <row r="47" spans="2:4" ht="21" x14ac:dyDescent="0.35">
      <c r="B47" s="41">
        <v>43616</v>
      </c>
      <c r="C47" s="31">
        <v>1000</v>
      </c>
      <c r="D47" s="42">
        <v>1</v>
      </c>
    </row>
    <row r="48" spans="2:4" ht="21" x14ac:dyDescent="0.35">
      <c r="B48" s="41">
        <v>43558</v>
      </c>
      <c r="C48" s="31">
        <v>1731.89</v>
      </c>
      <c r="D48" s="42">
        <v>5</v>
      </c>
    </row>
    <row r="49" spans="2:4" ht="21" x14ac:dyDescent="0.35">
      <c r="B49" s="41">
        <v>43521</v>
      </c>
      <c r="C49" s="31">
        <v>3094.29</v>
      </c>
      <c r="D49" s="42"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J18"/>
  <sheetViews>
    <sheetView zoomScale="175" zoomScaleNormal="175" workbookViewId="0">
      <selection activeCell="L11" sqref="L11"/>
    </sheetView>
  </sheetViews>
  <sheetFormatPr defaultColWidth="8.42578125" defaultRowHeight="15" x14ac:dyDescent="0.25"/>
  <cols>
    <col min="2" max="2" width="6.7109375" customWidth="1"/>
    <col min="3" max="3" width="12.85546875" customWidth="1"/>
    <col min="4" max="4" width="9.140625" customWidth="1"/>
    <col min="5" max="6" width="8.5703125" customWidth="1"/>
    <col min="7" max="7" width="5.85546875" style="43" customWidth="1"/>
    <col min="8" max="8" width="8.140625" customWidth="1"/>
    <col min="9" max="9" width="9.5703125" customWidth="1"/>
    <col min="10" max="10" width="4.5703125" customWidth="1"/>
    <col min="11" max="11" width="8.140625" customWidth="1"/>
    <col min="13" max="13" width="8.140625" customWidth="1"/>
    <col min="14" max="14" width="6.5703125" customWidth="1"/>
    <col min="15" max="15" width="7.140625" customWidth="1"/>
    <col min="16" max="16" width="6.5703125" customWidth="1"/>
    <col min="17" max="17" width="7.140625" customWidth="1"/>
    <col min="18" max="18" width="6.5703125" customWidth="1"/>
    <col min="19" max="19" width="7.140625" customWidth="1"/>
    <col min="20" max="20" width="6.5703125" customWidth="1"/>
    <col min="21" max="21" width="7.140625" customWidth="1"/>
    <col min="22" max="22" width="6.5703125" customWidth="1"/>
    <col min="23" max="23" width="7.140625" customWidth="1"/>
    <col min="24" max="24" width="6.5703125" customWidth="1"/>
    <col min="25" max="25" width="7.140625" customWidth="1"/>
    <col min="26" max="26" width="6.5703125" customWidth="1"/>
  </cols>
  <sheetData>
    <row r="1" spans="3:8" x14ac:dyDescent="0.25">
      <c r="C1">
        <v>2024</v>
      </c>
    </row>
    <row r="2" spans="3:8" x14ac:dyDescent="0.25">
      <c r="C2" t="s">
        <v>100</v>
      </c>
      <c r="D2" s="27">
        <v>18</v>
      </c>
    </row>
    <row r="3" spans="3:8" x14ac:dyDescent="0.25">
      <c r="E3" s="27"/>
      <c r="F3" s="27"/>
      <c r="H3" t="s">
        <v>101</v>
      </c>
    </row>
    <row r="4" spans="3:8" x14ac:dyDescent="0.25">
      <c r="C4" t="s">
        <v>102</v>
      </c>
      <c r="D4" t="s">
        <v>103</v>
      </c>
      <c r="E4" s="27" t="s">
        <v>104</v>
      </c>
      <c r="F4" s="27"/>
      <c r="G4" s="43" t="s">
        <v>23</v>
      </c>
      <c r="H4" t="s">
        <v>22</v>
      </c>
    </row>
    <row r="5" spans="3:8" x14ac:dyDescent="0.25">
      <c r="C5" s="8" t="s">
        <v>12</v>
      </c>
      <c r="D5" s="44">
        <v>12</v>
      </c>
      <c r="E5" s="3">
        <f t="shared" ref="E5:E16" si="0">$D$2*D5</f>
        <v>216</v>
      </c>
      <c r="F5" s="3"/>
      <c r="G5" s="43">
        <v>0.25</v>
      </c>
      <c r="H5" s="3">
        <f t="shared" ref="H5:H16" si="1">E5*G5</f>
        <v>54</v>
      </c>
    </row>
    <row r="6" spans="3:8" x14ac:dyDescent="0.25">
      <c r="C6" s="8" t="s">
        <v>105</v>
      </c>
      <c r="D6" s="44">
        <v>12</v>
      </c>
      <c r="E6" s="3">
        <f t="shared" si="0"/>
        <v>216</v>
      </c>
      <c r="F6" s="3"/>
      <c r="G6" s="43">
        <v>0.25</v>
      </c>
      <c r="H6" s="3">
        <f t="shared" si="1"/>
        <v>54</v>
      </c>
    </row>
    <row r="7" spans="3:8" x14ac:dyDescent="0.25">
      <c r="C7" s="9" t="s">
        <v>13</v>
      </c>
      <c r="D7" s="45">
        <v>12</v>
      </c>
      <c r="E7" s="3">
        <f t="shared" si="0"/>
        <v>216</v>
      </c>
      <c r="F7" s="3"/>
      <c r="G7" s="43">
        <v>0.10630000000000001</v>
      </c>
      <c r="H7" s="3">
        <f t="shared" si="1"/>
        <v>22.960800000000003</v>
      </c>
    </row>
    <row r="8" spans="3:8" x14ac:dyDescent="0.25">
      <c r="C8" s="10" t="s">
        <v>14</v>
      </c>
      <c r="D8" s="46">
        <v>10</v>
      </c>
      <c r="E8" s="3">
        <f t="shared" si="0"/>
        <v>180</v>
      </c>
      <c r="F8" s="3"/>
      <c r="G8" s="43">
        <v>1</v>
      </c>
      <c r="H8" s="3">
        <f t="shared" si="1"/>
        <v>180</v>
      </c>
    </row>
    <row r="9" spans="3:8" x14ac:dyDescent="0.25">
      <c r="C9" s="11" t="s">
        <v>15</v>
      </c>
      <c r="D9" s="47">
        <v>12</v>
      </c>
      <c r="E9" s="3">
        <f t="shared" si="0"/>
        <v>216</v>
      </c>
      <c r="F9" s="3"/>
      <c r="G9" s="43">
        <v>1</v>
      </c>
      <c r="H9" s="3">
        <f t="shared" si="1"/>
        <v>216</v>
      </c>
    </row>
    <row r="10" spans="3:8" x14ac:dyDescent="0.25">
      <c r="C10" s="12" t="s">
        <v>16</v>
      </c>
      <c r="D10" s="48">
        <v>8</v>
      </c>
      <c r="E10" s="3">
        <f t="shared" si="0"/>
        <v>144</v>
      </c>
      <c r="F10" s="3"/>
      <c r="G10" s="43">
        <v>0.76461599999999996</v>
      </c>
      <c r="H10" s="3">
        <f t="shared" si="1"/>
        <v>110.104704</v>
      </c>
    </row>
    <row r="11" spans="3:8" x14ac:dyDescent="0.25">
      <c r="C11" s="13" t="s">
        <v>17</v>
      </c>
      <c r="D11" s="49">
        <v>16</v>
      </c>
      <c r="E11" s="3">
        <f t="shared" si="0"/>
        <v>288</v>
      </c>
      <c r="F11" s="3"/>
      <c r="G11" s="43">
        <f>G10</f>
        <v>0.76461599999999996</v>
      </c>
      <c r="H11" s="3">
        <f t="shared" si="1"/>
        <v>220.209408</v>
      </c>
    </row>
    <row r="12" spans="3:8" x14ac:dyDescent="0.25">
      <c r="C12" s="14" t="s">
        <v>106</v>
      </c>
      <c r="D12" s="50">
        <v>14</v>
      </c>
      <c r="E12" s="3">
        <f t="shared" si="0"/>
        <v>252</v>
      </c>
      <c r="F12" s="3"/>
      <c r="G12" s="43">
        <f>G10</f>
        <v>0.76461599999999996</v>
      </c>
      <c r="H12" s="3">
        <f t="shared" si="1"/>
        <v>192.683232</v>
      </c>
    </row>
    <row r="13" spans="3:8" x14ac:dyDescent="0.25">
      <c r="C13" s="14" t="s">
        <v>107</v>
      </c>
      <c r="D13" s="50">
        <v>12</v>
      </c>
      <c r="E13" s="3">
        <f t="shared" si="0"/>
        <v>216</v>
      </c>
      <c r="F13" s="3"/>
      <c r="G13" s="43">
        <f>G11</f>
        <v>0.76461599999999996</v>
      </c>
      <c r="H13" s="3">
        <f t="shared" si="1"/>
        <v>165.15705599999998</v>
      </c>
    </row>
    <row r="14" spans="3:8" x14ac:dyDescent="0.25">
      <c r="C14" s="15" t="s">
        <v>19</v>
      </c>
      <c r="D14" s="51">
        <v>12</v>
      </c>
      <c r="E14" s="3">
        <f t="shared" si="0"/>
        <v>216</v>
      </c>
      <c r="F14" s="3"/>
      <c r="G14" s="43">
        <f>G13</f>
        <v>0.76461599999999996</v>
      </c>
      <c r="H14" s="3">
        <f t="shared" si="1"/>
        <v>165.15705599999998</v>
      </c>
    </row>
    <row r="15" spans="3:8" x14ac:dyDescent="0.25">
      <c r="C15" s="16" t="s">
        <v>20</v>
      </c>
      <c r="D15" s="51">
        <v>12</v>
      </c>
      <c r="E15" s="3">
        <f t="shared" si="0"/>
        <v>216</v>
      </c>
      <c r="F15" s="3"/>
      <c r="G15" s="43">
        <f>G14</f>
        <v>0.76461599999999996</v>
      </c>
      <c r="H15" s="3">
        <f t="shared" si="1"/>
        <v>165.15705599999998</v>
      </c>
    </row>
    <row r="16" spans="3:8" x14ac:dyDescent="0.25">
      <c r="C16" s="16" t="s">
        <v>21</v>
      </c>
      <c r="D16" s="51">
        <f>D14</f>
        <v>12</v>
      </c>
      <c r="E16" s="3">
        <f t="shared" si="0"/>
        <v>216</v>
      </c>
      <c r="F16" s="3"/>
      <c r="G16" s="43">
        <f>G15</f>
        <v>0.76461599999999996</v>
      </c>
      <c r="H16" s="3">
        <f t="shared" si="1"/>
        <v>165.15705599999998</v>
      </c>
    </row>
    <row r="17" spans="4:10" x14ac:dyDescent="0.25">
      <c r="I17" s="3"/>
      <c r="J17" s="3"/>
    </row>
    <row r="18" spans="4:10" x14ac:dyDescent="0.25">
      <c r="D18" s="3">
        <f>E16+E15+E14+E13+E11+E10+E9+E8+E7+E5</f>
        <v>2124</v>
      </c>
      <c r="E18" s="3"/>
      <c r="F18" s="3"/>
      <c r="G18" s="43">
        <f>H18/D18</f>
        <v>0.8053608135593221</v>
      </c>
      <c r="H18" s="3">
        <f>SUM(H5:H16)</f>
        <v>1710.5863680000002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Sheet2</vt:lpstr>
      <vt:lpstr>Sayfa1</vt:lpstr>
      <vt:lpstr>Sayfa3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6</cp:revision>
  <dcterms:created xsi:type="dcterms:W3CDTF">2015-06-05T18:19:34Z</dcterms:created>
  <dcterms:modified xsi:type="dcterms:W3CDTF">2024-04-22T11:19:17Z</dcterms:modified>
  <dc:language>tr-TR</dc:language>
</cp:coreProperties>
</file>